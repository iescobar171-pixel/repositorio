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minerals.sharepoint.com/sites/GST_MLP/Documentos compartidos/Instructivos y estándares/"/>
    </mc:Choice>
  </mc:AlternateContent>
  <xr:revisionPtr revIDLastSave="10" documentId="8_{FA4F14BA-7FE6-4EEC-BDF9-A519D02019C5}" xr6:coauthVersionLast="47" xr6:coauthVersionMax="47" xr10:uidLastSave="{EC856130-DFA1-4CB7-8F44-A58D531D081A}"/>
  <bookViews>
    <workbookView minimized="1" xWindow="760" yWindow="760" windowWidth="14400" windowHeight="7270" firstSheet="6" activeTab="8" xr2:uid="{00000000-000D-0000-FFFF-FFFF00000000}"/>
  </bookViews>
  <sheets>
    <sheet name="00_Índice" sheetId="14" r:id="rId1"/>
    <sheet name="01_Identificación" sheetId="1" r:id="rId2"/>
    <sheet name="02_Dotación_Contractual" sheetId="2" r:id="rId3"/>
    <sheet name="03_Supuestos_Ratios" sheetId="3" r:id="rId4"/>
    <sheet name="04_Ppto_FTE_Mensual" sheetId="4" r:id="rId5"/>
    <sheet name="05_Benchmark" sheetId="5" r:id="rId6"/>
    <sheet name="06_Validación_GST" sheetId="6" r:id="rId7"/>
    <sheet name="07_Resumen_Ejecutivo" sheetId="7" r:id="rId8"/>
    <sheet name="96_Clasificacion_Dotacional" sheetId="8" r:id="rId9"/>
    <sheet name="97_Factor_Mes" sheetId="9" r:id="rId10"/>
    <sheet name="98_Turnos_SIGA" sheetId="10" r:id="rId11"/>
    <sheet name="99_Listas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4" l="1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6" i="4"/>
  <c r="N2" i="4"/>
  <c r="B6" i="7"/>
  <c r="B4" i="7"/>
  <c r="B3" i="7"/>
  <c r="O2" i="4"/>
  <c r="S2" i="4"/>
  <c r="F299" i="5" l="1"/>
  <c r="G299" i="5" s="1"/>
  <c r="F298" i="5"/>
  <c r="G298" i="5" s="1"/>
  <c r="G297" i="5"/>
  <c r="F297" i="5"/>
  <c r="F296" i="5"/>
  <c r="G296" i="5" s="1"/>
  <c r="F295" i="5"/>
  <c r="G295" i="5" s="1"/>
  <c r="F294" i="5"/>
  <c r="G294" i="5" s="1"/>
  <c r="G293" i="5"/>
  <c r="F293" i="5"/>
  <c r="F292" i="5"/>
  <c r="G292" i="5" s="1"/>
  <c r="F291" i="5"/>
  <c r="G291" i="5" s="1"/>
  <c r="G290" i="5"/>
  <c r="F290" i="5"/>
  <c r="F289" i="5"/>
  <c r="G289" i="5" s="1"/>
  <c r="F288" i="5"/>
  <c r="G288" i="5" s="1"/>
  <c r="F287" i="5"/>
  <c r="G287" i="5" s="1"/>
  <c r="G286" i="5"/>
  <c r="F286" i="5"/>
  <c r="F285" i="5"/>
  <c r="G285" i="5" s="1"/>
  <c r="F284" i="5"/>
  <c r="G284" i="5" s="1"/>
  <c r="G283" i="5"/>
  <c r="F283" i="5"/>
  <c r="F282" i="5"/>
  <c r="G282" i="5" s="1"/>
  <c r="F281" i="5"/>
  <c r="G281" i="5" s="1"/>
  <c r="F280" i="5"/>
  <c r="G280" i="5" s="1"/>
  <c r="G279" i="5"/>
  <c r="F279" i="5"/>
  <c r="F278" i="5"/>
  <c r="G278" i="5" s="1"/>
  <c r="F277" i="5"/>
  <c r="G277" i="5" s="1"/>
  <c r="G276" i="5"/>
  <c r="F276" i="5"/>
  <c r="F275" i="5"/>
  <c r="G275" i="5" s="1"/>
  <c r="F274" i="5"/>
  <c r="G274" i="5" s="1"/>
  <c r="F273" i="5"/>
  <c r="G273" i="5" s="1"/>
  <c r="G272" i="5"/>
  <c r="F272" i="5"/>
  <c r="F271" i="5"/>
  <c r="G271" i="5" s="1"/>
  <c r="F270" i="5"/>
  <c r="G270" i="5" s="1"/>
  <c r="G269" i="5"/>
  <c r="F269" i="5"/>
  <c r="F268" i="5"/>
  <c r="G268" i="5" s="1"/>
  <c r="F267" i="5"/>
  <c r="G267" i="5" s="1"/>
  <c r="F266" i="5"/>
  <c r="G266" i="5" s="1"/>
  <c r="G265" i="5"/>
  <c r="F265" i="5"/>
  <c r="F264" i="5"/>
  <c r="G264" i="5" s="1"/>
  <c r="F263" i="5"/>
  <c r="G263" i="5" s="1"/>
  <c r="G262" i="5"/>
  <c r="F262" i="5"/>
  <c r="F261" i="5"/>
  <c r="G261" i="5" s="1"/>
  <c r="F260" i="5"/>
  <c r="G260" i="5" s="1"/>
  <c r="F259" i="5"/>
  <c r="G259" i="5" s="1"/>
  <c r="G258" i="5"/>
  <c r="F258" i="5"/>
  <c r="F257" i="5"/>
  <c r="G257" i="5" s="1"/>
  <c r="F256" i="5"/>
  <c r="G256" i="5" s="1"/>
  <c r="G255" i="5"/>
  <c r="F255" i="5"/>
  <c r="F254" i="5"/>
  <c r="G254" i="5" s="1"/>
  <c r="F253" i="5"/>
  <c r="G253" i="5" s="1"/>
  <c r="F252" i="5"/>
  <c r="G252" i="5" s="1"/>
  <c r="G251" i="5"/>
  <c r="F251" i="5"/>
  <c r="F250" i="5"/>
  <c r="G250" i="5" s="1"/>
  <c r="F249" i="5"/>
  <c r="G249" i="5" s="1"/>
  <c r="G248" i="5"/>
  <c r="F248" i="5"/>
  <c r="F247" i="5"/>
  <c r="G247" i="5" s="1"/>
  <c r="F246" i="5"/>
  <c r="G246" i="5" s="1"/>
  <c r="F245" i="5"/>
  <c r="G245" i="5" s="1"/>
  <c r="G244" i="5"/>
  <c r="F244" i="5"/>
  <c r="F243" i="5"/>
  <c r="G243" i="5" s="1"/>
  <c r="F242" i="5"/>
  <c r="G242" i="5" s="1"/>
  <c r="G241" i="5"/>
  <c r="F241" i="5"/>
  <c r="F240" i="5"/>
  <c r="G240" i="5" s="1"/>
  <c r="F239" i="5"/>
  <c r="G239" i="5" s="1"/>
  <c r="F238" i="5"/>
  <c r="G238" i="5" s="1"/>
  <c r="G237" i="5"/>
  <c r="F237" i="5"/>
  <c r="F236" i="5"/>
  <c r="G236" i="5" s="1"/>
  <c r="F235" i="5"/>
  <c r="G235" i="5" s="1"/>
  <c r="G234" i="5"/>
  <c r="F234" i="5"/>
  <c r="F233" i="5"/>
  <c r="G233" i="5" s="1"/>
  <c r="F232" i="5"/>
  <c r="G232" i="5" s="1"/>
  <c r="F231" i="5"/>
  <c r="G231" i="5" s="1"/>
  <c r="G230" i="5"/>
  <c r="F230" i="5"/>
  <c r="F229" i="5"/>
  <c r="G229" i="5" s="1"/>
  <c r="F228" i="5"/>
  <c r="G228" i="5" s="1"/>
  <c r="G227" i="5"/>
  <c r="F227" i="5"/>
  <c r="F226" i="5"/>
  <c r="G226" i="5" s="1"/>
  <c r="F225" i="5"/>
  <c r="G225" i="5" s="1"/>
  <c r="F224" i="5"/>
  <c r="G224" i="5" s="1"/>
  <c r="G223" i="5"/>
  <c r="F223" i="5"/>
  <c r="F222" i="5"/>
  <c r="G222" i="5" s="1"/>
  <c r="F221" i="5"/>
  <c r="G221" i="5" s="1"/>
  <c r="G220" i="5"/>
  <c r="F220" i="5"/>
  <c r="F219" i="5"/>
  <c r="G219" i="5" s="1"/>
  <c r="F218" i="5"/>
  <c r="G218" i="5" s="1"/>
  <c r="F217" i="5"/>
  <c r="G217" i="5" s="1"/>
  <c r="G216" i="5"/>
  <c r="F216" i="5"/>
  <c r="F215" i="5"/>
  <c r="G215" i="5" s="1"/>
  <c r="F214" i="5"/>
  <c r="G214" i="5" s="1"/>
  <c r="G213" i="5"/>
  <c r="F213" i="5"/>
  <c r="F212" i="5"/>
  <c r="G212" i="5" s="1"/>
  <c r="F211" i="5"/>
  <c r="G211" i="5" s="1"/>
  <c r="F210" i="5"/>
  <c r="G210" i="5" s="1"/>
  <c r="G209" i="5"/>
  <c r="F209" i="5"/>
  <c r="F208" i="5"/>
  <c r="G208" i="5" s="1"/>
  <c r="F207" i="5"/>
  <c r="G207" i="5" s="1"/>
  <c r="G206" i="5"/>
  <c r="F206" i="5"/>
  <c r="F205" i="5"/>
  <c r="G205" i="5" s="1"/>
  <c r="F204" i="5"/>
  <c r="G204" i="5" s="1"/>
  <c r="F203" i="5"/>
  <c r="G203" i="5" s="1"/>
  <c r="G202" i="5"/>
  <c r="F202" i="5"/>
  <c r="F201" i="5"/>
  <c r="G201" i="5" s="1"/>
  <c r="F200" i="5"/>
  <c r="G200" i="5" s="1"/>
  <c r="G199" i="5"/>
  <c r="F199" i="5"/>
  <c r="F198" i="5"/>
  <c r="G198" i="5" s="1"/>
  <c r="F197" i="5"/>
  <c r="G197" i="5" s="1"/>
  <c r="F196" i="5"/>
  <c r="G196" i="5" s="1"/>
  <c r="G195" i="5"/>
  <c r="F195" i="5"/>
  <c r="F194" i="5"/>
  <c r="G194" i="5" s="1"/>
  <c r="F193" i="5"/>
  <c r="G193" i="5" s="1"/>
  <c r="G192" i="5"/>
  <c r="F192" i="5"/>
  <c r="F191" i="5"/>
  <c r="G191" i="5" s="1"/>
  <c r="F190" i="5"/>
  <c r="G190" i="5" s="1"/>
  <c r="F189" i="5"/>
  <c r="G189" i="5" s="1"/>
  <c r="G188" i="5"/>
  <c r="F188" i="5"/>
  <c r="F187" i="5"/>
  <c r="G187" i="5" s="1"/>
  <c r="F186" i="5"/>
  <c r="G186" i="5" s="1"/>
  <c r="G185" i="5"/>
  <c r="F185" i="5"/>
  <c r="F184" i="5"/>
  <c r="G184" i="5" s="1"/>
  <c r="F183" i="5"/>
  <c r="G183" i="5" s="1"/>
  <c r="F182" i="5"/>
  <c r="G182" i="5" s="1"/>
  <c r="G181" i="5"/>
  <c r="F181" i="5"/>
  <c r="F180" i="5"/>
  <c r="G180" i="5" s="1"/>
  <c r="F179" i="5"/>
  <c r="G179" i="5" s="1"/>
  <c r="G178" i="5"/>
  <c r="F178" i="5"/>
  <c r="F177" i="5"/>
  <c r="G177" i="5" s="1"/>
  <c r="F176" i="5"/>
  <c r="G176" i="5" s="1"/>
  <c r="F175" i="5"/>
  <c r="G175" i="5" s="1"/>
  <c r="G174" i="5"/>
  <c r="F174" i="5"/>
  <c r="F173" i="5"/>
  <c r="G173" i="5" s="1"/>
  <c r="F172" i="5"/>
  <c r="G172" i="5" s="1"/>
  <c r="G171" i="5"/>
  <c r="F171" i="5"/>
  <c r="F170" i="5"/>
  <c r="G170" i="5" s="1"/>
  <c r="F169" i="5"/>
  <c r="G169" i="5" s="1"/>
  <c r="F168" i="5"/>
  <c r="G168" i="5" s="1"/>
  <c r="G167" i="5"/>
  <c r="F167" i="5"/>
  <c r="F166" i="5"/>
  <c r="G166" i="5" s="1"/>
  <c r="F165" i="5"/>
  <c r="G165" i="5" s="1"/>
  <c r="G164" i="5"/>
  <c r="F164" i="5"/>
  <c r="F163" i="5"/>
  <c r="G163" i="5" s="1"/>
  <c r="F162" i="5"/>
  <c r="G162" i="5" s="1"/>
  <c r="F161" i="5"/>
  <c r="G161" i="5" s="1"/>
  <c r="G160" i="5"/>
  <c r="F160" i="5"/>
  <c r="F159" i="5"/>
  <c r="G159" i="5" s="1"/>
  <c r="F158" i="5"/>
  <c r="G158" i="5" s="1"/>
  <c r="G157" i="5"/>
  <c r="F157" i="5"/>
  <c r="F156" i="5"/>
  <c r="G156" i="5" s="1"/>
  <c r="F155" i="5"/>
  <c r="G155" i="5" s="1"/>
  <c r="G154" i="5"/>
  <c r="F154" i="5"/>
  <c r="G153" i="5"/>
  <c r="F153" i="5"/>
  <c r="F152" i="5"/>
  <c r="G152" i="5" s="1"/>
  <c r="F151" i="5"/>
  <c r="G151" i="5" s="1"/>
  <c r="G150" i="5"/>
  <c r="F150" i="5"/>
  <c r="F149" i="5"/>
  <c r="G149" i="5" s="1"/>
  <c r="F148" i="5"/>
  <c r="G148" i="5" s="1"/>
  <c r="G147" i="5"/>
  <c r="F147" i="5"/>
  <c r="G146" i="5"/>
  <c r="F146" i="5"/>
  <c r="F145" i="5"/>
  <c r="G145" i="5" s="1"/>
  <c r="F144" i="5"/>
  <c r="G144" i="5" s="1"/>
  <c r="G143" i="5"/>
  <c r="F143" i="5"/>
  <c r="F142" i="5"/>
  <c r="G142" i="5" s="1"/>
  <c r="F141" i="5"/>
  <c r="G141" i="5" s="1"/>
  <c r="G140" i="5"/>
  <c r="F140" i="5"/>
  <c r="G139" i="5"/>
  <c r="F139" i="5"/>
  <c r="F138" i="5"/>
  <c r="G138" i="5" s="1"/>
  <c r="F137" i="5"/>
  <c r="G137" i="5" s="1"/>
  <c r="G136" i="5"/>
  <c r="F136" i="5"/>
  <c r="F135" i="5"/>
  <c r="G135" i="5" s="1"/>
  <c r="F134" i="5"/>
  <c r="G134" i="5" s="1"/>
  <c r="G133" i="5"/>
  <c r="F133" i="5"/>
  <c r="G132" i="5"/>
  <c r="F132" i="5"/>
  <c r="F131" i="5"/>
  <c r="G131" i="5" s="1"/>
  <c r="F130" i="5"/>
  <c r="G130" i="5" s="1"/>
  <c r="G129" i="5"/>
  <c r="F129" i="5"/>
  <c r="F128" i="5"/>
  <c r="G128" i="5" s="1"/>
  <c r="F127" i="5"/>
  <c r="G127" i="5" s="1"/>
  <c r="G126" i="5"/>
  <c r="F126" i="5"/>
  <c r="G125" i="5"/>
  <c r="F125" i="5"/>
  <c r="F124" i="5"/>
  <c r="G124" i="5" s="1"/>
  <c r="F123" i="5"/>
  <c r="G123" i="5" s="1"/>
  <c r="G122" i="5"/>
  <c r="F122" i="5"/>
  <c r="F121" i="5"/>
  <c r="G121" i="5" s="1"/>
  <c r="F120" i="5"/>
  <c r="G120" i="5" s="1"/>
  <c r="G119" i="5"/>
  <c r="F119" i="5"/>
  <c r="G118" i="5"/>
  <c r="F118" i="5"/>
  <c r="F117" i="5"/>
  <c r="G117" i="5" s="1"/>
  <c r="F116" i="5"/>
  <c r="G116" i="5" s="1"/>
  <c r="G115" i="5"/>
  <c r="F115" i="5"/>
  <c r="F114" i="5"/>
  <c r="G114" i="5" s="1"/>
  <c r="F113" i="5"/>
  <c r="G113" i="5" s="1"/>
  <c r="G112" i="5"/>
  <c r="F112" i="5"/>
  <c r="G111" i="5"/>
  <c r="F111" i="5"/>
  <c r="F110" i="5"/>
  <c r="G110" i="5" s="1"/>
  <c r="F109" i="5"/>
  <c r="G109" i="5" s="1"/>
  <c r="G108" i="5"/>
  <c r="F108" i="5"/>
  <c r="F107" i="5"/>
  <c r="G107" i="5" s="1"/>
  <c r="F106" i="5"/>
  <c r="G106" i="5" s="1"/>
  <c r="G105" i="5"/>
  <c r="F105" i="5"/>
  <c r="G104" i="5"/>
  <c r="F104" i="5"/>
  <c r="F103" i="5"/>
  <c r="G103" i="5" s="1"/>
  <c r="F102" i="5"/>
  <c r="G102" i="5" s="1"/>
  <c r="G101" i="5"/>
  <c r="F101" i="5"/>
  <c r="F100" i="5"/>
  <c r="G100" i="5" s="1"/>
  <c r="F99" i="5"/>
  <c r="G99" i="5" s="1"/>
  <c r="G98" i="5"/>
  <c r="F98" i="5"/>
  <c r="G97" i="5"/>
  <c r="F97" i="5"/>
  <c r="F96" i="5"/>
  <c r="G96" i="5" s="1"/>
  <c r="F95" i="5"/>
  <c r="G95" i="5" s="1"/>
  <c r="G94" i="5"/>
  <c r="F94" i="5"/>
  <c r="F93" i="5"/>
  <c r="G93" i="5" s="1"/>
  <c r="F92" i="5"/>
  <c r="G92" i="5" s="1"/>
  <c r="G91" i="5"/>
  <c r="F91" i="5"/>
  <c r="G90" i="5"/>
  <c r="F90" i="5"/>
  <c r="F89" i="5"/>
  <c r="G89" i="5" s="1"/>
  <c r="F88" i="5"/>
  <c r="G88" i="5" s="1"/>
  <c r="G87" i="5"/>
  <c r="F87" i="5"/>
  <c r="F86" i="5"/>
  <c r="G86" i="5" s="1"/>
  <c r="F85" i="5"/>
  <c r="G85" i="5" s="1"/>
  <c r="G84" i="5"/>
  <c r="F84" i="5"/>
  <c r="G83" i="5"/>
  <c r="F83" i="5"/>
  <c r="F82" i="5"/>
  <c r="G82" i="5" s="1"/>
  <c r="F81" i="5"/>
  <c r="G81" i="5" s="1"/>
  <c r="G80" i="5"/>
  <c r="F80" i="5"/>
  <c r="F79" i="5"/>
  <c r="G79" i="5" s="1"/>
  <c r="F78" i="5"/>
  <c r="G78" i="5" s="1"/>
  <c r="G77" i="5"/>
  <c r="F77" i="5"/>
  <c r="G76" i="5"/>
  <c r="F76" i="5"/>
  <c r="F75" i="5"/>
  <c r="G75" i="5" s="1"/>
  <c r="F74" i="5"/>
  <c r="G74" i="5" s="1"/>
  <c r="G73" i="5"/>
  <c r="F73" i="5"/>
  <c r="F72" i="5"/>
  <c r="G72" i="5" s="1"/>
  <c r="F71" i="5"/>
  <c r="G71" i="5" s="1"/>
  <c r="G70" i="5"/>
  <c r="F70" i="5"/>
  <c r="G69" i="5"/>
  <c r="F69" i="5"/>
  <c r="F68" i="5"/>
  <c r="G68" i="5" s="1"/>
  <c r="F67" i="5"/>
  <c r="G67" i="5" s="1"/>
  <c r="G66" i="5"/>
  <c r="F66" i="5"/>
  <c r="F65" i="5"/>
  <c r="G65" i="5" s="1"/>
  <c r="F64" i="5"/>
  <c r="G64" i="5" s="1"/>
  <c r="G63" i="5"/>
  <c r="F63" i="5"/>
  <c r="G62" i="5"/>
  <c r="F62" i="5"/>
  <c r="F61" i="5"/>
  <c r="G61" i="5" s="1"/>
  <c r="F60" i="5"/>
  <c r="G60" i="5" s="1"/>
  <c r="G59" i="5"/>
  <c r="F59" i="5"/>
  <c r="F58" i="5"/>
  <c r="G58" i="5" s="1"/>
  <c r="F57" i="5"/>
  <c r="G57" i="5" s="1"/>
  <c r="G56" i="5"/>
  <c r="F56" i="5"/>
  <c r="G55" i="5"/>
  <c r="F55" i="5"/>
  <c r="F54" i="5"/>
  <c r="G54" i="5" s="1"/>
  <c r="F53" i="5"/>
  <c r="G53" i="5" s="1"/>
  <c r="G52" i="5"/>
  <c r="F52" i="5"/>
  <c r="F51" i="5"/>
  <c r="G51" i="5" s="1"/>
  <c r="F50" i="5"/>
  <c r="G50" i="5" s="1"/>
  <c r="G49" i="5"/>
  <c r="F49" i="5"/>
  <c r="G48" i="5"/>
  <c r="F48" i="5"/>
  <c r="F47" i="5"/>
  <c r="G47" i="5" s="1"/>
  <c r="F46" i="5"/>
  <c r="G46" i="5" s="1"/>
  <c r="G45" i="5"/>
  <c r="F45" i="5"/>
  <c r="F44" i="5"/>
  <c r="G44" i="5" s="1"/>
  <c r="F43" i="5"/>
  <c r="G43" i="5" s="1"/>
  <c r="G42" i="5"/>
  <c r="F42" i="5"/>
  <c r="G41" i="5"/>
  <c r="F41" i="5"/>
  <c r="F40" i="5"/>
  <c r="G40" i="5" s="1"/>
  <c r="F39" i="5"/>
  <c r="G39" i="5" s="1"/>
  <c r="G38" i="5"/>
  <c r="F38" i="5"/>
  <c r="F37" i="5"/>
  <c r="G37" i="5" s="1"/>
  <c r="F36" i="5"/>
  <c r="G36" i="5" s="1"/>
  <c r="G35" i="5"/>
  <c r="F35" i="5"/>
  <c r="G34" i="5"/>
  <c r="F34" i="5"/>
  <c r="F33" i="5"/>
  <c r="G33" i="5" s="1"/>
  <c r="F32" i="5"/>
  <c r="G32" i="5" s="1"/>
  <c r="G31" i="5"/>
  <c r="F31" i="5"/>
  <c r="F30" i="5"/>
  <c r="G30" i="5" s="1"/>
  <c r="F29" i="5"/>
  <c r="G29" i="5" s="1"/>
  <c r="G28" i="5"/>
  <c r="F28" i="5"/>
  <c r="G27" i="5"/>
  <c r="F27" i="5"/>
  <c r="F26" i="5"/>
  <c r="G26" i="5" s="1"/>
  <c r="F25" i="5"/>
  <c r="G25" i="5" s="1"/>
  <c r="G24" i="5"/>
  <c r="F24" i="5"/>
  <c r="F23" i="5"/>
  <c r="G23" i="5" s="1"/>
  <c r="F22" i="5"/>
  <c r="G22" i="5" s="1"/>
  <c r="G21" i="5"/>
  <c r="F21" i="5"/>
  <c r="G20" i="5"/>
  <c r="F20" i="5"/>
  <c r="F19" i="5"/>
  <c r="G19" i="5" s="1"/>
  <c r="F18" i="5"/>
  <c r="G18" i="5" s="1"/>
  <c r="G17" i="5"/>
  <c r="F17" i="5"/>
  <c r="F16" i="5"/>
  <c r="G16" i="5" s="1"/>
  <c r="F15" i="5"/>
  <c r="G15" i="5" s="1"/>
  <c r="G14" i="5"/>
  <c r="F14" i="5"/>
  <c r="G13" i="5"/>
  <c r="F13" i="5"/>
  <c r="F12" i="5"/>
  <c r="G12" i="5" s="1"/>
  <c r="F11" i="5"/>
  <c r="G11" i="5" s="1"/>
  <c r="G10" i="5"/>
  <c r="F10" i="5"/>
  <c r="F9" i="5"/>
  <c r="G9" i="5" s="1"/>
  <c r="F8" i="5"/>
  <c r="G8" i="5" s="1"/>
  <c r="G7" i="5"/>
  <c r="F7" i="5"/>
  <c r="G6" i="5"/>
  <c r="F6" i="5"/>
  <c r="F5" i="5"/>
  <c r="G5" i="5" s="1"/>
  <c r="F4" i="5"/>
  <c r="G4" i="5" s="1"/>
  <c r="G3" i="5"/>
  <c r="F3" i="5"/>
  <c r="F2" i="5"/>
  <c r="G2" i="5" s="1"/>
  <c r="BF1000" i="4"/>
  <c r="BB1000" i="4"/>
  <c r="AX1000" i="4"/>
  <c r="AT1000" i="4"/>
  <c r="AP1000" i="4"/>
  <c r="AL1000" i="4"/>
  <c r="AH1000" i="4"/>
  <c r="AD1000" i="4"/>
  <c r="Z1000" i="4"/>
  <c r="V1000" i="4"/>
  <c r="R1000" i="4"/>
  <c r="N1000" i="4"/>
  <c r="K1000" i="4"/>
  <c r="AM1000" i="4" s="1"/>
  <c r="BF999" i="4"/>
  <c r="BB999" i="4"/>
  <c r="AX999" i="4"/>
  <c r="AT999" i="4"/>
  <c r="AP999" i="4"/>
  <c r="AL999" i="4"/>
  <c r="AH999" i="4"/>
  <c r="AD999" i="4"/>
  <c r="Z999" i="4"/>
  <c r="V999" i="4"/>
  <c r="R999" i="4"/>
  <c r="N999" i="4"/>
  <c r="K999" i="4"/>
  <c r="AM999" i="4" s="1"/>
  <c r="BF998" i="4"/>
  <c r="BC998" i="4"/>
  <c r="BB998" i="4"/>
  <c r="AY998" i="4"/>
  <c r="AX998" i="4"/>
  <c r="AT998" i="4"/>
  <c r="AP998" i="4"/>
  <c r="AL998" i="4"/>
  <c r="AH998" i="4"/>
  <c r="AD998" i="4"/>
  <c r="AA998" i="4"/>
  <c r="Z998" i="4"/>
  <c r="W998" i="4"/>
  <c r="V998" i="4"/>
  <c r="R998" i="4"/>
  <c r="N998" i="4"/>
  <c r="K998" i="4"/>
  <c r="AI998" i="4" s="1"/>
  <c r="BF997" i="4"/>
  <c r="BB997" i="4"/>
  <c r="AX997" i="4"/>
  <c r="AT997" i="4"/>
  <c r="AP997" i="4"/>
  <c r="AL997" i="4"/>
  <c r="AI997" i="4"/>
  <c r="AH997" i="4"/>
  <c r="AD997" i="4"/>
  <c r="Z997" i="4"/>
  <c r="V997" i="4"/>
  <c r="R997" i="4"/>
  <c r="N997" i="4"/>
  <c r="K997" i="4"/>
  <c r="BG997" i="4" s="1"/>
  <c r="BF996" i="4"/>
  <c r="BG996" i="4" s="1"/>
  <c r="BB996" i="4"/>
  <c r="AY996" i="4"/>
  <c r="AX996" i="4"/>
  <c r="AU996" i="4"/>
  <c r="AT996" i="4"/>
  <c r="AP996" i="4"/>
  <c r="AL996" i="4"/>
  <c r="AH996" i="4"/>
  <c r="AI996" i="4" s="1"/>
  <c r="AD996" i="4"/>
  <c r="AE996" i="4" s="1"/>
  <c r="Z996" i="4"/>
  <c r="W996" i="4"/>
  <c r="V996" i="4"/>
  <c r="S996" i="4"/>
  <c r="R996" i="4"/>
  <c r="N996" i="4"/>
  <c r="K996" i="4"/>
  <c r="BC996" i="4" s="1"/>
  <c r="BG995" i="4"/>
  <c r="BF995" i="4"/>
  <c r="BB995" i="4"/>
  <c r="AX995" i="4"/>
  <c r="AT995" i="4"/>
  <c r="AQ995" i="4"/>
  <c r="AP995" i="4"/>
  <c r="AL995" i="4"/>
  <c r="AI995" i="4"/>
  <c r="AH995" i="4"/>
  <c r="AE995" i="4"/>
  <c r="AD995" i="4"/>
  <c r="Z995" i="4"/>
  <c r="V995" i="4"/>
  <c r="R995" i="4"/>
  <c r="O995" i="4"/>
  <c r="N995" i="4"/>
  <c r="K995" i="4"/>
  <c r="BC995" i="4" s="1"/>
  <c r="BF994" i="4"/>
  <c r="BG994" i="4" s="1"/>
  <c r="BB994" i="4"/>
  <c r="BC994" i="4" s="1"/>
  <c r="AX994" i="4"/>
  <c r="AY994" i="4" s="1"/>
  <c r="AU994" i="4"/>
  <c r="AT994" i="4"/>
  <c r="AQ994" i="4"/>
  <c r="AP994" i="4"/>
  <c r="AL994" i="4"/>
  <c r="AH994" i="4"/>
  <c r="AI994" i="4" s="1"/>
  <c r="AD994" i="4"/>
  <c r="AE994" i="4" s="1"/>
  <c r="Z994" i="4"/>
  <c r="AA994" i="4" s="1"/>
  <c r="V994" i="4"/>
  <c r="W994" i="4" s="1"/>
  <c r="S994" i="4"/>
  <c r="R994" i="4"/>
  <c r="O994" i="4"/>
  <c r="BH994" i="4" s="1"/>
  <c r="BI994" i="4" s="1"/>
  <c r="N994" i="4"/>
  <c r="K994" i="4"/>
  <c r="AM994" i="4" s="1"/>
  <c r="BG993" i="4"/>
  <c r="BF993" i="4"/>
  <c r="BC993" i="4"/>
  <c r="BB993" i="4"/>
  <c r="AX993" i="4"/>
  <c r="AT993" i="4"/>
  <c r="AP993" i="4"/>
  <c r="AM993" i="4"/>
  <c r="AL993" i="4"/>
  <c r="AH993" i="4"/>
  <c r="AE993" i="4"/>
  <c r="AD993" i="4"/>
  <c r="AA993" i="4"/>
  <c r="Z993" i="4"/>
  <c r="V993" i="4"/>
  <c r="R993" i="4"/>
  <c r="N993" i="4"/>
  <c r="K993" i="4"/>
  <c r="BF992" i="4"/>
  <c r="BB992" i="4"/>
  <c r="AX992" i="4"/>
  <c r="AT992" i="4"/>
  <c r="AQ992" i="4"/>
  <c r="AP992" i="4"/>
  <c r="AL992" i="4"/>
  <c r="AH992" i="4"/>
  <c r="AD992" i="4"/>
  <c r="Z992" i="4"/>
  <c r="V992" i="4"/>
  <c r="R992" i="4"/>
  <c r="N992" i="4"/>
  <c r="K992" i="4"/>
  <c r="BF991" i="4"/>
  <c r="BG991" i="4" s="1"/>
  <c r="BC991" i="4"/>
  <c r="BB991" i="4"/>
  <c r="AY991" i="4"/>
  <c r="AX991" i="4"/>
  <c r="AU991" i="4"/>
  <c r="AT991" i="4"/>
  <c r="AP991" i="4"/>
  <c r="AQ991" i="4" s="1"/>
  <c r="AL991" i="4"/>
  <c r="AI991" i="4"/>
  <c r="AH991" i="4"/>
  <c r="AD991" i="4"/>
  <c r="AE991" i="4" s="1"/>
  <c r="AA991" i="4"/>
  <c r="Z991" i="4"/>
  <c r="W991" i="4"/>
  <c r="V991" i="4"/>
  <c r="S991" i="4"/>
  <c r="R991" i="4"/>
  <c r="N991" i="4"/>
  <c r="O991" i="4" s="1"/>
  <c r="K991" i="4"/>
  <c r="AM991" i="4" s="1"/>
  <c r="BF990" i="4"/>
  <c r="BB990" i="4"/>
  <c r="AX990" i="4"/>
  <c r="AT990" i="4"/>
  <c r="AP990" i="4"/>
  <c r="AL990" i="4"/>
  <c r="AH990" i="4"/>
  <c r="AD990" i="4"/>
  <c r="Z990" i="4"/>
  <c r="V990" i="4"/>
  <c r="R990" i="4"/>
  <c r="N990" i="4"/>
  <c r="K990" i="4"/>
  <c r="BG989" i="4"/>
  <c r="BF989" i="4"/>
  <c r="BB989" i="4"/>
  <c r="BC989" i="4" s="1"/>
  <c r="AY989" i="4"/>
  <c r="AX989" i="4"/>
  <c r="AU989" i="4"/>
  <c r="AT989" i="4"/>
  <c r="AQ989" i="4"/>
  <c r="AP989" i="4"/>
  <c r="AL989" i="4"/>
  <c r="AH989" i="4"/>
  <c r="AE989" i="4"/>
  <c r="AD989" i="4"/>
  <c r="Z989" i="4"/>
  <c r="AA989" i="4" s="1"/>
  <c r="W989" i="4"/>
  <c r="V989" i="4"/>
  <c r="S989" i="4"/>
  <c r="R989" i="4"/>
  <c r="O989" i="4"/>
  <c r="N989" i="4"/>
  <c r="K989" i="4"/>
  <c r="BF988" i="4"/>
  <c r="BB988" i="4"/>
  <c r="AX988" i="4"/>
  <c r="AT988" i="4"/>
  <c r="AP988" i="4"/>
  <c r="AL988" i="4"/>
  <c r="AI988" i="4"/>
  <c r="AH988" i="4"/>
  <c r="AD988" i="4"/>
  <c r="AE988" i="4" s="1"/>
  <c r="Z988" i="4"/>
  <c r="V988" i="4"/>
  <c r="R988" i="4"/>
  <c r="N988" i="4"/>
  <c r="K988" i="4"/>
  <c r="BF987" i="4"/>
  <c r="BB987" i="4"/>
  <c r="AX987" i="4"/>
  <c r="AU987" i="4"/>
  <c r="AT987" i="4"/>
  <c r="AP987" i="4"/>
  <c r="AQ987" i="4" s="1"/>
  <c r="AL987" i="4"/>
  <c r="AH987" i="4"/>
  <c r="AD987" i="4"/>
  <c r="Z987" i="4"/>
  <c r="V987" i="4"/>
  <c r="R987" i="4"/>
  <c r="N987" i="4"/>
  <c r="K987" i="4"/>
  <c r="BG986" i="4"/>
  <c r="BF986" i="4"/>
  <c r="BB986" i="4"/>
  <c r="BC986" i="4" s="1"/>
  <c r="AY986" i="4"/>
  <c r="AX986" i="4"/>
  <c r="AU986" i="4"/>
  <c r="AT986" i="4"/>
  <c r="AP986" i="4"/>
  <c r="AL986" i="4"/>
  <c r="AI986" i="4"/>
  <c r="AH986" i="4"/>
  <c r="AE986" i="4"/>
  <c r="AD986" i="4"/>
  <c r="AA986" i="4"/>
  <c r="Z986" i="4"/>
  <c r="W986" i="4"/>
  <c r="V986" i="4"/>
  <c r="R986" i="4"/>
  <c r="S986" i="4" s="1"/>
  <c r="N986" i="4"/>
  <c r="K986" i="4"/>
  <c r="AM986" i="4" s="1"/>
  <c r="BF985" i="4"/>
  <c r="BB985" i="4"/>
  <c r="AX985" i="4"/>
  <c r="AT985" i="4"/>
  <c r="AP985" i="4"/>
  <c r="AL985" i="4"/>
  <c r="AM985" i="4" s="1"/>
  <c r="AH985" i="4"/>
  <c r="AD985" i="4"/>
  <c r="Z985" i="4"/>
  <c r="V985" i="4"/>
  <c r="W985" i="4" s="1"/>
  <c r="R985" i="4"/>
  <c r="N985" i="4"/>
  <c r="K985" i="4"/>
  <c r="BG984" i="4"/>
  <c r="BF984" i="4"/>
  <c r="BC984" i="4"/>
  <c r="BB984" i="4"/>
  <c r="AX984" i="4"/>
  <c r="AY984" i="4" s="1"/>
  <c r="AU984" i="4"/>
  <c r="AT984" i="4"/>
  <c r="AP984" i="4"/>
  <c r="AQ984" i="4" s="1"/>
  <c r="AL984" i="4"/>
  <c r="AI984" i="4"/>
  <c r="AH984" i="4"/>
  <c r="AE984" i="4"/>
  <c r="AD984" i="4"/>
  <c r="AA984" i="4"/>
  <c r="Z984" i="4"/>
  <c r="W984" i="4"/>
  <c r="V984" i="4"/>
  <c r="S984" i="4"/>
  <c r="R984" i="4"/>
  <c r="O984" i="4"/>
  <c r="N984" i="4"/>
  <c r="K984" i="4"/>
  <c r="BF983" i="4"/>
  <c r="BB983" i="4"/>
  <c r="AX983" i="4"/>
  <c r="AT983" i="4"/>
  <c r="AP983" i="4"/>
  <c r="AL983" i="4"/>
  <c r="AH983" i="4"/>
  <c r="AD983" i="4"/>
  <c r="AE983" i="4" s="1"/>
  <c r="Z983" i="4"/>
  <c r="V983" i="4"/>
  <c r="R983" i="4"/>
  <c r="S983" i="4" s="1"/>
  <c r="N983" i="4"/>
  <c r="K983" i="4"/>
  <c r="BF982" i="4"/>
  <c r="BB982" i="4"/>
  <c r="AX982" i="4"/>
  <c r="AT982" i="4"/>
  <c r="AU982" i="4" s="1"/>
  <c r="AP982" i="4"/>
  <c r="AL982" i="4"/>
  <c r="AH982" i="4"/>
  <c r="AD982" i="4"/>
  <c r="Z982" i="4"/>
  <c r="V982" i="4"/>
  <c r="R982" i="4"/>
  <c r="N982" i="4"/>
  <c r="K982" i="4"/>
  <c r="BG981" i="4"/>
  <c r="BF981" i="4"/>
  <c r="BC981" i="4"/>
  <c r="BB981" i="4"/>
  <c r="AX981" i="4"/>
  <c r="AT981" i="4"/>
  <c r="AQ981" i="4"/>
  <c r="AP981" i="4"/>
  <c r="AL981" i="4"/>
  <c r="AI981" i="4"/>
  <c r="AH981" i="4"/>
  <c r="AD981" i="4"/>
  <c r="AE981" i="4" s="1"/>
  <c r="Z981" i="4"/>
  <c r="AA981" i="4" s="1"/>
  <c r="V981" i="4"/>
  <c r="R981" i="4"/>
  <c r="N981" i="4"/>
  <c r="O981" i="4" s="1"/>
  <c r="K981" i="4"/>
  <c r="AY981" i="4" s="1"/>
  <c r="BF980" i="4"/>
  <c r="BC980" i="4"/>
  <c r="BB980" i="4"/>
  <c r="AX980" i="4"/>
  <c r="AT980" i="4"/>
  <c r="AP980" i="4"/>
  <c r="AQ980" i="4" s="1"/>
  <c r="AL980" i="4"/>
  <c r="AH980" i="4"/>
  <c r="AI980" i="4" s="1"/>
  <c r="AD980" i="4"/>
  <c r="AA980" i="4"/>
  <c r="Z980" i="4"/>
  <c r="W980" i="4"/>
  <c r="V980" i="4"/>
  <c r="R980" i="4"/>
  <c r="N980" i="4"/>
  <c r="K980" i="4"/>
  <c r="BF979" i="4"/>
  <c r="BB979" i="4"/>
  <c r="AX979" i="4"/>
  <c r="AY979" i="4" s="1"/>
  <c r="AT979" i="4"/>
  <c r="AP979" i="4"/>
  <c r="AL979" i="4"/>
  <c r="AM979" i="4" s="1"/>
  <c r="AH979" i="4"/>
  <c r="AD979" i="4"/>
  <c r="Z979" i="4"/>
  <c r="V979" i="4"/>
  <c r="R979" i="4"/>
  <c r="N979" i="4"/>
  <c r="K979" i="4"/>
  <c r="BF978" i="4"/>
  <c r="BB978" i="4"/>
  <c r="AX978" i="4"/>
  <c r="AY978" i="4" s="1"/>
  <c r="AT978" i="4"/>
  <c r="AP978" i="4"/>
  <c r="AL978" i="4"/>
  <c r="AM978" i="4" s="1"/>
  <c r="AI978" i="4"/>
  <c r="AH978" i="4"/>
  <c r="AE978" i="4"/>
  <c r="AD978" i="4"/>
  <c r="Z978" i="4"/>
  <c r="V978" i="4"/>
  <c r="W978" i="4" s="1"/>
  <c r="S978" i="4"/>
  <c r="R978" i="4"/>
  <c r="N978" i="4"/>
  <c r="K978" i="4"/>
  <c r="BF977" i="4"/>
  <c r="BG977" i="4" s="1"/>
  <c r="BC977" i="4"/>
  <c r="BB977" i="4"/>
  <c r="AX977" i="4"/>
  <c r="AY977" i="4" s="1"/>
  <c r="AT977" i="4"/>
  <c r="AU977" i="4" s="1"/>
  <c r="AP977" i="4"/>
  <c r="AQ977" i="4" s="1"/>
  <c r="AL977" i="4"/>
  <c r="AH977" i="4"/>
  <c r="AI977" i="4" s="1"/>
  <c r="AD977" i="4"/>
  <c r="AE977" i="4" s="1"/>
  <c r="AA977" i="4"/>
  <c r="Z977" i="4"/>
  <c r="V977" i="4"/>
  <c r="W977" i="4" s="1"/>
  <c r="S977" i="4"/>
  <c r="R977" i="4"/>
  <c r="N977" i="4"/>
  <c r="O977" i="4" s="1"/>
  <c r="K977" i="4"/>
  <c r="BG976" i="4"/>
  <c r="BF976" i="4"/>
  <c r="BB976" i="4"/>
  <c r="AX976" i="4"/>
  <c r="AT976" i="4"/>
  <c r="AP976" i="4"/>
  <c r="AL976" i="4"/>
  <c r="AI976" i="4"/>
  <c r="AH976" i="4"/>
  <c r="AE976" i="4"/>
  <c r="AD976" i="4"/>
  <c r="Z976" i="4"/>
  <c r="V976" i="4"/>
  <c r="R976" i="4"/>
  <c r="S976" i="4" s="1"/>
  <c r="O976" i="4"/>
  <c r="N976" i="4"/>
  <c r="K976" i="4"/>
  <c r="AQ976" i="4" s="1"/>
  <c r="BF975" i="4"/>
  <c r="BG975" i="4" s="1"/>
  <c r="BB975" i="4"/>
  <c r="BC975" i="4" s="1"/>
  <c r="AY975" i="4"/>
  <c r="AX975" i="4"/>
  <c r="AT975" i="4"/>
  <c r="AU975" i="4" s="1"/>
  <c r="AQ975" i="4"/>
  <c r="AP975" i="4"/>
  <c r="AL975" i="4"/>
  <c r="AH975" i="4"/>
  <c r="AD975" i="4"/>
  <c r="AE975" i="4" s="1"/>
  <c r="Z975" i="4"/>
  <c r="AA975" i="4" s="1"/>
  <c r="W975" i="4"/>
  <c r="V975" i="4"/>
  <c r="S975" i="4"/>
  <c r="R975" i="4"/>
  <c r="O975" i="4"/>
  <c r="N975" i="4"/>
  <c r="K975" i="4"/>
  <c r="BG974" i="4"/>
  <c r="BF974" i="4"/>
  <c r="BC974" i="4"/>
  <c r="BB974" i="4"/>
  <c r="AY974" i="4"/>
  <c r="AX974" i="4"/>
  <c r="AT974" i="4"/>
  <c r="AP974" i="4"/>
  <c r="AM974" i="4"/>
  <c r="AL974" i="4"/>
  <c r="AH974" i="4"/>
  <c r="AE974" i="4"/>
  <c r="AD974" i="4"/>
  <c r="AA974" i="4"/>
  <c r="Z974" i="4"/>
  <c r="V974" i="4"/>
  <c r="W974" i="4" s="1"/>
  <c r="R974" i="4"/>
  <c r="N974" i="4"/>
  <c r="K974" i="4"/>
  <c r="BF973" i="4"/>
  <c r="BB973" i="4"/>
  <c r="AX973" i="4"/>
  <c r="AU973" i="4"/>
  <c r="AT973" i="4"/>
  <c r="AP973" i="4"/>
  <c r="AM973" i="4"/>
  <c r="AL973" i="4"/>
  <c r="AH973" i="4"/>
  <c r="AD973" i="4"/>
  <c r="Z973" i="4"/>
  <c r="V973" i="4"/>
  <c r="R973" i="4"/>
  <c r="N973" i="4"/>
  <c r="O973" i="4" s="1"/>
  <c r="K973" i="4"/>
  <c r="AQ973" i="4" s="1"/>
  <c r="BG972" i="4"/>
  <c r="BF972" i="4"/>
  <c r="BB972" i="4"/>
  <c r="BC972" i="4" s="1"/>
  <c r="AY972" i="4"/>
  <c r="AX972" i="4"/>
  <c r="AT972" i="4"/>
  <c r="AU972" i="4" s="1"/>
  <c r="AP972" i="4"/>
  <c r="AL972" i="4"/>
  <c r="AI972" i="4"/>
  <c r="AH972" i="4"/>
  <c r="AE972" i="4"/>
  <c r="AD972" i="4"/>
  <c r="AA972" i="4"/>
  <c r="Z972" i="4"/>
  <c r="W972" i="4"/>
  <c r="V972" i="4"/>
  <c r="R972" i="4"/>
  <c r="S972" i="4" s="1"/>
  <c r="N972" i="4"/>
  <c r="K972" i="4"/>
  <c r="BF971" i="4"/>
  <c r="BB971" i="4"/>
  <c r="AY971" i="4"/>
  <c r="AX971" i="4"/>
  <c r="AT971" i="4"/>
  <c r="AP971" i="4"/>
  <c r="AL971" i="4"/>
  <c r="AH971" i="4"/>
  <c r="AD971" i="4"/>
  <c r="Z971" i="4"/>
  <c r="V971" i="4"/>
  <c r="R971" i="4"/>
  <c r="N971" i="4"/>
  <c r="K971" i="4"/>
  <c r="BG970" i="4"/>
  <c r="BF970" i="4"/>
  <c r="BC970" i="4"/>
  <c r="BB970" i="4"/>
  <c r="AY970" i="4"/>
  <c r="AX970" i="4"/>
  <c r="AU970" i="4"/>
  <c r="AT970" i="4"/>
  <c r="AP970" i="4"/>
  <c r="AQ970" i="4" s="1"/>
  <c r="AL970" i="4"/>
  <c r="AI970" i="4"/>
  <c r="AH970" i="4"/>
  <c r="AE970" i="4"/>
  <c r="AD970" i="4"/>
  <c r="AA970" i="4"/>
  <c r="Z970" i="4"/>
  <c r="W970" i="4"/>
  <c r="V970" i="4"/>
  <c r="S970" i="4"/>
  <c r="R970" i="4"/>
  <c r="O970" i="4"/>
  <c r="N970" i="4"/>
  <c r="K970" i="4"/>
  <c r="BF969" i="4"/>
  <c r="BB969" i="4"/>
  <c r="AX969" i="4"/>
  <c r="AU969" i="4"/>
  <c r="AT969" i="4"/>
  <c r="AP969" i="4"/>
  <c r="AL969" i="4"/>
  <c r="AI969" i="4"/>
  <c r="AH969" i="4"/>
  <c r="AD969" i="4"/>
  <c r="Z969" i="4"/>
  <c r="V969" i="4"/>
  <c r="R969" i="4"/>
  <c r="N969" i="4"/>
  <c r="K969" i="4"/>
  <c r="BF968" i="4"/>
  <c r="BC968" i="4"/>
  <c r="BB968" i="4"/>
  <c r="AY968" i="4"/>
  <c r="AX968" i="4"/>
  <c r="AU968" i="4"/>
  <c r="AT968" i="4"/>
  <c r="AP968" i="4"/>
  <c r="AL968" i="4"/>
  <c r="AM968" i="4" s="1"/>
  <c r="AH968" i="4"/>
  <c r="AE968" i="4"/>
  <c r="AD968" i="4"/>
  <c r="Z968" i="4"/>
  <c r="W968" i="4"/>
  <c r="V968" i="4"/>
  <c r="R968" i="4"/>
  <c r="S968" i="4" s="1"/>
  <c r="N968" i="4"/>
  <c r="K968" i="4"/>
  <c r="BG967" i="4"/>
  <c r="BF967" i="4"/>
  <c r="BC967" i="4"/>
  <c r="BB967" i="4"/>
  <c r="AX967" i="4"/>
  <c r="AT967" i="4"/>
  <c r="AP967" i="4"/>
  <c r="AQ967" i="4" s="1"/>
  <c r="AL967" i="4"/>
  <c r="AI967" i="4"/>
  <c r="AH967" i="4"/>
  <c r="AD967" i="4"/>
  <c r="AE967" i="4" s="1"/>
  <c r="Z967" i="4"/>
  <c r="AA967" i="4" s="1"/>
  <c r="V967" i="4"/>
  <c r="R967" i="4"/>
  <c r="N967" i="4"/>
  <c r="O967" i="4" s="1"/>
  <c r="K967" i="4"/>
  <c r="AY967" i="4" s="1"/>
  <c r="BF966" i="4"/>
  <c r="BC966" i="4"/>
  <c r="BB966" i="4"/>
  <c r="AX966" i="4"/>
  <c r="AT966" i="4"/>
  <c r="AP966" i="4"/>
  <c r="AL966" i="4"/>
  <c r="AH966" i="4"/>
  <c r="AI966" i="4" s="1"/>
  <c r="AD966" i="4"/>
  <c r="Z966" i="4"/>
  <c r="AA966" i="4" s="1"/>
  <c r="W966" i="4"/>
  <c r="V966" i="4"/>
  <c r="S966" i="4"/>
  <c r="R966" i="4"/>
  <c r="N966" i="4"/>
  <c r="K966" i="4"/>
  <c r="BF965" i="4"/>
  <c r="BB965" i="4"/>
  <c r="AX965" i="4"/>
  <c r="AT965" i="4"/>
  <c r="AP965" i="4"/>
  <c r="AL965" i="4"/>
  <c r="AH965" i="4"/>
  <c r="AD965" i="4"/>
  <c r="Z965" i="4"/>
  <c r="V965" i="4"/>
  <c r="R965" i="4"/>
  <c r="N965" i="4"/>
  <c r="K965" i="4"/>
  <c r="BF964" i="4"/>
  <c r="BB964" i="4"/>
  <c r="AX964" i="4"/>
  <c r="AT964" i="4"/>
  <c r="AP964" i="4"/>
  <c r="AL964" i="4"/>
  <c r="AI964" i="4"/>
  <c r="AH964" i="4"/>
  <c r="AE964" i="4"/>
  <c r="AD964" i="4"/>
  <c r="Z964" i="4"/>
  <c r="V964" i="4"/>
  <c r="W964" i="4" s="1"/>
  <c r="S964" i="4"/>
  <c r="R964" i="4"/>
  <c r="N964" i="4"/>
  <c r="K964" i="4"/>
  <c r="BF963" i="4"/>
  <c r="BG963" i="4" s="1"/>
  <c r="BC963" i="4"/>
  <c r="BB963" i="4"/>
  <c r="AX963" i="4"/>
  <c r="AY963" i="4" s="1"/>
  <c r="AU963" i="4"/>
  <c r="AT963" i="4"/>
  <c r="AP963" i="4"/>
  <c r="AQ963" i="4" s="1"/>
  <c r="AL963" i="4"/>
  <c r="AH963" i="4"/>
  <c r="AI963" i="4" s="1"/>
  <c r="AD963" i="4"/>
  <c r="AE963" i="4" s="1"/>
  <c r="AA963" i="4"/>
  <c r="Z963" i="4"/>
  <c r="V963" i="4"/>
  <c r="W963" i="4" s="1"/>
  <c r="S963" i="4"/>
  <c r="R963" i="4"/>
  <c r="N963" i="4"/>
  <c r="O963" i="4" s="1"/>
  <c r="K963" i="4"/>
  <c r="BF962" i="4"/>
  <c r="BB962" i="4"/>
  <c r="AX962" i="4"/>
  <c r="AU962" i="4"/>
  <c r="AT962" i="4"/>
  <c r="AP962" i="4"/>
  <c r="AL962" i="4"/>
  <c r="AH962" i="4"/>
  <c r="AD962" i="4"/>
  <c r="Z962" i="4"/>
  <c r="V962" i="4"/>
  <c r="R962" i="4"/>
  <c r="O962" i="4"/>
  <c r="N962" i="4"/>
  <c r="K962" i="4"/>
  <c r="BF961" i="4"/>
  <c r="BG961" i="4" s="1"/>
  <c r="BB961" i="4"/>
  <c r="BC961" i="4" s="1"/>
  <c r="AY961" i="4"/>
  <c r="AX961" i="4"/>
  <c r="AT961" i="4"/>
  <c r="AU961" i="4" s="1"/>
  <c r="AP961" i="4"/>
  <c r="AQ961" i="4" s="1"/>
  <c r="AL961" i="4"/>
  <c r="AH961" i="4"/>
  <c r="AD961" i="4"/>
  <c r="AE961" i="4" s="1"/>
  <c r="Z961" i="4"/>
  <c r="AA961" i="4" s="1"/>
  <c r="W961" i="4"/>
  <c r="V961" i="4"/>
  <c r="S961" i="4"/>
  <c r="R961" i="4"/>
  <c r="O961" i="4"/>
  <c r="N961" i="4"/>
  <c r="K961" i="4"/>
  <c r="BF960" i="4"/>
  <c r="BG960" i="4" s="1"/>
  <c r="BC960" i="4"/>
  <c r="BB960" i="4"/>
  <c r="AY960" i="4"/>
  <c r="AX960" i="4"/>
  <c r="AT960" i="4"/>
  <c r="AP960" i="4"/>
  <c r="AM960" i="4"/>
  <c r="AL960" i="4"/>
  <c r="AH960" i="4"/>
  <c r="AD960" i="4"/>
  <c r="AE960" i="4" s="1"/>
  <c r="AA960" i="4"/>
  <c r="Z960" i="4"/>
  <c r="V960" i="4"/>
  <c r="W960" i="4" s="1"/>
  <c r="R960" i="4"/>
  <c r="O960" i="4"/>
  <c r="N960" i="4"/>
  <c r="K960" i="4"/>
  <c r="BF959" i="4"/>
  <c r="BB959" i="4"/>
  <c r="AX959" i="4"/>
  <c r="AT959" i="4"/>
  <c r="AP959" i="4"/>
  <c r="AM959" i="4"/>
  <c r="AL959" i="4"/>
  <c r="AH959" i="4"/>
  <c r="AD959" i="4"/>
  <c r="AA959" i="4"/>
  <c r="Z959" i="4"/>
  <c r="V959" i="4"/>
  <c r="R959" i="4"/>
  <c r="O959" i="4"/>
  <c r="N959" i="4"/>
  <c r="K959" i="4"/>
  <c r="AQ959" i="4" s="1"/>
  <c r="BG958" i="4"/>
  <c r="BF958" i="4"/>
  <c r="BB958" i="4"/>
  <c r="BC958" i="4" s="1"/>
  <c r="AY958" i="4"/>
  <c r="AX958" i="4"/>
  <c r="AT958" i="4"/>
  <c r="AU958" i="4" s="1"/>
  <c r="AP958" i="4"/>
  <c r="AL958" i="4"/>
  <c r="AI958" i="4"/>
  <c r="AH958" i="4"/>
  <c r="AE958" i="4"/>
  <c r="AD958" i="4"/>
  <c r="AA958" i="4"/>
  <c r="Z958" i="4"/>
  <c r="W958" i="4"/>
  <c r="V958" i="4"/>
  <c r="S958" i="4"/>
  <c r="R958" i="4"/>
  <c r="N958" i="4"/>
  <c r="K958" i="4"/>
  <c r="AM958" i="4" s="1"/>
  <c r="BF957" i="4"/>
  <c r="BB957" i="4"/>
  <c r="AX957" i="4"/>
  <c r="AT957" i="4"/>
  <c r="AP957" i="4"/>
  <c r="AL957" i="4"/>
  <c r="AH957" i="4"/>
  <c r="AI957" i="4" s="1"/>
  <c r="AD957" i="4"/>
  <c r="Z957" i="4"/>
  <c r="V957" i="4"/>
  <c r="R957" i="4"/>
  <c r="N957" i="4"/>
  <c r="K957" i="4"/>
  <c r="BG956" i="4"/>
  <c r="BF956" i="4"/>
  <c r="BC956" i="4"/>
  <c r="BB956" i="4"/>
  <c r="AX956" i="4"/>
  <c r="AY956" i="4" s="1"/>
  <c r="AU956" i="4"/>
  <c r="AT956" i="4"/>
  <c r="AQ956" i="4"/>
  <c r="AP956" i="4"/>
  <c r="AL956" i="4"/>
  <c r="AI956" i="4"/>
  <c r="AH956" i="4"/>
  <c r="AE956" i="4"/>
  <c r="AD956" i="4"/>
  <c r="AA956" i="4"/>
  <c r="Z956" i="4"/>
  <c r="W956" i="4"/>
  <c r="V956" i="4"/>
  <c r="S956" i="4"/>
  <c r="R956" i="4"/>
  <c r="N956" i="4"/>
  <c r="O956" i="4" s="1"/>
  <c r="K956" i="4"/>
  <c r="BF955" i="4"/>
  <c r="BB955" i="4"/>
  <c r="AX955" i="4"/>
  <c r="AT955" i="4"/>
  <c r="AP955" i="4"/>
  <c r="AL955" i="4"/>
  <c r="AH955" i="4"/>
  <c r="AE955" i="4"/>
  <c r="AD955" i="4"/>
  <c r="Z955" i="4"/>
  <c r="V955" i="4"/>
  <c r="R955" i="4"/>
  <c r="N955" i="4"/>
  <c r="K955" i="4"/>
  <c r="BF954" i="4"/>
  <c r="BC954" i="4"/>
  <c r="BB954" i="4"/>
  <c r="AY954" i="4"/>
  <c r="AX954" i="4"/>
  <c r="AT954" i="4"/>
  <c r="AP954" i="4"/>
  <c r="AL954" i="4"/>
  <c r="AH954" i="4"/>
  <c r="AE954" i="4"/>
  <c r="AD954" i="4"/>
  <c r="Z954" i="4"/>
  <c r="W954" i="4"/>
  <c r="V954" i="4"/>
  <c r="S954" i="4"/>
  <c r="R954" i="4"/>
  <c r="O954" i="4"/>
  <c r="N954" i="4"/>
  <c r="K954" i="4"/>
  <c r="BG953" i="4"/>
  <c r="BF953" i="4"/>
  <c r="BC953" i="4"/>
  <c r="BB953" i="4"/>
  <c r="AX953" i="4"/>
  <c r="AT953" i="4"/>
  <c r="AQ953" i="4"/>
  <c r="AP953" i="4"/>
  <c r="AL953" i="4"/>
  <c r="AI953" i="4"/>
  <c r="AH953" i="4"/>
  <c r="AD953" i="4"/>
  <c r="AE953" i="4" s="1"/>
  <c r="AA953" i="4"/>
  <c r="Z953" i="4"/>
  <c r="V953" i="4"/>
  <c r="R953" i="4"/>
  <c r="N953" i="4"/>
  <c r="O953" i="4" s="1"/>
  <c r="K953" i="4"/>
  <c r="AY953" i="4" s="1"/>
  <c r="BF952" i="4"/>
  <c r="BB952" i="4"/>
  <c r="BC952" i="4" s="1"/>
  <c r="AY952" i="4"/>
  <c r="AX952" i="4"/>
  <c r="AU952" i="4"/>
  <c r="AT952" i="4"/>
  <c r="AP952" i="4"/>
  <c r="AQ952" i="4" s="1"/>
  <c r="AL952" i="4"/>
  <c r="AH952" i="4"/>
  <c r="AI952" i="4" s="1"/>
  <c r="AE952" i="4"/>
  <c r="AD952" i="4"/>
  <c r="Z952" i="4"/>
  <c r="AA952" i="4" s="1"/>
  <c r="W952" i="4"/>
  <c r="V952" i="4"/>
  <c r="S952" i="4"/>
  <c r="R952" i="4"/>
  <c r="O952" i="4"/>
  <c r="N952" i="4"/>
  <c r="K952" i="4"/>
  <c r="BF951" i="4"/>
  <c r="BB951" i="4"/>
  <c r="AY951" i="4"/>
  <c r="AX951" i="4"/>
  <c r="AT951" i="4"/>
  <c r="AP951" i="4"/>
  <c r="AL951" i="4"/>
  <c r="AH951" i="4"/>
  <c r="AD951" i="4"/>
  <c r="Z951" i="4"/>
  <c r="V951" i="4"/>
  <c r="R951" i="4"/>
  <c r="N951" i="4"/>
  <c r="K951" i="4"/>
  <c r="BC951" i="4" s="1"/>
  <c r="BG950" i="4"/>
  <c r="BF950" i="4"/>
  <c r="BB950" i="4"/>
  <c r="BC950" i="4" s="1"/>
  <c r="AY950" i="4"/>
  <c r="AX950" i="4"/>
  <c r="AT950" i="4"/>
  <c r="AP950" i="4"/>
  <c r="AL950" i="4"/>
  <c r="AI950" i="4"/>
  <c r="AH950" i="4"/>
  <c r="AE950" i="4"/>
  <c r="AD950" i="4"/>
  <c r="AA950" i="4"/>
  <c r="Z950" i="4"/>
  <c r="W950" i="4"/>
  <c r="V950" i="4"/>
  <c r="R950" i="4"/>
  <c r="O950" i="4"/>
  <c r="N950" i="4"/>
  <c r="K950" i="4"/>
  <c r="AM950" i="4" s="1"/>
  <c r="BF949" i="4"/>
  <c r="BG949" i="4" s="1"/>
  <c r="BB949" i="4"/>
  <c r="BC949" i="4" s="1"/>
  <c r="AX949" i="4"/>
  <c r="AY949" i="4" s="1"/>
  <c r="AU949" i="4"/>
  <c r="AT949" i="4"/>
  <c r="AP949" i="4"/>
  <c r="AQ949" i="4" s="1"/>
  <c r="AL949" i="4"/>
  <c r="AI949" i="4"/>
  <c r="AH949" i="4"/>
  <c r="AD949" i="4"/>
  <c r="AE949" i="4" s="1"/>
  <c r="Z949" i="4"/>
  <c r="AA949" i="4" s="1"/>
  <c r="V949" i="4"/>
  <c r="W949" i="4" s="1"/>
  <c r="S949" i="4"/>
  <c r="R949" i="4"/>
  <c r="N949" i="4"/>
  <c r="O949" i="4" s="1"/>
  <c r="K949" i="4"/>
  <c r="AM949" i="4" s="1"/>
  <c r="BG948" i="4"/>
  <c r="BF948" i="4"/>
  <c r="BC948" i="4"/>
  <c r="BB948" i="4"/>
  <c r="AY948" i="4"/>
  <c r="AX948" i="4"/>
  <c r="AT948" i="4"/>
  <c r="AP948" i="4"/>
  <c r="AM948" i="4"/>
  <c r="AL948" i="4"/>
  <c r="AH948" i="4"/>
  <c r="AE948" i="4"/>
  <c r="AD948" i="4"/>
  <c r="Z948" i="4"/>
  <c r="AA948" i="4" s="1"/>
  <c r="W948" i="4"/>
  <c r="V948" i="4"/>
  <c r="R948" i="4"/>
  <c r="O948" i="4"/>
  <c r="N948" i="4"/>
  <c r="K948" i="4"/>
  <c r="BF947" i="4"/>
  <c r="BG947" i="4" s="1"/>
  <c r="BB947" i="4"/>
  <c r="AY947" i="4"/>
  <c r="AX947" i="4"/>
  <c r="AT947" i="4"/>
  <c r="AU947" i="4" s="1"/>
  <c r="AQ947" i="4"/>
  <c r="AP947" i="4"/>
  <c r="AL947" i="4"/>
  <c r="AH947" i="4"/>
  <c r="AD947" i="4"/>
  <c r="AE947" i="4" s="1"/>
  <c r="Z947" i="4"/>
  <c r="V947" i="4"/>
  <c r="W947" i="4" s="1"/>
  <c r="S947" i="4"/>
  <c r="R947" i="4"/>
  <c r="N947" i="4"/>
  <c r="O947" i="4" s="1"/>
  <c r="K947" i="4"/>
  <c r="BF946" i="4"/>
  <c r="BC946" i="4"/>
  <c r="BB946" i="4"/>
  <c r="AY946" i="4"/>
  <c r="AX946" i="4"/>
  <c r="AT946" i="4"/>
  <c r="AP946" i="4"/>
  <c r="AM946" i="4"/>
  <c r="AL946" i="4"/>
  <c r="AI946" i="4"/>
  <c r="AH946" i="4"/>
  <c r="AD946" i="4"/>
  <c r="AA946" i="4"/>
  <c r="Z946" i="4"/>
  <c r="V946" i="4"/>
  <c r="W946" i="4" s="1"/>
  <c r="R946" i="4"/>
  <c r="N946" i="4"/>
  <c r="O946" i="4" s="1"/>
  <c r="K946" i="4"/>
  <c r="BF945" i="4"/>
  <c r="BB945" i="4"/>
  <c r="AX945" i="4"/>
  <c r="AT945" i="4"/>
  <c r="AP945" i="4"/>
  <c r="AL945" i="4"/>
  <c r="AH945" i="4"/>
  <c r="AD945" i="4"/>
  <c r="Z945" i="4"/>
  <c r="V945" i="4"/>
  <c r="R945" i="4"/>
  <c r="N945" i="4"/>
  <c r="K945" i="4"/>
  <c r="BF944" i="4"/>
  <c r="BB944" i="4"/>
  <c r="AX944" i="4"/>
  <c r="AT944" i="4"/>
  <c r="AP944" i="4"/>
  <c r="AL944" i="4"/>
  <c r="AI944" i="4"/>
  <c r="AH944" i="4"/>
  <c r="AD944" i="4"/>
  <c r="AA944" i="4"/>
  <c r="Z944" i="4"/>
  <c r="V944" i="4"/>
  <c r="R944" i="4"/>
  <c r="N944" i="4"/>
  <c r="K944" i="4"/>
  <c r="BG943" i="4"/>
  <c r="BF943" i="4"/>
  <c r="BB943" i="4"/>
  <c r="AX943" i="4"/>
  <c r="AY943" i="4" s="1"/>
  <c r="AT943" i="4"/>
  <c r="AP943" i="4"/>
  <c r="AQ943" i="4" s="1"/>
  <c r="AL943" i="4"/>
  <c r="AI943" i="4"/>
  <c r="AH943" i="4"/>
  <c r="AE943" i="4"/>
  <c r="AD943" i="4"/>
  <c r="Z943" i="4"/>
  <c r="V943" i="4"/>
  <c r="W943" i="4" s="1"/>
  <c r="S943" i="4"/>
  <c r="R943" i="4"/>
  <c r="N943" i="4"/>
  <c r="O943" i="4" s="1"/>
  <c r="K943" i="4"/>
  <c r="BF942" i="4"/>
  <c r="BB942" i="4"/>
  <c r="AX942" i="4"/>
  <c r="AT942" i="4"/>
  <c r="AP942" i="4"/>
  <c r="AL942" i="4"/>
  <c r="AH942" i="4"/>
  <c r="AD942" i="4"/>
  <c r="Z942" i="4"/>
  <c r="V942" i="4"/>
  <c r="R942" i="4"/>
  <c r="N942" i="4"/>
  <c r="K942" i="4"/>
  <c r="BF941" i="4"/>
  <c r="BB941" i="4"/>
  <c r="AX941" i="4"/>
  <c r="AT941" i="4"/>
  <c r="AP941" i="4"/>
  <c r="AL941" i="4"/>
  <c r="AH941" i="4"/>
  <c r="AD941" i="4"/>
  <c r="AE941" i="4" s="1"/>
  <c r="Z941" i="4"/>
  <c r="V941" i="4"/>
  <c r="R941" i="4"/>
  <c r="N941" i="4"/>
  <c r="K941" i="4"/>
  <c r="BG940" i="4"/>
  <c r="BF940" i="4"/>
  <c r="BB940" i="4"/>
  <c r="BC940" i="4" s="1"/>
  <c r="AY940" i="4"/>
  <c r="AX940" i="4"/>
  <c r="AT940" i="4"/>
  <c r="AQ940" i="4"/>
  <c r="AP940" i="4"/>
  <c r="AM940" i="4"/>
  <c r="AL940" i="4"/>
  <c r="AI940" i="4"/>
  <c r="AH940" i="4"/>
  <c r="AD940" i="4"/>
  <c r="AE940" i="4" s="1"/>
  <c r="AA940" i="4"/>
  <c r="Z940" i="4"/>
  <c r="W940" i="4"/>
  <c r="V940" i="4"/>
  <c r="R940" i="4"/>
  <c r="O940" i="4"/>
  <c r="N940" i="4"/>
  <c r="K940" i="4"/>
  <c r="BF939" i="4"/>
  <c r="BB939" i="4"/>
  <c r="BC939" i="4" s="1"/>
  <c r="AY939" i="4"/>
  <c r="AX939" i="4"/>
  <c r="AT939" i="4"/>
  <c r="AP939" i="4"/>
  <c r="AM939" i="4"/>
  <c r="AL939" i="4"/>
  <c r="AI939" i="4"/>
  <c r="AH939" i="4"/>
  <c r="AD939" i="4"/>
  <c r="Z939" i="4"/>
  <c r="W939" i="4"/>
  <c r="V939" i="4"/>
  <c r="R939" i="4"/>
  <c r="O939" i="4"/>
  <c r="N939" i="4"/>
  <c r="K939" i="4"/>
  <c r="AQ939" i="4" s="1"/>
  <c r="BF938" i="4"/>
  <c r="BB938" i="4"/>
  <c r="AX938" i="4"/>
  <c r="AT938" i="4"/>
  <c r="AP938" i="4"/>
  <c r="AL938" i="4"/>
  <c r="AH938" i="4"/>
  <c r="AD938" i="4"/>
  <c r="Z938" i="4"/>
  <c r="V938" i="4"/>
  <c r="R938" i="4"/>
  <c r="N938" i="4"/>
  <c r="K938" i="4"/>
  <c r="BG937" i="4"/>
  <c r="BF937" i="4"/>
  <c r="BB937" i="4"/>
  <c r="AY937" i="4"/>
  <c r="AX937" i="4"/>
  <c r="AT937" i="4"/>
  <c r="AP937" i="4"/>
  <c r="AM937" i="4"/>
  <c r="AL937" i="4"/>
  <c r="AH937" i="4"/>
  <c r="AI937" i="4" s="1"/>
  <c r="AE937" i="4"/>
  <c r="AD937" i="4"/>
  <c r="Z937" i="4"/>
  <c r="W937" i="4"/>
  <c r="V937" i="4"/>
  <c r="R937" i="4"/>
  <c r="S937" i="4" s="1"/>
  <c r="N937" i="4"/>
  <c r="K937" i="4"/>
  <c r="BF936" i="4"/>
  <c r="BG936" i="4" s="1"/>
  <c r="BC936" i="4"/>
  <c r="BB936" i="4"/>
  <c r="AX936" i="4"/>
  <c r="AY936" i="4" s="1"/>
  <c r="AT936" i="4"/>
  <c r="AU936" i="4" s="1"/>
  <c r="AQ936" i="4"/>
  <c r="AP936" i="4"/>
  <c r="AL936" i="4"/>
  <c r="AI936" i="4"/>
  <c r="AH936" i="4"/>
  <c r="AD936" i="4"/>
  <c r="AE936" i="4" s="1"/>
  <c r="AA936" i="4"/>
  <c r="Z936" i="4"/>
  <c r="W936" i="4"/>
  <c r="V936" i="4"/>
  <c r="S936" i="4"/>
  <c r="R936" i="4"/>
  <c r="O936" i="4"/>
  <c r="BH936" i="4" s="1"/>
  <c r="BI936" i="4" s="1"/>
  <c r="N936" i="4"/>
  <c r="K936" i="4"/>
  <c r="AM936" i="4" s="1"/>
  <c r="BF935" i="4"/>
  <c r="BG935" i="4" s="1"/>
  <c r="BC935" i="4"/>
  <c r="BB935" i="4"/>
  <c r="AX935" i="4"/>
  <c r="AY935" i="4" s="1"/>
  <c r="AT935" i="4"/>
  <c r="AU935" i="4" s="1"/>
  <c r="AP935" i="4"/>
  <c r="AQ935" i="4" s="1"/>
  <c r="AL935" i="4"/>
  <c r="AI935" i="4"/>
  <c r="AH935" i="4"/>
  <c r="AD935" i="4"/>
  <c r="AE935" i="4" s="1"/>
  <c r="Z935" i="4"/>
  <c r="AA935" i="4" s="1"/>
  <c r="V935" i="4"/>
  <c r="W935" i="4" s="1"/>
  <c r="S935" i="4"/>
  <c r="R935" i="4"/>
  <c r="N935" i="4"/>
  <c r="O935" i="4" s="1"/>
  <c r="K935" i="4"/>
  <c r="AM935" i="4" s="1"/>
  <c r="BF934" i="4"/>
  <c r="BC934" i="4"/>
  <c r="BB934" i="4"/>
  <c r="AX934" i="4"/>
  <c r="AU934" i="4"/>
  <c r="AT934" i="4"/>
  <c r="AP934" i="4"/>
  <c r="AL934" i="4"/>
  <c r="AH934" i="4"/>
  <c r="AD934" i="4"/>
  <c r="Z934" i="4"/>
  <c r="V934" i="4"/>
  <c r="R934" i="4"/>
  <c r="N934" i="4"/>
  <c r="K934" i="4"/>
  <c r="BG933" i="4"/>
  <c r="BF933" i="4"/>
  <c r="BB933" i="4"/>
  <c r="BC933" i="4" s="1"/>
  <c r="AX933" i="4"/>
  <c r="AY933" i="4" s="1"/>
  <c r="AT933" i="4"/>
  <c r="AQ933" i="4"/>
  <c r="AP933" i="4"/>
  <c r="AM933" i="4"/>
  <c r="AL933" i="4"/>
  <c r="AI933" i="4"/>
  <c r="AH933" i="4"/>
  <c r="AD933" i="4"/>
  <c r="AE933" i="4" s="1"/>
  <c r="AA933" i="4"/>
  <c r="Z933" i="4"/>
  <c r="W933" i="4"/>
  <c r="V933" i="4"/>
  <c r="R933" i="4"/>
  <c r="N933" i="4"/>
  <c r="O933" i="4" s="1"/>
  <c r="K933" i="4"/>
  <c r="BF932" i="4"/>
  <c r="BC932" i="4"/>
  <c r="BB932" i="4"/>
  <c r="AX932" i="4"/>
  <c r="AY932" i="4" s="1"/>
  <c r="AU932" i="4"/>
  <c r="AT932" i="4"/>
  <c r="AP932" i="4"/>
  <c r="AQ932" i="4" s="1"/>
  <c r="AL932" i="4"/>
  <c r="AH932" i="4"/>
  <c r="AD932" i="4"/>
  <c r="AA932" i="4"/>
  <c r="Z932" i="4"/>
  <c r="V932" i="4"/>
  <c r="W932" i="4" s="1"/>
  <c r="S932" i="4"/>
  <c r="R932" i="4"/>
  <c r="O932" i="4"/>
  <c r="N932" i="4"/>
  <c r="K932" i="4"/>
  <c r="BF931" i="4"/>
  <c r="BB931" i="4"/>
  <c r="BC931" i="4" s="1"/>
  <c r="AY931" i="4"/>
  <c r="AX931" i="4"/>
  <c r="AT931" i="4"/>
  <c r="AU931" i="4" s="1"/>
  <c r="AP931" i="4"/>
  <c r="AL931" i="4"/>
  <c r="AH931" i="4"/>
  <c r="AD931" i="4"/>
  <c r="Z931" i="4"/>
  <c r="V931" i="4"/>
  <c r="W931" i="4" s="1"/>
  <c r="S931" i="4"/>
  <c r="R931" i="4"/>
  <c r="N931" i="4"/>
  <c r="K931" i="4"/>
  <c r="BG930" i="4"/>
  <c r="BF930" i="4"/>
  <c r="BB930" i="4"/>
  <c r="AX930" i="4"/>
  <c r="AT930" i="4"/>
  <c r="AQ930" i="4"/>
  <c r="AP930" i="4"/>
  <c r="AL930" i="4"/>
  <c r="AM930" i="4" s="1"/>
  <c r="AI930" i="4"/>
  <c r="AH930" i="4"/>
  <c r="AD930" i="4"/>
  <c r="Z930" i="4"/>
  <c r="V930" i="4"/>
  <c r="R930" i="4"/>
  <c r="N930" i="4"/>
  <c r="K930" i="4"/>
  <c r="BH929" i="4"/>
  <c r="BI929" i="4" s="1"/>
  <c r="BF929" i="4"/>
  <c r="BG929" i="4" s="1"/>
  <c r="BC929" i="4"/>
  <c r="BB929" i="4"/>
  <c r="AX929" i="4"/>
  <c r="AY929" i="4" s="1"/>
  <c r="AT929" i="4"/>
  <c r="AU929" i="4" s="1"/>
  <c r="AP929" i="4"/>
  <c r="AQ929" i="4" s="1"/>
  <c r="AL929" i="4"/>
  <c r="AH929" i="4"/>
  <c r="AI929" i="4" s="1"/>
  <c r="AE929" i="4"/>
  <c r="AD929" i="4"/>
  <c r="AA929" i="4"/>
  <c r="Z929" i="4"/>
  <c r="W929" i="4"/>
  <c r="V929" i="4"/>
  <c r="S929" i="4"/>
  <c r="R929" i="4"/>
  <c r="O929" i="4"/>
  <c r="N929" i="4"/>
  <c r="K929" i="4"/>
  <c r="AM929" i="4" s="1"/>
  <c r="BG928" i="4"/>
  <c r="BF928" i="4"/>
  <c r="BC928" i="4"/>
  <c r="BB928" i="4"/>
  <c r="AX928" i="4"/>
  <c r="AU928" i="4"/>
  <c r="AT928" i="4"/>
  <c r="AQ928" i="4"/>
  <c r="AP928" i="4"/>
  <c r="AM928" i="4"/>
  <c r="AL928" i="4"/>
  <c r="AI928" i="4"/>
  <c r="AH928" i="4"/>
  <c r="AD928" i="4"/>
  <c r="AE928" i="4" s="1"/>
  <c r="AA928" i="4"/>
  <c r="Z928" i="4"/>
  <c r="V928" i="4"/>
  <c r="S928" i="4"/>
  <c r="R928" i="4"/>
  <c r="N928" i="4"/>
  <c r="O928" i="4" s="1"/>
  <c r="K928" i="4"/>
  <c r="BF927" i="4"/>
  <c r="BB927" i="4"/>
  <c r="AX927" i="4"/>
  <c r="AT927" i="4"/>
  <c r="AU927" i="4" s="1"/>
  <c r="AP927" i="4"/>
  <c r="AL927" i="4"/>
  <c r="AH927" i="4"/>
  <c r="AD927" i="4"/>
  <c r="Z927" i="4"/>
  <c r="V927" i="4"/>
  <c r="R927" i="4"/>
  <c r="N927" i="4"/>
  <c r="K927" i="4"/>
  <c r="BF926" i="4"/>
  <c r="BB926" i="4"/>
  <c r="BC926" i="4" s="1"/>
  <c r="AX926" i="4"/>
  <c r="AT926" i="4"/>
  <c r="AP926" i="4"/>
  <c r="AL926" i="4"/>
  <c r="AH926" i="4"/>
  <c r="AD926" i="4"/>
  <c r="Z926" i="4"/>
  <c r="W926" i="4"/>
  <c r="V926" i="4"/>
  <c r="R926" i="4"/>
  <c r="N926" i="4"/>
  <c r="K926" i="4"/>
  <c r="BF925" i="4"/>
  <c r="BB925" i="4"/>
  <c r="AX925" i="4"/>
  <c r="AT925" i="4"/>
  <c r="AP925" i="4"/>
  <c r="AM925" i="4"/>
  <c r="AL925" i="4"/>
  <c r="AI925" i="4"/>
  <c r="AH925" i="4"/>
  <c r="AD925" i="4"/>
  <c r="Z925" i="4"/>
  <c r="V925" i="4"/>
  <c r="R925" i="4"/>
  <c r="N925" i="4"/>
  <c r="K925" i="4"/>
  <c r="BG924" i="4"/>
  <c r="BF924" i="4"/>
  <c r="BB924" i="4"/>
  <c r="BC924" i="4" s="1"/>
  <c r="AY924" i="4"/>
  <c r="AX924" i="4"/>
  <c r="AT924" i="4"/>
  <c r="AP924" i="4"/>
  <c r="AM924" i="4"/>
  <c r="AL924" i="4"/>
  <c r="AI924" i="4"/>
  <c r="AH924" i="4"/>
  <c r="AE924" i="4"/>
  <c r="AD924" i="4"/>
  <c r="AA924" i="4"/>
  <c r="Z924" i="4"/>
  <c r="V924" i="4"/>
  <c r="W924" i="4" s="1"/>
  <c r="R924" i="4"/>
  <c r="N924" i="4"/>
  <c r="K924" i="4"/>
  <c r="BG923" i="4"/>
  <c r="BF923" i="4"/>
  <c r="BB923" i="4"/>
  <c r="AY923" i="4"/>
  <c r="AX923" i="4"/>
  <c r="AU923" i="4"/>
  <c r="AT923" i="4"/>
  <c r="AQ923" i="4"/>
  <c r="AP923" i="4"/>
  <c r="AM923" i="4"/>
  <c r="AL923" i="4"/>
  <c r="AI923" i="4"/>
  <c r="AH923" i="4"/>
  <c r="AE923" i="4"/>
  <c r="AD923" i="4"/>
  <c r="Z923" i="4"/>
  <c r="W923" i="4"/>
  <c r="V923" i="4"/>
  <c r="R923" i="4"/>
  <c r="S923" i="4" s="1"/>
  <c r="O923" i="4"/>
  <c r="N923" i="4"/>
  <c r="K923" i="4"/>
  <c r="BF922" i="4"/>
  <c r="BG922" i="4" s="1"/>
  <c r="BC922" i="4"/>
  <c r="BB922" i="4"/>
  <c r="AX922" i="4"/>
  <c r="AY922" i="4" s="1"/>
  <c r="AU922" i="4"/>
  <c r="AT922" i="4"/>
  <c r="AQ922" i="4"/>
  <c r="AP922" i="4"/>
  <c r="AL922" i="4"/>
  <c r="AH922" i="4"/>
  <c r="AI922" i="4" s="1"/>
  <c r="AD922" i="4"/>
  <c r="AE922" i="4" s="1"/>
  <c r="AA922" i="4"/>
  <c r="Z922" i="4"/>
  <c r="W922" i="4"/>
  <c r="V922" i="4"/>
  <c r="R922" i="4"/>
  <c r="S922" i="4" s="1"/>
  <c r="N922" i="4"/>
  <c r="O922" i="4" s="1"/>
  <c r="BH922" i="4" s="1"/>
  <c r="BI922" i="4" s="1"/>
  <c r="K922" i="4"/>
  <c r="AM922" i="4" s="1"/>
  <c r="BF921" i="4"/>
  <c r="BC921" i="4"/>
  <c r="BB921" i="4"/>
  <c r="AX921" i="4"/>
  <c r="AU921" i="4"/>
  <c r="AT921" i="4"/>
  <c r="AQ921" i="4"/>
  <c r="AP921" i="4"/>
  <c r="AL921" i="4"/>
  <c r="AH921" i="4"/>
  <c r="AI921" i="4" s="1"/>
  <c r="AD921" i="4"/>
  <c r="Z921" i="4"/>
  <c r="V921" i="4"/>
  <c r="S921" i="4"/>
  <c r="R921" i="4"/>
  <c r="N921" i="4"/>
  <c r="O921" i="4" s="1"/>
  <c r="K921" i="4"/>
  <c r="AM921" i="4" s="1"/>
  <c r="BF920" i="4"/>
  <c r="BC920" i="4"/>
  <c r="BB920" i="4"/>
  <c r="AX920" i="4"/>
  <c r="AU920" i="4"/>
  <c r="AT920" i="4"/>
  <c r="AQ920" i="4"/>
  <c r="AP920" i="4"/>
  <c r="AL920" i="4"/>
  <c r="AH920" i="4"/>
  <c r="AD920" i="4"/>
  <c r="Z920" i="4"/>
  <c r="V920" i="4"/>
  <c r="R920" i="4"/>
  <c r="O920" i="4"/>
  <c r="N920" i="4"/>
  <c r="K920" i="4"/>
  <c r="BG919" i="4"/>
  <c r="BF919" i="4"/>
  <c r="BB919" i="4"/>
  <c r="BC919" i="4" s="1"/>
  <c r="AX919" i="4"/>
  <c r="AY919" i="4" s="1"/>
  <c r="AT919" i="4"/>
  <c r="AQ919" i="4"/>
  <c r="AP919" i="4"/>
  <c r="AM919" i="4"/>
  <c r="AL919" i="4"/>
  <c r="AI919" i="4"/>
  <c r="AH919" i="4"/>
  <c r="AD919" i="4"/>
  <c r="AE919" i="4" s="1"/>
  <c r="Z919" i="4"/>
  <c r="AA919" i="4" s="1"/>
  <c r="W919" i="4"/>
  <c r="V919" i="4"/>
  <c r="R919" i="4"/>
  <c r="N919" i="4"/>
  <c r="O919" i="4" s="1"/>
  <c r="K919" i="4"/>
  <c r="BF918" i="4"/>
  <c r="BB918" i="4"/>
  <c r="AX918" i="4"/>
  <c r="AT918" i="4"/>
  <c r="AP918" i="4"/>
  <c r="AL918" i="4"/>
  <c r="AH918" i="4"/>
  <c r="AD918" i="4"/>
  <c r="Z918" i="4"/>
  <c r="AA918" i="4" s="1"/>
  <c r="V918" i="4"/>
  <c r="R918" i="4"/>
  <c r="O918" i="4"/>
  <c r="N918" i="4"/>
  <c r="K918" i="4"/>
  <c r="BF917" i="4"/>
  <c r="BB917" i="4"/>
  <c r="AX917" i="4"/>
  <c r="AT917" i="4"/>
  <c r="AP917" i="4"/>
  <c r="AM917" i="4"/>
  <c r="AL917" i="4"/>
  <c r="AH917" i="4"/>
  <c r="AD917" i="4"/>
  <c r="Z917" i="4"/>
  <c r="V917" i="4"/>
  <c r="R917" i="4"/>
  <c r="N917" i="4"/>
  <c r="K917" i="4"/>
  <c r="BG916" i="4"/>
  <c r="BF916" i="4"/>
  <c r="BB916" i="4"/>
  <c r="AX916" i="4"/>
  <c r="AT916" i="4"/>
  <c r="AU916" i="4" s="1"/>
  <c r="AP916" i="4"/>
  <c r="AL916" i="4"/>
  <c r="AH916" i="4"/>
  <c r="AI916" i="4" s="1"/>
  <c r="AE916" i="4"/>
  <c r="AD916" i="4"/>
  <c r="Z916" i="4"/>
  <c r="V916" i="4"/>
  <c r="S916" i="4"/>
  <c r="R916" i="4"/>
  <c r="O916" i="4"/>
  <c r="N916" i="4"/>
  <c r="K916" i="4"/>
  <c r="AM916" i="4" s="1"/>
  <c r="BF915" i="4"/>
  <c r="BG915" i="4" s="1"/>
  <c r="BC915" i="4"/>
  <c r="BB915" i="4"/>
  <c r="AX915" i="4"/>
  <c r="AY915" i="4" s="1"/>
  <c r="AT915" i="4"/>
  <c r="AU915" i="4" s="1"/>
  <c r="AQ915" i="4"/>
  <c r="AP915" i="4"/>
  <c r="AL915" i="4"/>
  <c r="AH915" i="4"/>
  <c r="AI915" i="4" s="1"/>
  <c r="AD915" i="4"/>
  <c r="AE915" i="4" s="1"/>
  <c r="AA915" i="4"/>
  <c r="Z915" i="4"/>
  <c r="W915" i="4"/>
  <c r="V915" i="4"/>
  <c r="S915" i="4"/>
  <c r="R915" i="4"/>
  <c r="O915" i="4"/>
  <c r="BH915" i="4" s="1"/>
  <c r="BI915" i="4" s="1"/>
  <c r="N915" i="4"/>
  <c r="K915" i="4"/>
  <c r="AM915" i="4" s="1"/>
  <c r="BG914" i="4"/>
  <c r="BF914" i="4"/>
  <c r="BC914" i="4"/>
  <c r="BB914" i="4"/>
  <c r="AX914" i="4"/>
  <c r="AU914" i="4"/>
  <c r="AT914" i="4"/>
  <c r="AQ914" i="4"/>
  <c r="AP914" i="4"/>
  <c r="AM914" i="4"/>
  <c r="AL914" i="4"/>
  <c r="AI914" i="4"/>
  <c r="AH914" i="4"/>
  <c r="AE914" i="4"/>
  <c r="AD914" i="4"/>
  <c r="Z914" i="4"/>
  <c r="AA914" i="4" s="1"/>
  <c r="V914" i="4"/>
  <c r="R914" i="4"/>
  <c r="S914" i="4" s="1"/>
  <c r="N914" i="4"/>
  <c r="O914" i="4" s="1"/>
  <c r="K914" i="4"/>
  <c r="BF913" i="4"/>
  <c r="BG913" i="4" s="1"/>
  <c r="BC913" i="4"/>
  <c r="BB913" i="4"/>
  <c r="AY913" i="4"/>
  <c r="AX913" i="4"/>
  <c r="AT913" i="4"/>
  <c r="AU913" i="4" s="1"/>
  <c r="AP913" i="4"/>
  <c r="AL913" i="4"/>
  <c r="AH913" i="4"/>
  <c r="AE913" i="4"/>
  <c r="AD913" i="4"/>
  <c r="AA913" i="4"/>
  <c r="Z913" i="4"/>
  <c r="W913" i="4"/>
  <c r="V913" i="4"/>
  <c r="S913" i="4"/>
  <c r="R913" i="4"/>
  <c r="N913" i="4"/>
  <c r="O913" i="4" s="1"/>
  <c r="K913" i="4"/>
  <c r="BF912" i="4"/>
  <c r="BC912" i="4"/>
  <c r="BB912" i="4"/>
  <c r="AX912" i="4"/>
  <c r="AY912" i="4" s="1"/>
  <c r="AT912" i="4"/>
  <c r="AP912" i="4"/>
  <c r="AL912" i="4"/>
  <c r="AI912" i="4"/>
  <c r="AH912" i="4"/>
  <c r="AD912" i="4"/>
  <c r="Z912" i="4"/>
  <c r="V912" i="4"/>
  <c r="R912" i="4"/>
  <c r="O912" i="4"/>
  <c r="N912" i="4"/>
  <c r="K912" i="4"/>
  <c r="BF911" i="4"/>
  <c r="BC911" i="4"/>
  <c r="BB911" i="4"/>
  <c r="AX911" i="4"/>
  <c r="AU911" i="4"/>
  <c r="AT911" i="4"/>
  <c r="AP911" i="4"/>
  <c r="AL911" i="4"/>
  <c r="AM911" i="4" s="1"/>
  <c r="AI911" i="4"/>
  <c r="AH911" i="4"/>
  <c r="AD911" i="4"/>
  <c r="AA911" i="4"/>
  <c r="Z911" i="4"/>
  <c r="V911" i="4"/>
  <c r="R911" i="4"/>
  <c r="N911" i="4"/>
  <c r="O911" i="4" s="1"/>
  <c r="K911" i="4"/>
  <c r="BG910" i="4"/>
  <c r="BF910" i="4"/>
  <c r="BB910" i="4"/>
  <c r="BC910" i="4" s="1"/>
  <c r="AY910" i="4"/>
  <c r="AX910" i="4"/>
  <c r="AT910" i="4"/>
  <c r="AP910" i="4"/>
  <c r="AM910" i="4"/>
  <c r="AL910" i="4"/>
  <c r="AI910" i="4"/>
  <c r="AH910" i="4"/>
  <c r="AD910" i="4"/>
  <c r="Z910" i="4"/>
  <c r="AA910" i="4" s="1"/>
  <c r="W910" i="4"/>
  <c r="V910" i="4"/>
  <c r="R910" i="4"/>
  <c r="N910" i="4"/>
  <c r="K910" i="4"/>
  <c r="BF909" i="4"/>
  <c r="BG909" i="4" s="1"/>
  <c r="BB909" i="4"/>
  <c r="AX909" i="4"/>
  <c r="AY909" i="4" s="1"/>
  <c r="AT909" i="4"/>
  <c r="AU909" i="4" s="1"/>
  <c r="AQ909" i="4"/>
  <c r="AP909" i="4"/>
  <c r="AM909" i="4"/>
  <c r="AL909" i="4"/>
  <c r="AH909" i="4"/>
  <c r="AI909" i="4" s="1"/>
  <c r="AE909" i="4"/>
  <c r="AD909" i="4"/>
  <c r="Z909" i="4"/>
  <c r="W909" i="4"/>
  <c r="V909" i="4"/>
  <c r="S909" i="4"/>
  <c r="R909" i="4"/>
  <c r="O909" i="4"/>
  <c r="N909" i="4"/>
  <c r="K909" i="4"/>
  <c r="BG908" i="4"/>
  <c r="BF908" i="4"/>
  <c r="BC908" i="4"/>
  <c r="BB908" i="4"/>
  <c r="AX908" i="4"/>
  <c r="AY908" i="4" s="1"/>
  <c r="AU908" i="4"/>
  <c r="AT908" i="4"/>
  <c r="AP908" i="4"/>
  <c r="AQ908" i="4" s="1"/>
  <c r="AL908" i="4"/>
  <c r="AH908" i="4"/>
  <c r="AI908" i="4" s="1"/>
  <c r="AD908" i="4"/>
  <c r="AE908" i="4" s="1"/>
  <c r="AA908" i="4"/>
  <c r="Z908" i="4"/>
  <c r="V908" i="4"/>
  <c r="W908" i="4" s="1"/>
  <c r="S908" i="4"/>
  <c r="R908" i="4"/>
  <c r="O908" i="4"/>
  <c r="N908" i="4"/>
  <c r="K908" i="4"/>
  <c r="BG907" i="4"/>
  <c r="BF907" i="4"/>
  <c r="BB907" i="4"/>
  <c r="BC907" i="4" s="1"/>
  <c r="AX907" i="4"/>
  <c r="AU907" i="4"/>
  <c r="AT907" i="4"/>
  <c r="AQ907" i="4"/>
  <c r="AP907" i="4"/>
  <c r="AL907" i="4"/>
  <c r="AH907" i="4"/>
  <c r="AD907" i="4"/>
  <c r="Z907" i="4"/>
  <c r="V907" i="4"/>
  <c r="R907" i="4"/>
  <c r="S907" i="4" s="1"/>
  <c r="N907" i="4"/>
  <c r="O907" i="4" s="1"/>
  <c r="K907" i="4"/>
  <c r="BF906" i="4"/>
  <c r="BB906" i="4"/>
  <c r="AX906" i="4"/>
  <c r="AT906" i="4"/>
  <c r="AP906" i="4"/>
  <c r="AL906" i="4"/>
  <c r="AH906" i="4"/>
  <c r="AD906" i="4"/>
  <c r="Z906" i="4"/>
  <c r="V906" i="4"/>
  <c r="R906" i="4"/>
  <c r="N906" i="4"/>
  <c r="K906" i="4"/>
  <c r="BF905" i="4"/>
  <c r="BG905" i="4" s="1"/>
  <c r="BC905" i="4"/>
  <c r="BB905" i="4"/>
  <c r="AX905" i="4"/>
  <c r="AY905" i="4" s="1"/>
  <c r="AT905" i="4"/>
  <c r="AQ905" i="4"/>
  <c r="AP905" i="4"/>
  <c r="AL905" i="4"/>
  <c r="AM905" i="4" s="1"/>
  <c r="AI905" i="4"/>
  <c r="AH905" i="4"/>
  <c r="AE905" i="4"/>
  <c r="AD905" i="4"/>
  <c r="Z905" i="4"/>
  <c r="AA905" i="4" s="1"/>
  <c r="V905" i="4"/>
  <c r="W905" i="4" s="1"/>
  <c r="R905" i="4"/>
  <c r="N905" i="4"/>
  <c r="O905" i="4" s="1"/>
  <c r="K905" i="4"/>
  <c r="BF904" i="4"/>
  <c r="BB904" i="4"/>
  <c r="AX904" i="4"/>
  <c r="AT904" i="4"/>
  <c r="AP904" i="4"/>
  <c r="AL904" i="4"/>
  <c r="AH904" i="4"/>
  <c r="AD904" i="4"/>
  <c r="Z904" i="4"/>
  <c r="V904" i="4"/>
  <c r="S904" i="4"/>
  <c r="R904" i="4"/>
  <c r="N904" i="4"/>
  <c r="K904" i="4"/>
  <c r="BF903" i="4"/>
  <c r="BB903" i="4"/>
  <c r="AX903" i="4"/>
  <c r="AT903" i="4"/>
  <c r="AP903" i="4"/>
  <c r="AL903" i="4"/>
  <c r="AI903" i="4"/>
  <c r="AH903" i="4"/>
  <c r="AE903" i="4"/>
  <c r="AD903" i="4"/>
  <c r="AA903" i="4"/>
  <c r="Z903" i="4"/>
  <c r="V903" i="4"/>
  <c r="R903" i="4"/>
  <c r="N903" i="4"/>
  <c r="K903" i="4"/>
  <c r="BG902" i="4"/>
  <c r="BF902" i="4"/>
  <c r="BB902" i="4"/>
  <c r="AX902" i="4"/>
  <c r="AU902" i="4"/>
  <c r="AT902" i="4"/>
  <c r="AP902" i="4"/>
  <c r="AL902" i="4"/>
  <c r="AH902" i="4"/>
  <c r="AI902" i="4" s="1"/>
  <c r="AD902" i="4"/>
  <c r="AE902" i="4" s="1"/>
  <c r="Z902" i="4"/>
  <c r="W902" i="4"/>
  <c r="V902" i="4"/>
  <c r="R902" i="4"/>
  <c r="O902" i="4"/>
  <c r="N902" i="4"/>
  <c r="K902" i="4"/>
  <c r="AM902" i="4" s="1"/>
  <c r="BF901" i="4"/>
  <c r="BG901" i="4" s="1"/>
  <c r="BC901" i="4"/>
  <c r="BB901" i="4"/>
  <c r="AX901" i="4"/>
  <c r="AY901" i="4" s="1"/>
  <c r="AT901" i="4"/>
  <c r="AU901" i="4" s="1"/>
  <c r="AQ901" i="4"/>
  <c r="AP901" i="4"/>
  <c r="AL901" i="4"/>
  <c r="AI901" i="4"/>
  <c r="AH901" i="4"/>
  <c r="AE901" i="4"/>
  <c r="AD901" i="4"/>
  <c r="AA901" i="4"/>
  <c r="Z901" i="4"/>
  <c r="W901" i="4"/>
  <c r="V901" i="4"/>
  <c r="S901" i="4"/>
  <c r="R901" i="4"/>
  <c r="N901" i="4"/>
  <c r="O901" i="4" s="1"/>
  <c r="K901" i="4"/>
  <c r="BF900" i="4"/>
  <c r="BG900" i="4" s="1"/>
  <c r="BC900" i="4"/>
  <c r="BB900" i="4"/>
  <c r="AX900" i="4"/>
  <c r="AT900" i="4"/>
  <c r="AU900" i="4" s="1"/>
  <c r="AQ900" i="4"/>
  <c r="AP900" i="4"/>
  <c r="AM900" i="4"/>
  <c r="AL900" i="4"/>
  <c r="AH900" i="4"/>
  <c r="AI900" i="4" s="1"/>
  <c r="AE900" i="4"/>
  <c r="AD900" i="4"/>
  <c r="AA900" i="4"/>
  <c r="Z900" i="4"/>
  <c r="V900" i="4"/>
  <c r="R900" i="4"/>
  <c r="S900" i="4" s="1"/>
  <c r="N900" i="4"/>
  <c r="O900" i="4" s="1"/>
  <c r="K900" i="4"/>
  <c r="BG899" i="4"/>
  <c r="BF899" i="4"/>
  <c r="BC899" i="4"/>
  <c r="BB899" i="4"/>
  <c r="AX899" i="4"/>
  <c r="AT899" i="4"/>
  <c r="AP899" i="4"/>
  <c r="AL899" i="4"/>
  <c r="AM899" i="4" s="1"/>
  <c r="AH899" i="4"/>
  <c r="AE899" i="4"/>
  <c r="AD899" i="4"/>
  <c r="Z899" i="4"/>
  <c r="W899" i="4"/>
  <c r="V899" i="4"/>
  <c r="R899" i="4"/>
  <c r="N899" i="4"/>
  <c r="K899" i="4"/>
  <c r="AQ899" i="4" s="1"/>
  <c r="BF898" i="4"/>
  <c r="BC898" i="4"/>
  <c r="BB898" i="4"/>
  <c r="AX898" i="4"/>
  <c r="AY898" i="4" s="1"/>
  <c r="AU898" i="4"/>
  <c r="AT898" i="4"/>
  <c r="AQ898" i="4"/>
  <c r="AP898" i="4"/>
  <c r="AL898" i="4"/>
  <c r="AH898" i="4"/>
  <c r="AI898" i="4" s="1"/>
  <c r="AD898" i="4"/>
  <c r="AA898" i="4"/>
  <c r="Z898" i="4"/>
  <c r="W898" i="4"/>
  <c r="V898" i="4"/>
  <c r="R898" i="4"/>
  <c r="S898" i="4" s="1"/>
  <c r="N898" i="4"/>
  <c r="O898" i="4" s="1"/>
  <c r="K898" i="4"/>
  <c r="AM898" i="4" s="1"/>
  <c r="BG897" i="4"/>
  <c r="BF897" i="4"/>
  <c r="BB897" i="4"/>
  <c r="BC897" i="4" s="1"/>
  <c r="AX897" i="4"/>
  <c r="AY897" i="4" s="1"/>
  <c r="AT897" i="4"/>
  <c r="AQ897" i="4"/>
  <c r="AP897" i="4"/>
  <c r="AL897" i="4"/>
  <c r="AH897" i="4"/>
  <c r="AE897" i="4"/>
  <c r="AD897" i="4"/>
  <c r="Z897" i="4"/>
  <c r="AA897" i="4" s="1"/>
  <c r="V897" i="4"/>
  <c r="W897" i="4" s="1"/>
  <c r="R897" i="4"/>
  <c r="O897" i="4"/>
  <c r="N897" i="4"/>
  <c r="K897" i="4"/>
  <c r="AM897" i="4" s="1"/>
  <c r="BG896" i="4"/>
  <c r="BF896" i="4"/>
  <c r="BB896" i="4"/>
  <c r="AX896" i="4"/>
  <c r="AT896" i="4"/>
  <c r="AP896" i="4"/>
  <c r="AL896" i="4"/>
  <c r="AH896" i="4"/>
  <c r="AD896" i="4"/>
  <c r="Z896" i="4"/>
  <c r="V896" i="4"/>
  <c r="R896" i="4"/>
  <c r="O896" i="4"/>
  <c r="N896" i="4"/>
  <c r="K896" i="4"/>
  <c r="AY896" i="4" s="1"/>
  <c r="BG895" i="4"/>
  <c r="BF895" i="4"/>
  <c r="BB895" i="4"/>
  <c r="AY895" i="4"/>
  <c r="AX895" i="4"/>
  <c r="AU895" i="4"/>
  <c r="AT895" i="4"/>
  <c r="AP895" i="4"/>
  <c r="AQ895" i="4" s="1"/>
  <c r="AL895" i="4"/>
  <c r="AI895" i="4"/>
  <c r="AH895" i="4"/>
  <c r="AE895" i="4"/>
  <c r="AD895" i="4"/>
  <c r="Z895" i="4"/>
  <c r="V895" i="4"/>
  <c r="W895" i="4" s="1"/>
  <c r="S895" i="4"/>
  <c r="R895" i="4"/>
  <c r="O895" i="4"/>
  <c r="N895" i="4"/>
  <c r="K895" i="4"/>
  <c r="BC895" i="4" s="1"/>
  <c r="BF894" i="4"/>
  <c r="BB894" i="4"/>
  <c r="AX894" i="4"/>
  <c r="AT894" i="4"/>
  <c r="AP894" i="4"/>
  <c r="AL894" i="4"/>
  <c r="AH894" i="4"/>
  <c r="AD894" i="4"/>
  <c r="Z894" i="4"/>
  <c r="V894" i="4"/>
  <c r="R894" i="4"/>
  <c r="S894" i="4" s="1"/>
  <c r="N894" i="4"/>
  <c r="O894" i="4" s="1"/>
  <c r="K894" i="4"/>
  <c r="BF893" i="4"/>
  <c r="BB893" i="4"/>
  <c r="AX893" i="4"/>
  <c r="AT893" i="4"/>
  <c r="AQ893" i="4"/>
  <c r="AP893" i="4"/>
  <c r="AL893" i="4"/>
  <c r="AM893" i="4" s="1"/>
  <c r="AI893" i="4"/>
  <c r="AH893" i="4"/>
  <c r="AD893" i="4"/>
  <c r="Z893" i="4"/>
  <c r="V893" i="4"/>
  <c r="R893" i="4"/>
  <c r="N893" i="4"/>
  <c r="K893" i="4"/>
  <c r="BG892" i="4"/>
  <c r="BF892" i="4"/>
  <c r="BB892" i="4"/>
  <c r="AX892" i="4"/>
  <c r="AT892" i="4"/>
  <c r="AP892" i="4"/>
  <c r="AM892" i="4"/>
  <c r="AL892" i="4"/>
  <c r="AH892" i="4"/>
  <c r="AD892" i="4"/>
  <c r="Z892" i="4"/>
  <c r="W892" i="4"/>
  <c r="V892" i="4"/>
  <c r="R892" i="4"/>
  <c r="N892" i="4"/>
  <c r="K892" i="4"/>
  <c r="BG891" i="4"/>
  <c r="BF891" i="4"/>
  <c r="BC891" i="4"/>
  <c r="BB891" i="4"/>
  <c r="AX891" i="4"/>
  <c r="AY891" i="4" s="1"/>
  <c r="AU891" i="4"/>
  <c r="AT891" i="4"/>
  <c r="AQ891" i="4"/>
  <c r="AP891" i="4"/>
  <c r="AL891" i="4"/>
  <c r="AI891" i="4"/>
  <c r="AH891" i="4"/>
  <c r="AD891" i="4"/>
  <c r="AE891" i="4" s="1"/>
  <c r="AA891" i="4"/>
  <c r="BH891" i="4" s="1"/>
  <c r="BI891" i="4" s="1"/>
  <c r="Z891" i="4"/>
  <c r="V891" i="4"/>
  <c r="W891" i="4" s="1"/>
  <c r="S891" i="4"/>
  <c r="R891" i="4"/>
  <c r="O891" i="4"/>
  <c r="N891" i="4"/>
  <c r="K891" i="4"/>
  <c r="AM891" i="4" s="1"/>
  <c r="BF890" i="4"/>
  <c r="BG890" i="4" s="1"/>
  <c r="BB890" i="4"/>
  <c r="BC890" i="4" s="1"/>
  <c r="AY890" i="4"/>
  <c r="AX890" i="4"/>
  <c r="AU890" i="4"/>
  <c r="AT890" i="4"/>
  <c r="AP890" i="4"/>
  <c r="AM890" i="4"/>
  <c r="AL890" i="4"/>
  <c r="AH890" i="4"/>
  <c r="AD890" i="4"/>
  <c r="AE890" i="4" s="1"/>
  <c r="AA890" i="4"/>
  <c r="Z890" i="4"/>
  <c r="V890" i="4"/>
  <c r="W890" i="4" s="1"/>
  <c r="R890" i="4"/>
  <c r="S890" i="4" s="1"/>
  <c r="N890" i="4"/>
  <c r="K890" i="4"/>
  <c r="BF889" i="4"/>
  <c r="BB889" i="4"/>
  <c r="AX889" i="4"/>
  <c r="AY889" i="4" s="1"/>
  <c r="AT889" i="4"/>
  <c r="AP889" i="4"/>
  <c r="AL889" i="4"/>
  <c r="AH889" i="4"/>
  <c r="AD889" i="4"/>
  <c r="Z889" i="4"/>
  <c r="V889" i="4"/>
  <c r="R889" i="4"/>
  <c r="S889" i="4" s="1"/>
  <c r="N889" i="4"/>
  <c r="K889" i="4"/>
  <c r="BG888" i="4"/>
  <c r="BF888" i="4"/>
  <c r="BC888" i="4"/>
  <c r="BB888" i="4"/>
  <c r="AY888" i="4"/>
  <c r="AX888" i="4"/>
  <c r="AU888" i="4"/>
  <c r="AT888" i="4"/>
  <c r="AQ888" i="4"/>
  <c r="AP888" i="4"/>
  <c r="AL888" i="4"/>
  <c r="AI888" i="4"/>
  <c r="AH888" i="4"/>
  <c r="AE888" i="4"/>
  <c r="AD888" i="4"/>
  <c r="Z888" i="4"/>
  <c r="AA888" i="4" s="1"/>
  <c r="W888" i="4"/>
  <c r="V888" i="4"/>
  <c r="S888" i="4"/>
  <c r="R888" i="4"/>
  <c r="O888" i="4"/>
  <c r="N888" i="4"/>
  <c r="K888" i="4"/>
  <c r="BF887" i="4"/>
  <c r="BB887" i="4"/>
  <c r="AY887" i="4"/>
  <c r="AX887" i="4"/>
  <c r="AT887" i="4"/>
  <c r="AU887" i="4" s="1"/>
  <c r="AP887" i="4"/>
  <c r="AL887" i="4"/>
  <c r="AH887" i="4"/>
  <c r="AI887" i="4" s="1"/>
  <c r="AD887" i="4"/>
  <c r="Z887" i="4"/>
  <c r="V887" i="4"/>
  <c r="W887" i="4" s="1"/>
  <c r="S887" i="4"/>
  <c r="R887" i="4"/>
  <c r="N887" i="4"/>
  <c r="O887" i="4" s="1"/>
  <c r="K887" i="4"/>
  <c r="AM887" i="4" s="1"/>
  <c r="BF886" i="4"/>
  <c r="BB886" i="4"/>
  <c r="AX886" i="4"/>
  <c r="AT886" i="4"/>
  <c r="AQ886" i="4"/>
  <c r="AP886" i="4"/>
  <c r="AL886" i="4"/>
  <c r="AH886" i="4"/>
  <c r="AD886" i="4"/>
  <c r="Z886" i="4"/>
  <c r="V886" i="4"/>
  <c r="R886" i="4"/>
  <c r="N886" i="4"/>
  <c r="K886" i="4"/>
  <c r="BF885" i="4"/>
  <c r="BG885" i="4" s="1"/>
  <c r="BB885" i="4"/>
  <c r="AY885" i="4"/>
  <c r="AX885" i="4"/>
  <c r="AU885" i="4"/>
  <c r="AT885" i="4"/>
  <c r="AP885" i="4"/>
  <c r="AL885" i="4"/>
  <c r="AI885" i="4"/>
  <c r="AH885" i="4"/>
  <c r="AD885" i="4"/>
  <c r="AE885" i="4" s="1"/>
  <c r="Z885" i="4"/>
  <c r="W885" i="4"/>
  <c r="V885" i="4"/>
  <c r="S885" i="4"/>
  <c r="R885" i="4"/>
  <c r="N885" i="4"/>
  <c r="K885" i="4"/>
  <c r="AM885" i="4" s="1"/>
  <c r="BF884" i="4"/>
  <c r="BB884" i="4"/>
  <c r="BC884" i="4" s="1"/>
  <c r="AX884" i="4"/>
  <c r="AY884" i="4" s="1"/>
  <c r="AU884" i="4"/>
  <c r="AT884" i="4"/>
  <c r="AQ884" i="4"/>
  <c r="AP884" i="4"/>
  <c r="AL884" i="4"/>
  <c r="AI884" i="4"/>
  <c r="AH884" i="4"/>
  <c r="AD884" i="4"/>
  <c r="AA884" i="4"/>
  <c r="Z884" i="4"/>
  <c r="W884" i="4"/>
  <c r="V884" i="4"/>
  <c r="S884" i="4"/>
  <c r="R884" i="4"/>
  <c r="N884" i="4"/>
  <c r="O884" i="4" s="1"/>
  <c r="K884" i="4"/>
  <c r="AM884" i="4" s="1"/>
  <c r="BF883" i="4"/>
  <c r="BB883" i="4"/>
  <c r="AX883" i="4"/>
  <c r="AT883" i="4"/>
  <c r="AQ883" i="4"/>
  <c r="AP883" i="4"/>
  <c r="AL883" i="4"/>
  <c r="AH883" i="4"/>
  <c r="AD883" i="4"/>
  <c r="Z883" i="4"/>
  <c r="V883" i="4"/>
  <c r="R883" i="4"/>
  <c r="N883" i="4"/>
  <c r="K883" i="4"/>
  <c r="BC883" i="4" s="1"/>
  <c r="BF882" i="4"/>
  <c r="BB882" i="4"/>
  <c r="AY882" i="4"/>
  <c r="AX882" i="4"/>
  <c r="AT882" i="4"/>
  <c r="AP882" i="4"/>
  <c r="AL882" i="4"/>
  <c r="AH882" i="4"/>
  <c r="AD882" i="4"/>
  <c r="Z882" i="4"/>
  <c r="W882" i="4"/>
  <c r="V882" i="4"/>
  <c r="R882" i="4"/>
  <c r="N882" i="4"/>
  <c r="K882" i="4"/>
  <c r="BG881" i="4"/>
  <c r="BF881" i="4"/>
  <c r="BB881" i="4"/>
  <c r="AY881" i="4"/>
  <c r="AX881" i="4"/>
  <c r="AU881" i="4"/>
  <c r="AT881" i="4"/>
  <c r="AP881" i="4"/>
  <c r="AQ881" i="4" s="1"/>
  <c r="AL881" i="4"/>
  <c r="AI881" i="4"/>
  <c r="AH881" i="4"/>
  <c r="AE881" i="4"/>
  <c r="AD881" i="4"/>
  <c r="Z881" i="4"/>
  <c r="W881" i="4"/>
  <c r="V881" i="4"/>
  <c r="S881" i="4"/>
  <c r="R881" i="4"/>
  <c r="O881" i="4"/>
  <c r="N881" i="4"/>
  <c r="K881" i="4"/>
  <c r="BC881" i="4" s="1"/>
  <c r="BF880" i="4"/>
  <c r="BB880" i="4"/>
  <c r="AX880" i="4"/>
  <c r="AT880" i="4"/>
  <c r="AP880" i="4"/>
  <c r="AL880" i="4"/>
  <c r="AH880" i="4"/>
  <c r="AD880" i="4"/>
  <c r="Z880" i="4"/>
  <c r="V880" i="4"/>
  <c r="R880" i="4"/>
  <c r="N880" i="4"/>
  <c r="K880" i="4"/>
  <c r="BF879" i="4"/>
  <c r="BB879" i="4"/>
  <c r="AX879" i="4"/>
  <c r="AT879" i="4"/>
  <c r="AP879" i="4"/>
  <c r="AL879" i="4"/>
  <c r="AH879" i="4"/>
  <c r="AD879" i="4"/>
  <c r="Z879" i="4"/>
  <c r="V879" i="4"/>
  <c r="R879" i="4"/>
  <c r="O879" i="4"/>
  <c r="N879" i="4"/>
  <c r="K879" i="4"/>
  <c r="BC879" i="4" s="1"/>
  <c r="BG878" i="4"/>
  <c r="BF878" i="4"/>
  <c r="BC878" i="4"/>
  <c r="BB878" i="4"/>
  <c r="AX878" i="4"/>
  <c r="AT878" i="4"/>
  <c r="AP878" i="4"/>
  <c r="AL878" i="4"/>
  <c r="AM878" i="4" s="1"/>
  <c r="AI878" i="4"/>
  <c r="AH878" i="4"/>
  <c r="AD878" i="4"/>
  <c r="AE878" i="4" s="1"/>
  <c r="Z878" i="4"/>
  <c r="W878" i="4"/>
  <c r="V878" i="4"/>
  <c r="S878" i="4"/>
  <c r="R878" i="4"/>
  <c r="N878" i="4"/>
  <c r="K878" i="4"/>
  <c r="BG877" i="4"/>
  <c r="BF877" i="4"/>
  <c r="BC877" i="4"/>
  <c r="BB877" i="4"/>
  <c r="AY877" i="4"/>
  <c r="AX877" i="4"/>
  <c r="AT877" i="4"/>
  <c r="AP877" i="4"/>
  <c r="AM877" i="4"/>
  <c r="AL877" i="4"/>
  <c r="AH877" i="4"/>
  <c r="AD877" i="4"/>
  <c r="AE877" i="4" s="1"/>
  <c r="AA877" i="4"/>
  <c r="Z877" i="4"/>
  <c r="W877" i="4"/>
  <c r="V877" i="4"/>
  <c r="R877" i="4"/>
  <c r="N877" i="4"/>
  <c r="K877" i="4"/>
  <c r="BF876" i="4"/>
  <c r="BG876" i="4" s="1"/>
  <c r="BB876" i="4"/>
  <c r="BC876" i="4" s="1"/>
  <c r="AX876" i="4"/>
  <c r="AY876" i="4" s="1"/>
  <c r="AU876" i="4"/>
  <c r="AT876" i="4"/>
  <c r="AQ876" i="4"/>
  <c r="AP876" i="4"/>
  <c r="AL876" i="4"/>
  <c r="AI876" i="4"/>
  <c r="AH876" i="4"/>
  <c r="AE876" i="4"/>
  <c r="AD876" i="4"/>
  <c r="Z876" i="4"/>
  <c r="AA876" i="4" s="1"/>
  <c r="V876" i="4"/>
  <c r="W876" i="4" s="1"/>
  <c r="S876" i="4"/>
  <c r="R876" i="4"/>
  <c r="O876" i="4"/>
  <c r="N876" i="4"/>
  <c r="K876" i="4"/>
  <c r="BG875" i="4"/>
  <c r="BF875" i="4"/>
  <c r="BC875" i="4"/>
  <c r="BB875" i="4"/>
  <c r="AY875" i="4"/>
  <c r="AX875" i="4"/>
  <c r="AT875" i="4"/>
  <c r="AU875" i="4" s="1"/>
  <c r="AP875" i="4"/>
  <c r="AQ875" i="4" s="1"/>
  <c r="AL875" i="4"/>
  <c r="AH875" i="4"/>
  <c r="AI875" i="4" s="1"/>
  <c r="AD875" i="4"/>
  <c r="AE875" i="4" s="1"/>
  <c r="AA875" i="4"/>
  <c r="Z875" i="4"/>
  <c r="W875" i="4"/>
  <c r="V875" i="4"/>
  <c r="R875" i="4"/>
  <c r="S875" i="4" s="1"/>
  <c r="N875" i="4"/>
  <c r="O875" i="4" s="1"/>
  <c r="K875" i="4"/>
  <c r="AM875" i="4" s="1"/>
  <c r="BF874" i="4"/>
  <c r="BB874" i="4"/>
  <c r="AX874" i="4"/>
  <c r="AT874" i="4"/>
  <c r="AP874" i="4"/>
  <c r="AL874" i="4"/>
  <c r="AH874" i="4"/>
  <c r="AE874" i="4"/>
  <c r="AD874" i="4"/>
  <c r="Z874" i="4"/>
  <c r="V874" i="4"/>
  <c r="R874" i="4"/>
  <c r="O874" i="4"/>
  <c r="N874" i="4"/>
  <c r="K874" i="4"/>
  <c r="BG873" i="4"/>
  <c r="BF873" i="4"/>
  <c r="BC873" i="4"/>
  <c r="BB873" i="4"/>
  <c r="AY873" i="4"/>
  <c r="AX873" i="4"/>
  <c r="AU873" i="4"/>
  <c r="AT873" i="4"/>
  <c r="AP873" i="4"/>
  <c r="AQ873" i="4" s="1"/>
  <c r="AL873" i="4"/>
  <c r="AH873" i="4"/>
  <c r="AD873" i="4"/>
  <c r="AE873" i="4" s="1"/>
  <c r="AA873" i="4"/>
  <c r="Z873" i="4"/>
  <c r="W873" i="4"/>
  <c r="V873" i="4"/>
  <c r="S873" i="4"/>
  <c r="R873" i="4"/>
  <c r="O873" i="4"/>
  <c r="N873" i="4"/>
  <c r="K873" i="4"/>
  <c r="BF872" i="4"/>
  <c r="BC872" i="4"/>
  <c r="BB872" i="4"/>
  <c r="AY872" i="4"/>
  <c r="AX872" i="4"/>
  <c r="AT872" i="4"/>
  <c r="AP872" i="4"/>
  <c r="AM872" i="4"/>
  <c r="AL872" i="4"/>
  <c r="AI872" i="4"/>
  <c r="AH872" i="4"/>
  <c r="AD872" i="4"/>
  <c r="Z872" i="4"/>
  <c r="AA872" i="4" s="1"/>
  <c r="W872" i="4"/>
  <c r="V872" i="4"/>
  <c r="R872" i="4"/>
  <c r="S872" i="4" s="1"/>
  <c r="N872" i="4"/>
  <c r="K872" i="4"/>
  <c r="BF871" i="4"/>
  <c r="BC871" i="4"/>
  <c r="BB871" i="4"/>
  <c r="AX871" i="4"/>
  <c r="AY871" i="4" s="1"/>
  <c r="AU871" i="4"/>
  <c r="AT871" i="4"/>
  <c r="AQ871" i="4"/>
  <c r="AP871" i="4"/>
  <c r="AL871" i="4"/>
  <c r="AM871" i="4" s="1"/>
  <c r="AH871" i="4"/>
  <c r="AD871" i="4"/>
  <c r="Z871" i="4"/>
  <c r="W871" i="4"/>
  <c r="V871" i="4"/>
  <c r="R871" i="4"/>
  <c r="S871" i="4" s="1"/>
  <c r="O871" i="4"/>
  <c r="N871" i="4"/>
  <c r="K871" i="4"/>
  <c r="BG870" i="4"/>
  <c r="BF870" i="4"/>
  <c r="BB870" i="4"/>
  <c r="AY870" i="4"/>
  <c r="AX870" i="4"/>
  <c r="AU870" i="4"/>
  <c r="AT870" i="4"/>
  <c r="AP870" i="4"/>
  <c r="AQ870" i="4" s="1"/>
  <c r="AL870" i="4"/>
  <c r="AI870" i="4"/>
  <c r="AH870" i="4"/>
  <c r="AE870" i="4"/>
  <c r="AD870" i="4"/>
  <c r="Z870" i="4"/>
  <c r="W870" i="4"/>
  <c r="V870" i="4"/>
  <c r="S870" i="4"/>
  <c r="R870" i="4"/>
  <c r="O870" i="4"/>
  <c r="N870" i="4"/>
  <c r="K870" i="4"/>
  <c r="BC870" i="4" s="1"/>
  <c r="BF869" i="4"/>
  <c r="BB869" i="4"/>
  <c r="AY869" i="4"/>
  <c r="AX869" i="4"/>
  <c r="AU869" i="4"/>
  <c r="AT869" i="4"/>
  <c r="AP869" i="4"/>
  <c r="AL869" i="4"/>
  <c r="AI869" i="4"/>
  <c r="AH869" i="4"/>
  <c r="AD869" i="4"/>
  <c r="Z869" i="4"/>
  <c r="W869" i="4"/>
  <c r="V869" i="4"/>
  <c r="S869" i="4"/>
  <c r="R869" i="4"/>
  <c r="O869" i="4"/>
  <c r="N869" i="4"/>
  <c r="K869" i="4"/>
  <c r="AM869" i="4" s="1"/>
  <c r="BF868" i="4"/>
  <c r="BB868" i="4"/>
  <c r="AX868" i="4"/>
  <c r="AT868" i="4"/>
  <c r="AP868" i="4"/>
  <c r="AL868" i="4"/>
  <c r="AI868" i="4"/>
  <c r="AH868" i="4"/>
  <c r="AD868" i="4"/>
  <c r="Z868" i="4"/>
  <c r="V868" i="4"/>
  <c r="R868" i="4"/>
  <c r="N868" i="4"/>
  <c r="K868" i="4"/>
  <c r="BF867" i="4"/>
  <c r="BB867" i="4"/>
  <c r="AX867" i="4"/>
  <c r="AU867" i="4"/>
  <c r="AT867" i="4"/>
  <c r="AP867" i="4"/>
  <c r="AL867" i="4"/>
  <c r="AH867" i="4"/>
  <c r="AD867" i="4"/>
  <c r="Z867" i="4"/>
  <c r="V867" i="4"/>
  <c r="R867" i="4"/>
  <c r="N867" i="4"/>
  <c r="K867" i="4"/>
  <c r="BF866" i="4"/>
  <c r="BG866" i="4" s="1"/>
  <c r="BC866" i="4"/>
  <c r="BB866" i="4"/>
  <c r="AY866" i="4"/>
  <c r="AX866" i="4"/>
  <c r="AT866" i="4"/>
  <c r="AQ866" i="4"/>
  <c r="AP866" i="4"/>
  <c r="AM866" i="4"/>
  <c r="AL866" i="4"/>
  <c r="AI866" i="4"/>
  <c r="AH866" i="4"/>
  <c r="AE866" i="4"/>
  <c r="AD866" i="4"/>
  <c r="AA866" i="4"/>
  <c r="Z866" i="4"/>
  <c r="W866" i="4"/>
  <c r="V866" i="4"/>
  <c r="R866" i="4"/>
  <c r="N866" i="4"/>
  <c r="O866" i="4" s="1"/>
  <c r="K866" i="4"/>
  <c r="BF865" i="4"/>
  <c r="BG865" i="4" s="1"/>
  <c r="BB865" i="4"/>
  <c r="BC865" i="4" s="1"/>
  <c r="AX865" i="4"/>
  <c r="AT865" i="4"/>
  <c r="AP865" i="4"/>
  <c r="AM865" i="4"/>
  <c r="AL865" i="4"/>
  <c r="AH865" i="4"/>
  <c r="AD865" i="4"/>
  <c r="AE865" i="4" s="1"/>
  <c r="AA865" i="4"/>
  <c r="Z865" i="4"/>
  <c r="V865" i="4"/>
  <c r="R865" i="4"/>
  <c r="N865" i="4"/>
  <c r="O865" i="4" s="1"/>
  <c r="K865" i="4"/>
  <c r="BF864" i="4"/>
  <c r="BB864" i="4"/>
  <c r="AX864" i="4"/>
  <c r="AT864" i="4"/>
  <c r="AP864" i="4"/>
  <c r="AL864" i="4"/>
  <c r="AH864" i="4"/>
  <c r="AD864" i="4"/>
  <c r="Z864" i="4"/>
  <c r="V864" i="4"/>
  <c r="R864" i="4"/>
  <c r="N864" i="4"/>
  <c r="K864" i="4"/>
  <c r="BF863" i="4"/>
  <c r="BB863" i="4"/>
  <c r="AX863" i="4"/>
  <c r="AT863" i="4"/>
  <c r="AP863" i="4"/>
  <c r="AL863" i="4"/>
  <c r="AH863" i="4"/>
  <c r="AD863" i="4"/>
  <c r="Z863" i="4"/>
  <c r="W863" i="4"/>
  <c r="V863" i="4"/>
  <c r="R863" i="4"/>
  <c r="N863" i="4"/>
  <c r="K863" i="4"/>
  <c r="BF862" i="4"/>
  <c r="BG862" i="4" s="1"/>
  <c r="BB862" i="4"/>
  <c r="BC862" i="4" s="1"/>
  <c r="AY862" i="4"/>
  <c r="AX862" i="4"/>
  <c r="AU862" i="4"/>
  <c r="AT862" i="4"/>
  <c r="AQ862" i="4"/>
  <c r="AP862" i="4"/>
  <c r="AL862" i="4"/>
  <c r="AH862" i="4"/>
  <c r="AI862" i="4" s="1"/>
  <c r="AE862" i="4"/>
  <c r="AD862" i="4"/>
  <c r="AA862" i="4"/>
  <c r="Z862" i="4"/>
  <c r="V862" i="4"/>
  <c r="W862" i="4" s="1"/>
  <c r="S862" i="4"/>
  <c r="R862" i="4"/>
  <c r="O862" i="4"/>
  <c r="N862" i="4"/>
  <c r="K862" i="4"/>
  <c r="AM862" i="4" s="1"/>
  <c r="BF861" i="4"/>
  <c r="BG861" i="4" s="1"/>
  <c r="BC861" i="4"/>
  <c r="BB861" i="4"/>
  <c r="AX861" i="4"/>
  <c r="AY861" i="4" s="1"/>
  <c r="AU861" i="4"/>
  <c r="AT861" i="4"/>
  <c r="AP861" i="4"/>
  <c r="AQ861" i="4" s="1"/>
  <c r="AL861" i="4"/>
  <c r="AH861" i="4"/>
  <c r="AI861" i="4" s="1"/>
  <c r="AD861" i="4"/>
  <c r="AE861" i="4" s="1"/>
  <c r="AA861" i="4"/>
  <c r="Z861" i="4"/>
  <c r="V861" i="4"/>
  <c r="W861" i="4" s="1"/>
  <c r="S861" i="4"/>
  <c r="R861" i="4"/>
  <c r="N861" i="4"/>
  <c r="O861" i="4" s="1"/>
  <c r="K861" i="4"/>
  <c r="AM861" i="4" s="1"/>
  <c r="BG860" i="4"/>
  <c r="BF860" i="4"/>
  <c r="BB860" i="4"/>
  <c r="AX860" i="4"/>
  <c r="AY860" i="4" s="1"/>
  <c r="AU860" i="4"/>
  <c r="AT860" i="4"/>
  <c r="AQ860" i="4"/>
  <c r="AP860" i="4"/>
  <c r="AM860" i="4"/>
  <c r="AL860" i="4"/>
  <c r="AH860" i="4"/>
  <c r="AE860" i="4"/>
  <c r="AD860" i="4"/>
  <c r="Z860" i="4"/>
  <c r="V860" i="4"/>
  <c r="S860" i="4"/>
  <c r="R860" i="4"/>
  <c r="O860" i="4"/>
  <c r="N860" i="4"/>
  <c r="K860" i="4"/>
  <c r="BF859" i="4"/>
  <c r="BG859" i="4" s="1"/>
  <c r="BB859" i="4"/>
  <c r="BC859" i="4" s="1"/>
  <c r="AY859" i="4"/>
  <c r="AX859" i="4"/>
  <c r="AU859" i="4"/>
  <c r="AT859" i="4"/>
  <c r="AP859" i="4"/>
  <c r="AQ859" i="4" s="1"/>
  <c r="AL859" i="4"/>
  <c r="AH859" i="4"/>
  <c r="AE859" i="4"/>
  <c r="AD859" i="4"/>
  <c r="Z859" i="4"/>
  <c r="AA859" i="4" s="1"/>
  <c r="V859" i="4"/>
  <c r="W859" i="4" s="1"/>
  <c r="S859" i="4"/>
  <c r="R859" i="4"/>
  <c r="O859" i="4"/>
  <c r="N859" i="4"/>
  <c r="K859" i="4"/>
  <c r="BF858" i="4"/>
  <c r="BC858" i="4"/>
  <c r="BB858" i="4"/>
  <c r="AX858" i="4"/>
  <c r="AY858" i="4" s="1"/>
  <c r="AT858" i="4"/>
  <c r="AQ858" i="4"/>
  <c r="AP858" i="4"/>
  <c r="AL858" i="4"/>
  <c r="AH858" i="4"/>
  <c r="AD858" i="4"/>
  <c r="Z858" i="4"/>
  <c r="AA858" i="4" s="1"/>
  <c r="V858" i="4"/>
  <c r="W858" i="4" s="1"/>
  <c r="R858" i="4"/>
  <c r="S858" i="4" s="1"/>
  <c r="N858" i="4"/>
  <c r="K858" i="4"/>
  <c r="BF857" i="4"/>
  <c r="BB857" i="4"/>
  <c r="AX857" i="4"/>
  <c r="AT857" i="4"/>
  <c r="AP857" i="4"/>
  <c r="AL857" i="4"/>
  <c r="AH857" i="4"/>
  <c r="AD857" i="4"/>
  <c r="Z857" i="4"/>
  <c r="V857" i="4"/>
  <c r="R857" i="4"/>
  <c r="N857" i="4"/>
  <c r="K857" i="4"/>
  <c r="BF856" i="4"/>
  <c r="BB856" i="4"/>
  <c r="AX856" i="4"/>
  <c r="AT856" i="4"/>
  <c r="AQ856" i="4"/>
  <c r="AP856" i="4"/>
  <c r="AL856" i="4"/>
  <c r="AH856" i="4"/>
  <c r="AE856" i="4"/>
  <c r="AD856" i="4"/>
  <c r="Z856" i="4"/>
  <c r="W856" i="4"/>
  <c r="V856" i="4"/>
  <c r="R856" i="4"/>
  <c r="N856" i="4"/>
  <c r="K856" i="4"/>
  <c r="BG855" i="4"/>
  <c r="BF855" i="4"/>
  <c r="BB855" i="4"/>
  <c r="AY855" i="4"/>
  <c r="AX855" i="4"/>
  <c r="AU855" i="4"/>
  <c r="AT855" i="4"/>
  <c r="AP855" i="4"/>
  <c r="AL855" i="4"/>
  <c r="AH855" i="4"/>
  <c r="AI855" i="4" s="1"/>
  <c r="AE855" i="4"/>
  <c r="AD855" i="4"/>
  <c r="Z855" i="4"/>
  <c r="V855" i="4"/>
  <c r="W855" i="4" s="1"/>
  <c r="R855" i="4"/>
  <c r="S855" i="4" s="1"/>
  <c r="O855" i="4"/>
  <c r="N855" i="4"/>
  <c r="K855" i="4"/>
  <c r="BF854" i="4"/>
  <c r="BG854" i="4" s="1"/>
  <c r="BC854" i="4"/>
  <c r="BB854" i="4"/>
  <c r="AX854" i="4"/>
  <c r="AU854" i="4"/>
  <c r="AT854" i="4"/>
  <c r="AP854" i="4"/>
  <c r="AM854" i="4"/>
  <c r="AL854" i="4"/>
  <c r="AH854" i="4"/>
  <c r="AD854" i="4"/>
  <c r="AE854" i="4" s="1"/>
  <c r="AA854" i="4"/>
  <c r="Z854" i="4"/>
  <c r="V854" i="4"/>
  <c r="R854" i="4"/>
  <c r="S854" i="4" s="1"/>
  <c r="O854" i="4"/>
  <c r="N854" i="4"/>
  <c r="K854" i="4"/>
  <c r="BF853" i="4"/>
  <c r="BC853" i="4"/>
  <c r="BB853" i="4"/>
  <c r="AX853" i="4"/>
  <c r="AU853" i="4"/>
  <c r="AT853" i="4"/>
  <c r="AP853" i="4"/>
  <c r="AL853" i="4"/>
  <c r="AI853" i="4"/>
  <c r="AH853" i="4"/>
  <c r="AD853" i="4"/>
  <c r="Z853" i="4"/>
  <c r="V853" i="4"/>
  <c r="S853" i="4"/>
  <c r="R853" i="4"/>
  <c r="N853" i="4"/>
  <c r="O853" i="4" s="1"/>
  <c r="K853" i="4"/>
  <c r="AQ853" i="4" s="1"/>
  <c r="BG852" i="4"/>
  <c r="BF852" i="4"/>
  <c r="BB852" i="4"/>
  <c r="AX852" i="4"/>
  <c r="AT852" i="4"/>
  <c r="AP852" i="4"/>
  <c r="AM852" i="4"/>
  <c r="AL852" i="4"/>
  <c r="AI852" i="4"/>
  <c r="AH852" i="4"/>
  <c r="AD852" i="4"/>
  <c r="AA852" i="4"/>
  <c r="Z852" i="4"/>
  <c r="V852" i="4"/>
  <c r="R852" i="4"/>
  <c r="N852" i="4"/>
  <c r="K852" i="4"/>
  <c r="BG851" i="4"/>
  <c r="BF851" i="4"/>
  <c r="BB851" i="4"/>
  <c r="AX851" i="4"/>
  <c r="AT851" i="4"/>
  <c r="AP851" i="4"/>
  <c r="AL851" i="4"/>
  <c r="AH851" i="4"/>
  <c r="AD851" i="4"/>
  <c r="Z851" i="4"/>
  <c r="W851" i="4"/>
  <c r="V851" i="4"/>
  <c r="R851" i="4"/>
  <c r="N851" i="4"/>
  <c r="K851" i="4"/>
  <c r="AY851" i="4" s="1"/>
  <c r="BF850" i="4"/>
  <c r="BG850" i="4" s="1"/>
  <c r="BB850" i="4"/>
  <c r="BC850" i="4" s="1"/>
  <c r="AY850" i="4"/>
  <c r="AX850" i="4"/>
  <c r="AU850" i="4"/>
  <c r="AT850" i="4"/>
  <c r="AP850" i="4"/>
  <c r="AM850" i="4"/>
  <c r="AL850" i="4"/>
  <c r="AH850" i="4"/>
  <c r="AI850" i="4" s="1"/>
  <c r="AE850" i="4"/>
  <c r="AD850" i="4"/>
  <c r="AA850" i="4"/>
  <c r="Z850" i="4"/>
  <c r="W850" i="4"/>
  <c r="V850" i="4"/>
  <c r="S850" i="4"/>
  <c r="R850" i="4"/>
  <c r="N850" i="4"/>
  <c r="K850" i="4"/>
  <c r="BG849" i="4"/>
  <c r="BF849" i="4"/>
  <c r="BB849" i="4"/>
  <c r="BC849" i="4" s="1"/>
  <c r="AY849" i="4"/>
  <c r="AX849" i="4"/>
  <c r="AU849" i="4"/>
  <c r="AT849" i="4"/>
  <c r="AP849" i="4"/>
  <c r="AL849" i="4"/>
  <c r="AM849" i="4" s="1"/>
  <c r="AH849" i="4"/>
  <c r="AD849" i="4"/>
  <c r="Z849" i="4"/>
  <c r="AA849" i="4" s="1"/>
  <c r="W849" i="4"/>
  <c r="V849" i="4"/>
  <c r="S849" i="4"/>
  <c r="R849" i="4"/>
  <c r="N849" i="4"/>
  <c r="K849" i="4"/>
  <c r="BF848" i="4"/>
  <c r="BG848" i="4" s="1"/>
  <c r="BB848" i="4"/>
  <c r="BC848" i="4" s="1"/>
  <c r="AX848" i="4"/>
  <c r="AY848" i="4" s="1"/>
  <c r="AU848" i="4"/>
  <c r="AT848" i="4"/>
  <c r="AQ848" i="4"/>
  <c r="AP848" i="4"/>
  <c r="AL848" i="4"/>
  <c r="AH848" i="4"/>
  <c r="AI848" i="4" s="1"/>
  <c r="AE848" i="4"/>
  <c r="AD848" i="4"/>
  <c r="AA848" i="4"/>
  <c r="Z848" i="4"/>
  <c r="V848" i="4"/>
  <c r="W848" i="4" s="1"/>
  <c r="S848" i="4"/>
  <c r="R848" i="4"/>
  <c r="O848" i="4"/>
  <c r="N848" i="4"/>
  <c r="K848" i="4"/>
  <c r="BF847" i="4"/>
  <c r="BG847" i="4" s="1"/>
  <c r="BB847" i="4"/>
  <c r="BC847" i="4" s="1"/>
  <c r="AX847" i="4"/>
  <c r="AY847" i="4" s="1"/>
  <c r="AT847" i="4"/>
  <c r="AU847" i="4" s="1"/>
  <c r="AP847" i="4"/>
  <c r="AQ847" i="4" s="1"/>
  <c r="AL847" i="4"/>
  <c r="AH847" i="4"/>
  <c r="AI847" i="4" s="1"/>
  <c r="AD847" i="4"/>
  <c r="AE847" i="4" s="1"/>
  <c r="AA847" i="4"/>
  <c r="Z847" i="4"/>
  <c r="W847" i="4"/>
  <c r="V847" i="4"/>
  <c r="S847" i="4"/>
  <c r="R847" i="4"/>
  <c r="O847" i="4"/>
  <c r="N847" i="4"/>
  <c r="K847" i="4"/>
  <c r="AM847" i="4" s="1"/>
  <c r="BF846" i="4"/>
  <c r="BB846" i="4"/>
  <c r="AY846" i="4"/>
  <c r="AX846" i="4"/>
  <c r="AT846" i="4"/>
  <c r="AP846" i="4"/>
  <c r="AL846" i="4"/>
  <c r="AH846" i="4"/>
  <c r="AD846" i="4"/>
  <c r="Z846" i="4"/>
  <c r="V846" i="4"/>
  <c r="W846" i="4" s="1"/>
  <c r="R846" i="4"/>
  <c r="N846" i="4"/>
  <c r="K846" i="4"/>
  <c r="BG845" i="4"/>
  <c r="BF845" i="4"/>
  <c r="BB845" i="4"/>
  <c r="BC845" i="4" s="1"/>
  <c r="AY845" i="4"/>
  <c r="AX845" i="4"/>
  <c r="AT845" i="4"/>
  <c r="AU845" i="4" s="1"/>
  <c r="AQ845" i="4"/>
  <c r="AP845" i="4"/>
  <c r="AM845" i="4"/>
  <c r="AL845" i="4"/>
  <c r="AH845" i="4"/>
  <c r="AE845" i="4"/>
  <c r="AD845" i="4"/>
  <c r="AA845" i="4"/>
  <c r="Z845" i="4"/>
  <c r="V845" i="4"/>
  <c r="W845" i="4" s="1"/>
  <c r="S845" i="4"/>
  <c r="R845" i="4"/>
  <c r="N845" i="4"/>
  <c r="O845" i="4" s="1"/>
  <c r="K845" i="4"/>
  <c r="AI845" i="4" s="1"/>
  <c r="BF844" i="4"/>
  <c r="BC844" i="4"/>
  <c r="BB844" i="4"/>
  <c r="AX844" i="4"/>
  <c r="AU844" i="4"/>
  <c r="AT844" i="4"/>
  <c r="AP844" i="4"/>
  <c r="AL844" i="4"/>
  <c r="AH844" i="4"/>
  <c r="AD844" i="4"/>
  <c r="Z844" i="4"/>
  <c r="V844" i="4"/>
  <c r="R844" i="4"/>
  <c r="S844" i="4" s="1"/>
  <c r="N844" i="4"/>
  <c r="O844" i="4" s="1"/>
  <c r="K844" i="4"/>
  <c r="BF843" i="4"/>
  <c r="BB843" i="4"/>
  <c r="AX843" i="4"/>
  <c r="AT843" i="4"/>
  <c r="AQ843" i="4"/>
  <c r="AP843" i="4"/>
  <c r="AL843" i="4"/>
  <c r="AI843" i="4"/>
  <c r="AH843" i="4"/>
  <c r="AD843" i="4"/>
  <c r="AA843" i="4"/>
  <c r="Z843" i="4"/>
  <c r="V843" i="4"/>
  <c r="R843" i="4"/>
  <c r="S843" i="4" s="1"/>
  <c r="N843" i="4"/>
  <c r="K843" i="4"/>
  <c r="BF842" i="4"/>
  <c r="BB842" i="4"/>
  <c r="AY842" i="4"/>
  <c r="AX842" i="4"/>
  <c r="AT842" i="4"/>
  <c r="AQ842" i="4"/>
  <c r="AP842" i="4"/>
  <c r="AM842" i="4"/>
  <c r="AL842" i="4"/>
  <c r="AI842" i="4"/>
  <c r="AH842" i="4"/>
  <c r="AE842" i="4"/>
  <c r="AD842" i="4"/>
  <c r="Z842" i="4"/>
  <c r="V842" i="4"/>
  <c r="W842" i="4" s="1"/>
  <c r="R842" i="4"/>
  <c r="N842" i="4"/>
  <c r="K842" i="4"/>
  <c r="BG841" i="4"/>
  <c r="BF841" i="4"/>
  <c r="BB841" i="4"/>
  <c r="AY841" i="4"/>
  <c r="AX841" i="4"/>
  <c r="AT841" i="4"/>
  <c r="AU841" i="4" s="1"/>
  <c r="AP841" i="4"/>
  <c r="AL841" i="4"/>
  <c r="AH841" i="4"/>
  <c r="AI841" i="4" s="1"/>
  <c r="AD841" i="4"/>
  <c r="AE841" i="4" s="1"/>
  <c r="Z841" i="4"/>
  <c r="W841" i="4"/>
  <c r="V841" i="4"/>
  <c r="R841" i="4"/>
  <c r="S841" i="4" s="1"/>
  <c r="O841" i="4"/>
  <c r="N841" i="4"/>
  <c r="K841" i="4"/>
  <c r="BF840" i="4"/>
  <c r="BG840" i="4" s="1"/>
  <c r="BB840" i="4"/>
  <c r="AX840" i="4"/>
  <c r="AT840" i="4"/>
  <c r="AP840" i="4"/>
  <c r="AL840" i="4"/>
  <c r="AH840" i="4"/>
  <c r="AD840" i="4"/>
  <c r="Z840" i="4"/>
  <c r="V840" i="4"/>
  <c r="R840" i="4"/>
  <c r="S840" i="4" s="1"/>
  <c r="O840" i="4"/>
  <c r="N840" i="4"/>
  <c r="K840" i="4"/>
  <c r="BF839" i="4"/>
  <c r="BB839" i="4"/>
  <c r="BC839" i="4" s="1"/>
  <c r="AY839" i="4"/>
  <c r="AX839" i="4"/>
  <c r="AT839" i="4"/>
  <c r="AU839" i="4" s="1"/>
  <c r="AP839" i="4"/>
  <c r="AQ839" i="4" s="1"/>
  <c r="AL839" i="4"/>
  <c r="AI839" i="4"/>
  <c r="AH839" i="4"/>
  <c r="AD839" i="4"/>
  <c r="AA839" i="4"/>
  <c r="Z839" i="4"/>
  <c r="W839" i="4"/>
  <c r="V839" i="4"/>
  <c r="R839" i="4"/>
  <c r="S839" i="4" s="1"/>
  <c r="N839" i="4"/>
  <c r="O839" i="4" s="1"/>
  <c r="K839" i="4"/>
  <c r="BG839" i="4" s="1"/>
  <c r="BF838" i="4"/>
  <c r="BB838" i="4"/>
  <c r="AY838" i="4"/>
  <c r="AX838" i="4"/>
  <c r="AT838" i="4"/>
  <c r="AP838" i="4"/>
  <c r="AQ838" i="4" s="1"/>
  <c r="AL838" i="4"/>
  <c r="AM838" i="4" s="1"/>
  <c r="AH838" i="4"/>
  <c r="AE838" i="4"/>
  <c r="AD838" i="4"/>
  <c r="Z838" i="4"/>
  <c r="W838" i="4"/>
  <c r="V838" i="4"/>
  <c r="R838" i="4"/>
  <c r="O838" i="4"/>
  <c r="N838" i="4"/>
  <c r="K838" i="4"/>
  <c r="BF837" i="4"/>
  <c r="BC837" i="4"/>
  <c r="BB837" i="4"/>
  <c r="AX837" i="4"/>
  <c r="AT837" i="4"/>
  <c r="AP837" i="4"/>
  <c r="AQ837" i="4" s="1"/>
  <c r="AM837" i="4"/>
  <c r="AL837" i="4"/>
  <c r="AH837" i="4"/>
  <c r="AD837" i="4"/>
  <c r="AA837" i="4"/>
  <c r="Z837" i="4"/>
  <c r="V837" i="4"/>
  <c r="R837" i="4"/>
  <c r="N837" i="4"/>
  <c r="O837" i="4" s="1"/>
  <c r="K837" i="4"/>
  <c r="BF836" i="4"/>
  <c r="BB836" i="4"/>
  <c r="AX836" i="4"/>
  <c r="AT836" i="4"/>
  <c r="AP836" i="4"/>
  <c r="AL836" i="4"/>
  <c r="AH836" i="4"/>
  <c r="AD836" i="4"/>
  <c r="Z836" i="4"/>
  <c r="V836" i="4"/>
  <c r="R836" i="4"/>
  <c r="N836" i="4"/>
  <c r="K836" i="4"/>
  <c r="W836" i="4" s="1"/>
  <c r="BG835" i="4"/>
  <c r="BF835" i="4"/>
  <c r="BB835" i="4"/>
  <c r="AX835" i="4"/>
  <c r="AU835" i="4"/>
  <c r="AT835" i="4"/>
  <c r="AP835" i="4"/>
  <c r="AL835" i="4"/>
  <c r="AI835" i="4"/>
  <c r="AH835" i="4"/>
  <c r="AE835" i="4"/>
  <c r="AD835" i="4"/>
  <c r="AA835" i="4"/>
  <c r="Z835" i="4"/>
  <c r="V835" i="4"/>
  <c r="S835" i="4"/>
  <c r="R835" i="4"/>
  <c r="N835" i="4"/>
  <c r="K835" i="4"/>
  <c r="AM835" i="4" s="1"/>
  <c r="BF834" i="4"/>
  <c r="BG834" i="4" s="1"/>
  <c r="BB834" i="4"/>
  <c r="BC834" i="4" s="1"/>
  <c r="AY834" i="4"/>
  <c r="AX834" i="4"/>
  <c r="AU834" i="4"/>
  <c r="AT834" i="4"/>
  <c r="AP834" i="4"/>
  <c r="AQ834" i="4" s="1"/>
  <c r="AL834" i="4"/>
  <c r="AH834" i="4"/>
  <c r="AI834" i="4" s="1"/>
  <c r="AD834" i="4"/>
  <c r="AE834" i="4" s="1"/>
  <c r="Z834" i="4"/>
  <c r="AA834" i="4" s="1"/>
  <c r="V834" i="4"/>
  <c r="W834" i="4" s="1"/>
  <c r="R834" i="4"/>
  <c r="S834" i="4" s="1"/>
  <c r="O834" i="4"/>
  <c r="N834" i="4"/>
  <c r="K834" i="4"/>
  <c r="AM834" i="4" s="1"/>
  <c r="BF833" i="4"/>
  <c r="BG833" i="4" s="1"/>
  <c r="BC833" i="4"/>
  <c r="BB833" i="4"/>
  <c r="AY833" i="4"/>
  <c r="AX833" i="4"/>
  <c r="AU833" i="4"/>
  <c r="AT833" i="4"/>
  <c r="AQ833" i="4"/>
  <c r="AP833" i="4"/>
  <c r="AL833" i="4"/>
  <c r="AH833" i="4"/>
  <c r="AE833" i="4"/>
  <c r="AD833" i="4"/>
  <c r="Z833" i="4"/>
  <c r="AA833" i="4" s="1"/>
  <c r="V833" i="4"/>
  <c r="W833" i="4" s="1"/>
  <c r="S833" i="4"/>
  <c r="R833" i="4"/>
  <c r="O833" i="4"/>
  <c r="N833" i="4"/>
  <c r="K833" i="4"/>
  <c r="AM833" i="4" s="1"/>
  <c r="BF832" i="4"/>
  <c r="BC832" i="4"/>
  <c r="BB832" i="4"/>
  <c r="AY832" i="4"/>
  <c r="AX832" i="4"/>
  <c r="AT832" i="4"/>
  <c r="AU832" i="4" s="1"/>
  <c r="AQ832" i="4"/>
  <c r="AP832" i="4"/>
  <c r="AM832" i="4"/>
  <c r="AL832" i="4"/>
  <c r="AH832" i="4"/>
  <c r="AD832" i="4"/>
  <c r="AA832" i="4"/>
  <c r="Z832" i="4"/>
  <c r="W832" i="4"/>
  <c r="V832" i="4"/>
  <c r="S832" i="4"/>
  <c r="R832" i="4"/>
  <c r="N832" i="4"/>
  <c r="O832" i="4" s="1"/>
  <c r="K832" i="4"/>
  <c r="AI832" i="4" s="1"/>
  <c r="BG831" i="4"/>
  <c r="BF831" i="4"/>
  <c r="BB831" i="4"/>
  <c r="AX831" i="4"/>
  <c r="AT831" i="4"/>
  <c r="AU831" i="4" s="1"/>
  <c r="AP831" i="4"/>
  <c r="AL831" i="4"/>
  <c r="AH831" i="4"/>
  <c r="AE831" i="4"/>
  <c r="AD831" i="4"/>
  <c r="Z831" i="4"/>
  <c r="V831" i="4"/>
  <c r="S831" i="4"/>
  <c r="R831" i="4"/>
  <c r="N831" i="4"/>
  <c r="O831" i="4" s="1"/>
  <c r="K831" i="4"/>
  <c r="BF830" i="4"/>
  <c r="BB830" i="4"/>
  <c r="AX830" i="4"/>
  <c r="AT830" i="4"/>
  <c r="AP830" i="4"/>
  <c r="AL830" i="4"/>
  <c r="AH830" i="4"/>
  <c r="AD830" i="4"/>
  <c r="Z830" i="4"/>
  <c r="V830" i="4"/>
  <c r="R830" i="4"/>
  <c r="N830" i="4"/>
  <c r="K830" i="4"/>
  <c r="BF829" i="4"/>
  <c r="BB829" i="4"/>
  <c r="AX829" i="4"/>
  <c r="AT829" i="4"/>
  <c r="AP829" i="4"/>
  <c r="AL829" i="4"/>
  <c r="AH829" i="4"/>
  <c r="AD829" i="4"/>
  <c r="Z829" i="4"/>
  <c r="W829" i="4"/>
  <c r="V829" i="4"/>
  <c r="R829" i="4"/>
  <c r="N829" i="4"/>
  <c r="K829" i="4"/>
  <c r="BG828" i="4"/>
  <c r="BF828" i="4"/>
  <c r="BB828" i="4"/>
  <c r="AX828" i="4"/>
  <c r="AY828" i="4" s="1"/>
  <c r="AU828" i="4"/>
  <c r="AT828" i="4"/>
  <c r="AQ828" i="4"/>
  <c r="AP828" i="4"/>
  <c r="AM828" i="4"/>
  <c r="AL828" i="4"/>
  <c r="AI828" i="4"/>
  <c r="AH828" i="4"/>
  <c r="AE828" i="4"/>
  <c r="AD828" i="4"/>
  <c r="Z828" i="4"/>
  <c r="W828" i="4"/>
  <c r="V828" i="4"/>
  <c r="R828" i="4"/>
  <c r="S828" i="4" s="1"/>
  <c r="N828" i="4"/>
  <c r="O828" i="4" s="1"/>
  <c r="K828" i="4"/>
  <c r="BG827" i="4"/>
  <c r="BF827" i="4"/>
  <c r="BC827" i="4"/>
  <c r="BB827" i="4"/>
  <c r="AY827" i="4"/>
  <c r="AX827" i="4"/>
  <c r="AT827" i="4"/>
  <c r="AU827" i="4" s="1"/>
  <c r="AQ827" i="4"/>
  <c r="AP827" i="4"/>
  <c r="AL827" i="4"/>
  <c r="AI827" i="4"/>
  <c r="AH827" i="4"/>
  <c r="AD827" i="4"/>
  <c r="AE827" i="4" s="1"/>
  <c r="AA827" i="4"/>
  <c r="Z827" i="4"/>
  <c r="W827" i="4"/>
  <c r="V827" i="4"/>
  <c r="R827" i="4"/>
  <c r="S827" i="4" s="1"/>
  <c r="BH827" i="4" s="1"/>
  <c r="BI827" i="4" s="1"/>
  <c r="O827" i="4"/>
  <c r="N827" i="4"/>
  <c r="K827" i="4"/>
  <c r="AM827" i="4" s="1"/>
  <c r="BF826" i="4"/>
  <c r="BB826" i="4"/>
  <c r="AX826" i="4"/>
  <c r="AT826" i="4"/>
  <c r="AP826" i="4"/>
  <c r="AL826" i="4"/>
  <c r="AH826" i="4"/>
  <c r="AD826" i="4"/>
  <c r="Z826" i="4"/>
  <c r="V826" i="4"/>
  <c r="S826" i="4"/>
  <c r="R826" i="4"/>
  <c r="O826" i="4"/>
  <c r="N826" i="4"/>
  <c r="K826" i="4"/>
  <c r="BF825" i="4"/>
  <c r="BC825" i="4"/>
  <c r="BB825" i="4"/>
  <c r="AY825" i="4"/>
  <c r="AX825" i="4"/>
  <c r="AT825" i="4"/>
  <c r="AU825" i="4" s="1"/>
  <c r="AP825" i="4"/>
  <c r="AQ825" i="4" s="1"/>
  <c r="AL825" i="4"/>
  <c r="AI825" i="4"/>
  <c r="AH825" i="4"/>
  <c r="AD825" i="4"/>
  <c r="Z825" i="4"/>
  <c r="AA825" i="4" s="1"/>
  <c r="W825" i="4"/>
  <c r="V825" i="4"/>
  <c r="S825" i="4"/>
  <c r="R825" i="4"/>
  <c r="N825" i="4"/>
  <c r="O825" i="4" s="1"/>
  <c r="K825" i="4"/>
  <c r="BG825" i="4" s="1"/>
  <c r="BF824" i="4"/>
  <c r="BB824" i="4"/>
  <c r="AX824" i="4"/>
  <c r="AT824" i="4"/>
  <c r="AP824" i="4"/>
  <c r="AM824" i="4"/>
  <c r="AL824" i="4"/>
  <c r="AH824" i="4"/>
  <c r="AD824" i="4"/>
  <c r="Z824" i="4"/>
  <c r="V824" i="4"/>
  <c r="R824" i="4"/>
  <c r="N824" i="4"/>
  <c r="O824" i="4" s="1"/>
  <c r="K824" i="4"/>
  <c r="AQ824" i="4" s="1"/>
  <c r="BF823" i="4"/>
  <c r="BC823" i="4"/>
  <c r="BB823" i="4"/>
  <c r="AX823" i="4"/>
  <c r="AU823" i="4"/>
  <c r="AT823" i="4"/>
  <c r="AP823" i="4"/>
  <c r="AQ823" i="4" s="1"/>
  <c r="AL823" i="4"/>
  <c r="AM823" i="4" s="1"/>
  <c r="AH823" i="4"/>
  <c r="AI823" i="4" s="1"/>
  <c r="AD823" i="4"/>
  <c r="AA823" i="4"/>
  <c r="Z823" i="4"/>
  <c r="V823" i="4"/>
  <c r="R823" i="4"/>
  <c r="N823" i="4"/>
  <c r="O823" i="4" s="1"/>
  <c r="K823" i="4"/>
  <c r="BG822" i="4"/>
  <c r="BF822" i="4"/>
  <c r="BB822" i="4"/>
  <c r="AX822" i="4"/>
  <c r="AT822" i="4"/>
  <c r="AP822" i="4"/>
  <c r="AL822" i="4"/>
  <c r="AI822" i="4"/>
  <c r="AH822" i="4"/>
  <c r="AE822" i="4"/>
  <c r="AD822" i="4"/>
  <c r="Z822" i="4"/>
  <c r="W822" i="4"/>
  <c r="V822" i="4"/>
  <c r="R822" i="4"/>
  <c r="N822" i="4"/>
  <c r="K822" i="4"/>
  <c r="BF821" i="4"/>
  <c r="BC821" i="4"/>
  <c r="BB821" i="4"/>
  <c r="AX821" i="4"/>
  <c r="AT821" i="4"/>
  <c r="AP821" i="4"/>
  <c r="AM821" i="4"/>
  <c r="AL821" i="4"/>
  <c r="AH821" i="4"/>
  <c r="AD821" i="4"/>
  <c r="Z821" i="4"/>
  <c r="V821" i="4"/>
  <c r="R821" i="4"/>
  <c r="N821" i="4"/>
  <c r="K821" i="4"/>
  <c r="AU821" i="4" s="1"/>
  <c r="BG820" i="4"/>
  <c r="BF820" i="4"/>
  <c r="BC820" i="4"/>
  <c r="BB820" i="4"/>
  <c r="AY820" i="4"/>
  <c r="AX820" i="4"/>
  <c r="AT820" i="4"/>
  <c r="AU820" i="4" s="1"/>
  <c r="AQ820" i="4"/>
  <c r="AP820" i="4"/>
  <c r="AL820" i="4"/>
  <c r="AI820" i="4"/>
  <c r="AH820" i="4"/>
  <c r="AD820" i="4"/>
  <c r="AE820" i="4" s="1"/>
  <c r="Z820" i="4"/>
  <c r="AA820" i="4" s="1"/>
  <c r="V820" i="4"/>
  <c r="W820" i="4" s="1"/>
  <c r="R820" i="4"/>
  <c r="S820" i="4" s="1"/>
  <c r="O820" i="4"/>
  <c r="N820" i="4"/>
  <c r="K820" i="4"/>
  <c r="AM820" i="4" s="1"/>
  <c r="BF819" i="4"/>
  <c r="BG819" i="4" s="1"/>
  <c r="BB819" i="4"/>
  <c r="BC819" i="4" s="1"/>
  <c r="AY819" i="4"/>
  <c r="AX819" i="4"/>
  <c r="AT819" i="4"/>
  <c r="AU819" i="4" s="1"/>
  <c r="AP819" i="4"/>
  <c r="AQ819" i="4" s="1"/>
  <c r="AL819" i="4"/>
  <c r="AH819" i="4"/>
  <c r="AD819" i="4"/>
  <c r="AE819" i="4" s="1"/>
  <c r="AA819" i="4"/>
  <c r="Z819" i="4"/>
  <c r="W819" i="4"/>
  <c r="V819" i="4"/>
  <c r="R819" i="4"/>
  <c r="S819" i="4" s="1"/>
  <c r="O819" i="4"/>
  <c r="N819" i="4"/>
  <c r="K819" i="4"/>
  <c r="AM819" i="4" s="1"/>
  <c r="BF818" i="4"/>
  <c r="BC818" i="4"/>
  <c r="BB818" i="4"/>
  <c r="AY818" i="4"/>
  <c r="AX818" i="4"/>
  <c r="AU818" i="4"/>
  <c r="AT818" i="4"/>
  <c r="AQ818" i="4"/>
  <c r="AP818" i="4"/>
  <c r="AL818" i="4"/>
  <c r="AH818" i="4"/>
  <c r="AD818" i="4"/>
  <c r="Z818" i="4"/>
  <c r="V818" i="4"/>
  <c r="W818" i="4" s="1"/>
  <c r="R818" i="4"/>
  <c r="S818" i="4" s="1"/>
  <c r="N818" i="4"/>
  <c r="O818" i="4" s="1"/>
  <c r="K818" i="4"/>
  <c r="BF817" i="4"/>
  <c r="BB817" i="4"/>
  <c r="AX817" i="4"/>
  <c r="AU817" i="4"/>
  <c r="AT817" i="4"/>
  <c r="AQ817" i="4"/>
  <c r="AP817" i="4"/>
  <c r="AM817" i="4"/>
  <c r="AL817" i="4"/>
  <c r="AH817" i="4"/>
  <c r="AD817" i="4"/>
  <c r="Z817" i="4"/>
  <c r="V817" i="4"/>
  <c r="R817" i="4"/>
  <c r="O817" i="4"/>
  <c r="N817" i="4"/>
  <c r="K817" i="4"/>
  <c r="BF816" i="4"/>
  <c r="BC816" i="4"/>
  <c r="BB816" i="4"/>
  <c r="AX816" i="4"/>
  <c r="AT816" i="4"/>
  <c r="AQ816" i="4"/>
  <c r="AP816" i="4"/>
  <c r="AL816" i="4"/>
  <c r="AM816" i="4" s="1"/>
  <c r="AH816" i="4"/>
  <c r="AI816" i="4" s="1"/>
  <c r="AD816" i="4"/>
  <c r="AA816" i="4"/>
  <c r="Z816" i="4"/>
  <c r="V816" i="4"/>
  <c r="R816" i="4"/>
  <c r="O816" i="4"/>
  <c r="N816" i="4"/>
  <c r="K816" i="4"/>
  <c r="BF815" i="4"/>
  <c r="BB815" i="4"/>
  <c r="AX815" i="4"/>
  <c r="AT815" i="4"/>
  <c r="AQ815" i="4"/>
  <c r="AP815" i="4"/>
  <c r="AL815" i="4"/>
  <c r="AH815" i="4"/>
  <c r="AD815" i="4"/>
  <c r="Z815" i="4"/>
  <c r="W815" i="4"/>
  <c r="V815" i="4"/>
  <c r="R815" i="4"/>
  <c r="N815" i="4"/>
  <c r="K815" i="4"/>
  <c r="BG814" i="4"/>
  <c r="BF814" i="4"/>
  <c r="BB814" i="4"/>
  <c r="AY814" i="4"/>
  <c r="AX814" i="4"/>
  <c r="AU814" i="4"/>
  <c r="AT814" i="4"/>
  <c r="AQ814" i="4"/>
  <c r="AP814" i="4"/>
  <c r="AL814" i="4"/>
  <c r="AM814" i="4" s="1"/>
  <c r="AI814" i="4"/>
  <c r="AH814" i="4"/>
  <c r="AD814" i="4"/>
  <c r="AE814" i="4" s="1"/>
  <c r="Z814" i="4"/>
  <c r="V814" i="4"/>
  <c r="W814" i="4" s="1"/>
  <c r="R814" i="4"/>
  <c r="S814" i="4" s="1"/>
  <c r="O814" i="4"/>
  <c r="N814" i="4"/>
  <c r="K814" i="4"/>
  <c r="BF813" i="4"/>
  <c r="BG813" i="4" s="1"/>
  <c r="BC813" i="4"/>
  <c r="BB813" i="4"/>
  <c r="AY813" i="4"/>
  <c r="AX813" i="4"/>
  <c r="AT813" i="4"/>
  <c r="AU813" i="4" s="1"/>
  <c r="AQ813" i="4"/>
  <c r="AP813" i="4"/>
  <c r="AL813" i="4"/>
  <c r="AH813" i="4"/>
  <c r="AI813" i="4" s="1"/>
  <c r="AD813" i="4"/>
  <c r="AE813" i="4" s="1"/>
  <c r="AA813" i="4"/>
  <c r="Z813" i="4"/>
  <c r="V813" i="4"/>
  <c r="W813" i="4" s="1"/>
  <c r="R813" i="4"/>
  <c r="S813" i="4" s="1"/>
  <c r="N813" i="4"/>
  <c r="O813" i="4" s="1"/>
  <c r="K813" i="4"/>
  <c r="AM813" i="4" s="1"/>
  <c r="BF812" i="4"/>
  <c r="BG812" i="4" s="1"/>
  <c r="BC812" i="4"/>
  <c r="BB812" i="4"/>
  <c r="AX812" i="4"/>
  <c r="AU812" i="4"/>
  <c r="AT812" i="4"/>
  <c r="AP812" i="4"/>
  <c r="AL812" i="4"/>
  <c r="AH812" i="4"/>
  <c r="AD812" i="4"/>
  <c r="AE812" i="4" s="1"/>
  <c r="Z812" i="4"/>
  <c r="AA812" i="4" s="1"/>
  <c r="V812" i="4"/>
  <c r="R812" i="4"/>
  <c r="S812" i="4" s="1"/>
  <c r="N812" i="4"/>
  <c r="O812" i="4" s="1"/>
  <c r="K812" i="4"/>
  <c r="BF811" i="4"/>
  <c r="BB811" i="4"/>
  <c r="AX811" i="4"/>
  <c r="AT811" i="4"/>
  <c r="AP811" i="4"/>
  <c r="AL811" i="4"/>
  <c r="AH811" i="4"/>
  <c r="AD811" i="4"/>
  <c r="Z811" i="4"/>
  <c r="V811" i="4"/>
  <c r="R811" i="4"/>
  <c r="N811" i="4"/>
  <c r="K811" i="4"/>
  <c r="BF810" i="4"/>
  <c r="BB810" i="4"/>
  <c r="AX810" i="4"/>
  <c r="AT810" i="4"/>
  <c r="AP810" i="4"/>
  <c r="AL810" i="4"/>
  <c r="AH810" i="4"/>
  <c r="AD810" i="4"/>
  <c r="Z810" i="4"/>
  <c r="V810" i="4"/>
  <c r="R810" i="4"/>
  <c r="N810" i="4"/>
  <c r="K810" i="4"/>
  <c r="BF809" i="4"/>
  <c r="BG809" i="4" s="1"/>
  <c r="BB809" i="4"/>
  <c r="BC809" i="4" s="1"/>
  <c r="AX809" i="4"/>
  <c r="AU809" i="4"/>
  <c r="AT809" i="4"/>
  <c r="AQ809" i="4"/>
  <c r="AP809" i="4"/>
  <c r="AL809" i="4"/>
  <c r="AM809" i="4" s="1"/>
  <c r="AH809" i="4"/>
  <c r="AI809" i="4" s="1"/>
  <c r="AE809" i="4"/>
  <c r="AD809" i="4"/>
  <c r="AA809" i="4"/>
  <c r="Z809" i="4"/>
  <c r="V809" i="4"/>
  <c r="S809" i="4"/>
  <c r="R809" i="4"/>
  <c r="N809" i="4"/>
  <c r="O809" i="4" s="1"/>
  <c r="K809" i="4"/>
  <c r="BF808" i="4"/>
  <c r="BB808" i="4"/>
  <c r="AX808" i="4"/>
  <c r="AT808" i="4"/>
  <c r="AP808" i="4"/>
  <c r="AL808" i="4"/>
  <c r="AH808" i="4"/>
  <c r="AD808" i="4"/>
  <c r="Z808" i="4"/>
  <c r="V808" i="4"/>
  <c r="R808" i="4"/>
  <c r="O808" i="4"/>
  <c r="N808" i="4"/>
  <c r="K808" i="4"/>
  <c r="BF807" i="4"/>
  <c r="BC807" i="4"/>
  <c r="BB807" i="4"/>
  <c r="AY807" i="4"/>
  <c r="AX807" i="4"/>
  <c r="AU807" i="4"/>
  <c r="AT807" i="4"/>
  <c r="AP807" i="4"/>
  <c r="AL807" i="4"/>
  <c r="AM807" i="4" s="1"/>
  <c r="AI807" i="4"/>
  <c r="AH807" i="4"/>
  <c r="AE807" i="4"/>
  <c r="AD807" i="4"/>
  <c r="Z807" i="4"/>
  <c r="W807" i="4"/>
  <c r="V807" i="4"/>
  <c r="S807" i="4"/>
  <c r="R807" i="4"/>
  <c r="N807" i="4"/>
  <c r="K807" i="4"/>
  <c r="BG806" i="4"/>
  <c r="BF806" i="4"/>
  <c r="BC806" i="4"/>
  <c r="BB806" i="4"/>
  <c r="AX806" i="4"/>
  <c r="AT806" i="4"/>
  <c r="AP806" i="4"/>
  <c r="AL806" i="4"/>
  <c r="AH806" i="4"/>
  <c r="AE806" i="4"/>
  <c r="AD806" i="4"/>
  <c r="AA806" i="4"/>
  <c r="Z806" i="4"/>
  <c r="W806" i="4"/>
  <c r="V806" i="4"/>
  <c r="R806" i="4"/>
  <c r="N806" i="4"/>
  <c r="K806" i="4"/>
  <c r="BF805" i="4"/>
  <c r="BG805" i="4" s="1"/>
  <c r="BB805" i="4"/>
  <c r="BC805" i="4" s="1"/>
  <c r="AY805" i="4"/>
  <c r="AX805" i="4"/>
  <c r="AT805" i="4"/>
  <c r="AU805" i="4" s="1"/>
  <c r="AP805" i="4"/>
  <c r="AL805" i="4"/>
  <c r="AM805" i="4" s="1"/>
  <c r="AH805" i="4"/>
  <c r="AE805" i="4"/>
  <c r="AD805" i="4"/>
  <c r="AA805" i="4"/>
  <c r="Z805" i="4"/>
  <c r="V805" i="4"/>
  <c r="W805" i="4" s="1"/>
  <c r="S805" i="4"/>
  <c r="R805" i="4"/>
  <c r="O805" i="4"/>
  <c r="N805" i="4"/>
  <c r="K805" i="4"/>
  <c r="BF804" i="4"/>
  <c r="BG804" i="4" s="1"/>
  <c r="BC804" i="4"/>
  <c r="BB804" i="4"/>
  <c r="AY804" i="4"/>
  <c r="AX804" i="4"/>
  <c r="AT804" i="4"/>
  <c r="AU804" i="4" s="1"/>
  <c r="AQ804" i="4"/>
  <c r="AP804" i="4"/>
  <c r="AL804" i="4"/>
  <c r="AH804" i="4"/>
  <c r="AI804" i="4" s="1"/>
  <c r="AD804" i="4"/>
  <c r="AE804" i="4" s="1"/>
  <c r="AA804" i="4"/>
  <c r="Z804" i="4"/>
  <c r="V804" i="4"/>
  <c r="W804" i="4" s="1"/>
  <c r="S804" i="4"/>
  <c r="R804" i="4"/>
  <c r="O804" i="4"/>
  <c r="N804" i="4"/>
  <c r="K804" i="4"/>
  <c r="BF803" i="4"/>
  <c r="BB803" i="4"/>
  <c r="AX803" i="4"/>
  <c r="AT803" i="4"/>
  <c r="AP803" i="4"/>
  <c r="AL803" i="4"/>
  <c r="AH803" i="4"/>
  <c r="AD803" i="4"/>
  <c r="Z803" i="4"/>
  <c r="V803" i="4"/>
  <c r="W803" i="4" s="1"/>
  <c r="S803" i="4"/>
  <c r="R803" i="4"/>
  <c r="N803" i="4"/>
  <c r="K803" i="4"/>
  <c r="BF802" i="4"/>
  <c r="BB802" i="4"/>
  <c r="AX802" i="4"/>
  <c r="AY802" i="4" s="1"/>
  <c r="AT802" i="4"/>
  <c r="AP802" i="4"/>
  <c r="AL802" i="4"/>
  <c r="AH802" i="4"/>
  <c r="AE802" i="4"/>
  <c r="AD802" i="4"/>
  <c r="AA802" i="4"/>
  <c r="Z802" i="4"/>
  <c r="V802" i="4"/>
  <c r="R802" i="4"/>
  <c r="O802" i="4"/>
  <c r="N802" i="4"/>
  <c r="K802" i="4"/>
  <c r="BF801" i="4"/>
  <c r="BC801" i="4"/>
  <c r="BB801" i="4"/>
  <c r="AX801" i="4"/>
  <c r="AT801" i="4"/>
  <c r="AP801" i="4"/>
  <c r="AL801" i="4"/>
  <c r="AM801" i="4" s="1"/>
  <c r="AH801" i="4"/>
  <c r="AE801" i="4"/>
  <c r="AD801" i="4"/>
  <c r="Z801" i="4"/>
  <c r="W801" i="4"/>
  <c r="V801" i="4"/>
  <c r="R801" i="4"/>
  <c r="N801" i="4"/>
  <c r="K801" i="4"/>
  <c r="BF800" i="4"/>
  <c r="BB800" i="4"/>
  <c r="BC800" i="4" s="1"/>
  <c r="AX800" i="4"/>
  <c r="AY800" i="4" s="1"/>
  <c r="AT800" i="4"/>
  <c r="AU800" i="4" s="1"/>
  <c r="AP800" i="4"/>
  <c r="AM800" i="4"/>
  <c r="AL800" i="4"/>
  <c r="AH800" i="4"/>
  <c r="AD800" i="4"/>
  <c r="Z800" i="4"/>
  <c r="AA800" i="4" s="1"/>
  <c r="V800" i="4"/>
  <c r="W800" i="4" s="1"/>
  <c r="R800" i="4"/>
  <c r="S800" i="4" s="1"/>
  <c r="O800" i="4"/>
  <c r="N800" i="4"/>
  <c r="K800" i="4"/>
  <c r="BG799" i="4"/>
  <c r="BF799" i="4"/>
  <c r="BB799" i="4"/>
  <c r="BC799" i="4" s="1"/>
  <c r="AY799" i="4"/>
  <c r="AX799" i="4"/>
  <c r="AU799" i="4"/>
  <c r="AT799" i="4"/>
  <c r="AQ799" i="4"/>
  <c r="AP799" i="4"/>
  <c r="AL799" i="4"/>
  <c r="AH799" i="4"/>
  <c r="AI799" i="4" s="1"/>
  <c r="AE799" i="4"/>
  <c r="AD799" i="4"/>
  <c r="Z799" i="4"/>
  <c r="AA799" i="4" s="1"/>
  <c r="V799" i="4"/>
  <c r="W799" i="4" s="1"/>
  <c r="S799" i="4"/>
  <c r="R799" i="4"/>
  <c r="N799" i="4"/>
  <c r="O799" i="4" s="1"/>
  <c r="K799" i="4"/>
  <c r="AM799" i="4" s="1"/>
  <c r="BG798" i="4"/>
  <c r="BF798" i="4"/>
  <c r="BB798" i="4"/>
  <c r="AX798" i="4"/>
  <c r="AY798" i="4" s="1"/>
  <c r="AT798" i="4"/>
  <c r="AP798" i="4"/>
  <c r="AQ798" i="4" s="1"/>
  <c r="AL798" i="4"/>
  <c r="AH798" i="4"/>
  <c r="AE798" i="4"/>
  <c r="AD798" i="4"/>
  <c r="Z798" i="4"/>
  <c r="V798" i="4"/>
  <c r="R798" i="4"/>
  <c r="S798" i="4" s="1"/>
  <c r="N798" i="4"/>
  <c r="O798" i="4" s="1"/>
  <c r="K798" i="4"/>
  <c r="BF797" i="4"/>
  <c r="BB797" i="4"/>
  <c r="AX797" i="4"/>
  <c r="AT797" i="4"/>
  <c r="AQ797" i="4"/>
  <c r="AP797" i="4"/>
  <c r="AL797" i="4"/>
  <c r="AH797" i="4"/>
  <c r="AD797" i="4"/>
  <c r="Z797" i="4"/>
  <c r="V797" i="4"/>
  <c r="S797" i="4"/>
  <c r="R797" i="4"/>
  <c r="N797" i="4"/>
  <c r="K797" i="4"/>
  <c r="BF796" i="4"/>
  <c r="BB796" i="4"/>
  <c r="AX796" i="4"/>
  <c r="AT796" i="4"/>
  <c r="AP796" i="4"/>
  <c r="AL796" i="4"/>
  <c r="AH796" i="4"/>
  <c r="AD796" i="4"/>
  <c r="Z796" i="4"/>
  <c r="V796" i="4"/>
  <c r="S796" i="4"/>
  <c r="R796" i="4"/>
  <c r="N796" i="4"/>
  <c r="K796" i="4"/>
  <c r="AE796" i="4" s="1"/>
  <c r="BF795" i="4"/>
  <c r="BC795" i="4"/>
  <c r="BB795" i="4"/>
  <c r="AX795" i="4"/>
  <c r="AT795" i="4"/>
  <c r="AP795" i="4"/>
  <c r="AM795" i="4"/>
  <c r="AL795" i="4"/>
  <c r="AH795" i="4"/>
  <c r="AD795" i="4"/>
  <c r="AA795" i="4"/>
  <c r="Z795" i="4"/>
  <c r="V795" i="4"/>
  <c r="R795" i="4"/>
  <c r="S795" i="4" s="1"/>
  <c r="N795" i="4"/>
  <c r="K795" i="4"/>
  <c r="AU795" i="4" s="1"/>
  <c r="BG794" i="4"/>
  <c r="BF794" i="4"/>
  <c r="BB794" i="4"/>
  <c r="AY794" i="4"/>
  <c r="AX794" i="4"/>
  <c r="AT794" i="4"/>
  <c r="AQ794" i="4"/>
  <c r="AP794" i="4"/>
  <c r="AL794" i="4"/>
  <c r="AH794" i="4"/>
  <c r="AI794" i="4" s="1"/>
  <c r="AD794" i="4"/>
  <c r="Z794" i="4"/>
  <c r="V794" i="4"/>
  <c r="W794" i="4" s="1"/>
  <c r="R794" i="4"/>
  <c r="N794" i="4"/>
  <c r="O794" i="4" s="1"/>
  <c r="K794" i="4"/>
  <c r="BF793" i="4"/>
  <c r="BB793" i="4"/>
  <c r="AX793" i="4"/>
  <c r="AT793" i="4"/>
  <c r="AP793" i="4"/>
  <c r="AL793" i="4"/>
  <c r="AH793" i="4"/>
  <c r="AD793" i="4"/>
  <c r="Z793" i="4"/>
  <c r="V793" i="4"/>
  <c r="R793" i="4"/>
  <c r="N793" i="4"/>
  <c r="K793" i="4"/>
  <c r="BG792" i="4"/>
  <c r="BF792" i="4"/>
  <c r="BB792" i="4"/>
  <c r="BC792" i="4" s="1"/>
  <c r="AY792" i="4"/>
  <c r="AX792" i="4"/>
  <c r="AU792" i="4"/>
  <c r="AT792" i="4"/>
  <c r="AP792" i="4"/>
  <c r="AL792" i="4"/>
  <c r="AI792" i="4"/>
  <c r="AH792" i="4"/>
  <c r="AE792" i="4"/>
  <c r="AD792" i="4"/>
  <c r="AA792" i="4"/>
  <c r="Z792" i="4"/>
  <c r="V792" i="4"/>
  <c r="W792" i="4" s="1"/>
  <c r="S792" i="4"/>
  <c r="R792" i="4"/>
  <c r="N792" i="4"/>
  <c r="K792" i="4"/>
  <c r="BF791" i="4"/>
  <c r="BG791" i="4" s="1"/>
  <c r="BB791" i="4"/>
  <c r="BC791" i="4" s="1"/>
  <c r="AY791" i="4"/>
  <c r="AX791" i="4"/>
  <c r="AT791" i="4"/>
  <c r="AQ791" i="4"/>
  <c r="AP791" i="4"/>
  <c r="AL791" i="4"/>
  <c r="AH791" i="4"/>
  <c r="AD791" i="4"/>
  <c r="AA791" i="4"/>
  <c r="Z791" i="4"/>
  <c r="V791" i="4"/>
  <c r="W791" i="4" s="1"/>
  <c r="S791" i="4"/>
  <c r="R791" i="4"/>
  <c r="O791" i="4"/>
  <c r="N791" i="4"/>
  <c r="K791" i="4"/>
  <c r="BG790" i="4"/>
  <c r="BF790" i="4"/>
  <c r="BB790" i="4"/>
  <c r="BC790" i="4" s="1"/>
  <c r="AX790" i="4"/>
  <c r="AY790" i="4" s="1"/>
  <c r="AT790" i="4"/>
  <c r="AU790" i="4" s="1"/>
  <c r="AQ790" i="4"/>
  <c r="AP790" i="4"/>
  <c r="AL790" i="4"/>
  <c r="AH790" i="4"/>
  <c r="AI790" i="4" s="1"/>
  <c r="AD790" i="4"/>
  <c r="AE790" i="4" s="1"/>
  <c r="AA790" i="4"/>
  <c r="Z790" i="4"/>
  <c r="V790" i="4"/>
  <c r="W790" i="4" s="1"/>
  <c r="S790" i="4"/>
  <c r="R790" i="4"/>
  <c r="O790" i="4"/>
  <c r="N790" i="4"/>
  <c r="K790" i="4"/>
  <c r="BG789" i="4"/>
  <c r="BF789" i="4"/>
  <c r="BB789" i="4"/>
  <c r="AX789" i="4"/>
  <c r="AT789" i="4"/>
  <c r="AQ789" i="4"/>
  <c r="AP789" i="4"/>
  <c r="AL789" i="4"/>
  <c r="AH789" i="4"/>
  <c r="AE789" i="4"/>
  <c r="AD789" i="4"/>
  <c r="Z789" i="4"/>
  <c r="V789" i="4"/>
  <c r="R789" i="4"/>
  <c r="S789" i="4" s="1"/>
  <c r="O789" i="4"/>
  <c r="N789" i="4"/>
  <c r="K789" i="4"/>
  <c r="BF788" i="4"/>
  <c r="BB788" i="4"/>
  <c r="AX788" i="4"/>
  <c r="AT788" i="4"/>
  <c r="AP788" i="4"/>
  <c r="AL788" i="4"/>
  <c r="AH788" i="4"/>
  <c r="AE788" i="4"/>
  <c r="AD788" i="4"/>
  <c r="Z788" i="4"/>
  <c r="V788" i="4"/>
  <c r="R788" i="4"/>
  <c r="N788" i="4"/>
  <c r="K788" i="4"/>
  <c r="BF787" i="4"/>
  <c r="BG787" i="4" s="1"/>
  <c r="BC787" i="4"/>
  <c r="BB787" i="4"/>
  <c r="AX787" i="4"/>
  <c r="AY787" i="4" s="1"/>
  <c r="AT787" i="4"/>
  <c r="AQ787" i="4"/>
  <c r="AP787" i="4"/>
  <c r="AM787" i="4"/>
  <c r="AL787" i="4"/>
  <c r="AH787" i="4"/>
  <c r="AD787" i="4"/>
  <c r="AE787" i="4" s="1"/>
  <c r="Z787" i="4"/>
  <c r="AA787" i="4" s="1"/>
  <c r="W787" i="4"/>
  <c r="V787" i="4"/>
  <c r="R787" i="4"/>
  <c r="N787" i="4"/>
  <c r="O787" i="4" s="1"/>
  <c r="K787" i="4"/>
  <c r="BF786" i="4"/>
  <c r="BB786" i="4"/>
  <c r="BC786" i="4" s="1"/>
  <c r="AX786" i="4"/>
  <c r="AY786" i="4" s="1"/>
  <c r="AT786" i="4"/>
  <c r="AU786" i="4" s="1"/>
  <c r="AP786" i="4"/>
  <c r="AM786" i="4"/>
  <c r="AL786" i="4"/>
  <c r="AI786" i="4"/>
  <c r="AH786" i="4"/>
  <c r="AD786" i="4"/>
  <c r="Z786" i="4"/>
  <c r="W786" i="4"/>
  <c r="V786" i="4"/>
  <c r="S786" i="4"/>
  <c r="R786" i="4"/>
  <c r="O786" i="4"/>
  <c r="N786" i="4"/>
  <c r="K786" i="4"/>
  <c r="BG785" i="4"/>
  <c r="BF785" i="4"/>
  <c r="BC785" i="4"/>
  <c r="BB785" i="4"/>
  <c r="AX785" i="4"/>
  <c r="AY785" i="4" s="1"/>
  <c r="AU785" i="4"/>
  <c r="AT785" i="4"/>
  <c r="AQ785" i="4"/>
  <c r="AP785" i="4"/>
  <c r="AL785" i="4"/>
  <c r="AH785" i="4"/>
  <c r="AI785" i="4" s="1"/>
  <c r="AE785" i="4"/>
  <c r="AD785" i="4"/>
  <c r="Z785" i="4"/>
  <c r="AA785" i="4" s="1"/>
  <c r="V785" i="4"/>
  <c r="W785" i="4" s="1"/>
  <c r="R785" i="4"/>
  <c r="S785" i="4" s="1"/>
  <c r="N785" i="4"/>
  <c r="O785" i="4" s="1"/>
  <c r="K785" i="4"/>
  <c r="BF784" i="4"/>
  <c r="BB784" i="4"/>
  <c r="AX784" i="4"/>
  <c r="AT784" i="4"/>
  <c r="AP784" i="4"/>
  <c r="AQ784" i="4" s="1"/>
  <c r="AL784" i="4"/>
  <c r="AM784" i="4" s="1"/>
  <c r="AH784" i="4"/>
  <c r="AD784" i="4"/>
  <c r="Z784" i="4"/>
  <c r="V784" i="4"/>
  <c r="R784" i="4"/>
  <c r="N784" i="4"/>
  <c r="K784" i="4"/>
  <c r="BF783" i="4"/>
  <c r="BC783" i="4"/>
  <c r="BB783" i="4"/>
  <c r="AX783" i="4"/>
  <c r="AT783" i="4"/>
  <c r="AP783" i="4"/>
  <c r="AL783" i="4"/>
  <c r="AH783" i="4"/>
  <c r="AD783" i="4"/>
  <c r="AA783" i="4"/>
  <c r="Z783" i="4"/>
  <c r="W783" i="4"/>
  <c r="V783" i="4"/>
  <c r="R783" i="4"/>
  <c r="S783" i="4" s="1"/>
  <c r="O783" i="4"/>
  <c r="N783" i="4"/>
  <c r="K783" i="4"/>
  <c r="BG782" i="4"/>
  <c r="BF782" i="4"/>
  <c r="BB782" i="4"/>
  <c r="AX782" i="4"/>
  <c r="AT782" i="4"/>
  <c r="AP782" i="4"/>
  <c r="AL782" i="4"/>
  <c r="AI782" i="4"/>
  <c r="AH782" i="4"/>
  <c r="AD782" i="4"/>
  <c r="Z782" i="4"/>
  <c r="V782" i="4"/>
  <c r="R782" i="4"/>
  <c r="O782" i="4"/>
  <c r="N782" i="4"/>
  <c r="K782" i="4"/>
  <c r="BF781" i="4"/>
  <c r="BB781" i="4"/>
  <c r="AX781" i="4"/>
  <c r="AT781" i="4"/>
  <c r="AU781" i="4" s="1"/>
  <c r="AQ781" i="4"/>
  <c r="AP781" i="4"/>
  <c r="AM781" i="4"/>
  <c r="AL781" i="4"/>
  <c r="AI781" i="4"/>
  <c r="AH781" i="4"/>
  <c r="AE781" i="4"/>
  <c r="AD781" i="4"/>
  <c r="AA781" i="4"/>
  <c r="Z781" i="4"/>
  <c r="V781" i="4"/>
  <c r="S781" i="4"/>
  <c r="R781" i="4"/>
  <c r="N781" i="4"/>
  <c r="O781" i="4" s="1"/>
  <c r="K781" i="4"/>
  <c r="BF780" i="4"/>
  <c r="BG780" i="4" s="1"/>
  <c r="BC780" i="4"/>
  <c r="BB780" i="4"/>
  <c r="AX780" i="4"/>
  <c r="AT780" i="4"/>
  <c r="AP780" i="4"/>
  <c r="AL780" i="4"/>
  <c r="AH780" i="4"/>
  <c r="AD780" i="4"/>
  <c r="AA780" i="4"/>
  <c r="Z780" i="4"/>
  <c r="V780" i="4"/>
  <c r="R780" i="4"/>
  <c r="N780" i="4"/>
  <c r="K780" i="4"/>
  <c r="AY780" i="4" s="1"/>
  <c r="BF779" i="4"/>
  <c r="BG779" i="4" s="1"/>
  <c r="BB779" i="4"/>
  <c r="BC779" i="4" s="1"/>
  <c r="AX779" i="4"/>
  <c r="AY779" i="4" s="1"/>
  <c r="AU779" i="4"/>
  <c r="AT779" i="4"/>
  <c r="AP779" i="4"/>
  <c r="AL779" i="4"/>
  <c r="AM779" i="4" s="1"/>
  <c r="AH779" i="4"/>
  <c r="AI779" i="4" s="1"/>
  <c r="AE779" i="4"/>
  <c r="AD779" i="4"/>
  <c r="Z779" i="4"/>
  <c r="AA779" i="4" s="1"/>
  <c r="V779" i="4"/>
  <c r="W779" i="4" s="1"/>
  <c r="S779" i="4"/>
  <c r="R779" i="4"/>
  <c r="N779" i="4"/>
  <c r="K779" i="4"/>
  <c r="BF778" i="4"/>
  <c r="BC778" i="4"/>
  <c r="BB778" i="4"/>
  <c r="AX778" i="4"/>
  <c r="AU778" i="4"/>
  <c r="AT778" i="4"/>
  <c r="AP778" i="4"/>
  <c r="AL778" i="4"/>
  <c r="AI778" i="4"/>
  <c r="AH778" i="4"/>
  <c r="AD778" i="4"/>
  <c r="AA778" i="4"/>
  <c r="Z778" i="4"/>
  <c r="V778" i="4"/>
  <c r="S778" i="4"/>
  <c r="R778" i="4"/>
  <c r="N778" i="4"/>
  <c r="K778" i="4"/>
  <c r="BF777" i="4"/>
  <c r="BB777" i="4"/>
  <c r="AX777" i="4"/>
  <c r="AY777" i="4" s="1"/>
  <c r="AT777" i="4"/>
  <c r="AQ777" i="4"/>
  <c r="AP777" i="4"/>
  <c r="AM777" i="4"/>
  <c r="AL777" i="4"/>
  <c r="AH777" i="4"/>
  <c r="AD777" i="4"/>
  <c r="Z777" i="4"/>
  <c r="V777" i="4"/>
  <c r="S777" i="4"/>
  <c r="R777" i="4"/>
  <c r="O777" i="4"/>
  <c r="N777" i="4"/>
  <c r="K777" i="4"/>
  <c r="BG776" i="4"/>
  <c r="BF776" i="4"/>
  <c r="BC776" i="4"/>
  <c r="BB776" i="4"/>
  <c r="AY776" i="4"/>
  <c r="AX776" i="4"/>
  <c r="AT776" i="4"/>
  <c r="AU776" i="4" s="1"/>
  <c r="AP776" i="4"/>
  <c r="AQ776" i="4" s="1"/>
  <c r="AL776" i="4"/>
  <c r="AI776" i="4"/>
  <c r="AH776" i="4"/>
  <c r="AD776" i="4"/>
  <c r="AE776" i="4" s="1"/>
  <c r="Z776" i="4"/>
  <c r="AA776" i="4" s="1"/>
  <c r="W776" i="4"/>
  <c r="V776" i="4"/>
  <c r="S776" i="4"/>
  <c r="R776" i="4"/>
  <c r="N776" i="4"/>
  <c r="O776" i="4" s="1"/>
  <c r="K776" i="4"/>
  <c r="BF775" i="4"/>
  <c r="BB775" i="4"/>
  <c r="AX775" i="4"/>
  <c r="AT775" i="4"/>
  <c r="AP775" i="4"/>
  <c r="AL775" i="4"/>
  <c r="AH775" i="4"/>
  <c r="AD775" i="4"/>
  <c r="Z775" i="4"/>
  <c r="V775" i="4"/>
  <c r="R775" i="4"/>
  <c r="N775" i="4"/>
  <c r="K775" i="4"/>
  <c r="BF774" i="4"/>
  <c r="BG774" i="4" s="1"/>
  <c r="BC774" i="4"/>
  <c r="BB774" i="4"/>
  <c r="AX774" i="4"/>
  <c r="AY774" i="4" s="1"/>
  <c r="AT774" i="4"/>
  <c r="AU774" i="4" s="1"/>
  <c r="AP774" i="4"/>
  <c r="AL774" i="4"/>
  <c r="AH774" i="4"/>
  <c r="AD774" i="4"/>
  <c r="AE774" i="4" s="1"/>
  <c r="Z774" i="4"/>
  <c r="AA774" i="4" s="1"/>
  <c r="V774" i="4"/>
  <c r="R774" i="4"/>
  <c r="S774" i="4" s="1"/>
  <c r="N774" i="4"/>
  <c r="O774" i="4" s="1"/>
  <c r="K774" i="4"/>
  <c r="BF773" i="4"/>
  <c r="BB773" i="4"/>
  <c r="BC773" i="4" s="1"/>
  <c r="AX773" i="4"/>
  <c r="AY773" i="4" s="1"/>
  <c r="AT773" i="4"/>
  <c r="AP773" i="4"/>
  <c r="AL773" i="4"/>
  <c r="AH773" i="4"/>
  <c r="AE773" i="4"/>
  <c r="AD773" i="4"/>
  <c r="Z773" i="4"/>
  <c r="V773" i="4"/>
  <c r="W773" i="4" s="1"/>
  <c r="R773" i="4"/>
  <c r="O773" i="4"/>
  <c r="N773" i="4"/>
  <c r="K773" i="4"/>
  <c r="BF772" i="4"/>
  <c r="BB772" i="4"/>
  <c r="AX772" i="4"/>
  <c r="AT772" i="4"/>
  <c r="AP772" i="4"/>
  <c r="AL772" i="4"/>
  <c r="AH772" i="4"/>
  <c r="AD772" i="4"/>
  <c r="Z772" i="4"/>
  <c r="V772" i="4"/>
  <c r="R772" i="4"/>
  <c r="N772" i="4"/>
  <c r="K772" i="4"/>
  <c r="BG771" i="4"/>
  <c r="BF771" i="4"/>
  <c r="BB771" i="4"/>
  <c r="BC771" i="4" s="1"/>
  <c r="AY771" i="4"/>
  <c r="AX771" i="4"/>
  <c r="AU771" i="4"/>
  <c r="AT771" i="4"/>
  <c r="AP771" i="4"/>
  <c r="AQ771" i="4" s="1"/>
  <c r="AL771" i="4"/>
  <c r="AH771" i="4"/>
  <c r="AI771" i="4" s="1"/>
  <c r="AE771" i="4"/>
  <c r="AD771" i="4"/>
  <c r="Z771" i="4"/>
  <c r="AA771" i="4" s="1"/>
  <c r="V771" i="4"/>
  <c r="W771" i="4" s="1"/>
  <c r="S771" i="4"/>
  <c r="R771" i="4"/>
  <c r="N771" i="4"/>
  <c r="O771" i="4" s="1"/>
  <c r="K771" i="4"/>
  <c r="BF770" i="4"/>
  <c r="BG770" i="4" s="1"/>
  <c r="BB770" i="4"/>
  <c r="AX770" i="4"/>
  <c r="AY770" i="4" s="1"/>
  <c r="AU770" i="4"/>
  <c r="AT770" i="4"/>
  <c r="AP770" i="4"/>
  <c r="AQ770" i="4" s="1"/>
  <c r="AL770" i="4"/>
  <c r="AH770" i="4"/>
  <c r="AD770" i="4"/>
  <c r="Z770" i="4"/>
  <c r="V770" i="4"/>
  <c r="W770" i="4" s="1"/>
  <c r="S770" i="4"/>
  <c r="R770" i="4"/>
  <c r="O770" i="4"/>
  <c r="N770" i="4"/>
  <c r="K770" i="4"/>
  <c r="BF769" i="4"/>
  <c r="BB769" i="4"/>
  <c r="AX769" i="4"/>
  <c r="AT769" i="4"/>
  <c r="AP769" i="4"/>
  <c r="AL769" i="4"/>
  <c r="AI769" i="4"/>
  <c r="AH769" i="4"/>
  <c r="AD769" i="4"/>
  <c r="Z769" i="4"/>
  <c r="V769" i="4"/>
  <c r="R769" i="4"/>
  <c r="O769" i="4"/>
  <c r="N769" i="4"/>
  <c r="K769" i="4"/>
  <c r="BG768" i="4"/>
  <c r="BF768" i="4"/>
  <c r="BB768" i="4"/>
  <c r="AX768" i="4"/>
  <c r="AU768" i="4"/>
  <c r="AT768" i="4"/>
  <c r="AQ768" i="4"/>
  <c r="AP768" i="4"/>
  <c r="AM768" i="4"/>
  <c r="AL768" i="4"/>
  <c r="AH768" i="4"/>
  <c r="AI768" i="4" s="1"/>
  <c r="AE768" i="4"/>
  <c r="AD768" i="4"/>
  <c r="Z768" i="4"/>
  <c r="V768" i="4"/>
  <c r="R768" i="4"/>
  <c r="N768" i="4"/>
  <c r="O768" i="4" s="1"/>
  <c r="K768" i="4"/>
  <c r="BF767" i="4"/>
  <c r="BB767" i="4"/>
  <c r="AX767" i="4"/>
  <c r="AT767" i="4"/>
  <c r="AP767" i="4"/>
  <c r="AL767" i="4"/>
  <c r="AH767" i="4"/>
  <c r="AD767" i="4"/>
  <c r="Z767" i="4"/>
  <c r="V767" i="4"/>
  <c r="R767" i="4"/>
  <c r="N767" i="4"/>
  <c r="K767" i="4"/>
  <c r="BF766" i="4"/>
  <c r="BB766" i="4"/>
  <c r="AX766" i="4"/>
  <c r="AT766" i="4"/>
  <c r="AP766" i="4"/>
  <c r="AL766" i="4"/>
  <c r="AI766" i="4"/>
  <c r="AH766" i="4"/>
  <c r="AE766" i="4"/>
  <c r="AD766" i="4"/>
  <c r="Z766" i="4"/>
  <c r="V766" i="4"/>
  <c r="R766" i="4"/>
  <c r="N766" i="4"/>
  <c r="O766" i="4" s="1"/>
  <c r="K766" i="4"/>
  <c r="AQ766" i="4" s="1"/>
  <c r="BF765" i="4"/>
  <c r="BB765" i="4"/>
  <c r="AX765" i="4"/>
  <c r="AT765" i="4"/>
  <c r="AP765" i="4"/>
  <c r="AL765" i="4"/>
  <c r="AH765" i="4"/>
  <c r="AD765" i="4"/>
  <c r="AA765" i="4"/>
  <c r="Z765" i="4"/>
  <c r="V765" i="4"/>
  <c r="S765" i="4"/>
  <c r="R765" i="4"/>
  <c r="N765" i="4"/>
  <c r="K765" i="4"/>
  <c r="BF764" i="4"/>
  <c r="BB764" i="4"/>
  <c r="AX764" i="4"/>
  <c r="AT764" i="4"/>
  <c r="AP764" i="4"/>
  <c r="AL764" i="4"/>
  <c r="AH764" i="4"/>
  <c r="AD764" i="4"/>
  <c r="Z764" i="4"/>
  <c r="V764" i="4"/>
  <c r="S764" i="4"/>
  <c r="R764" i="4"/>
  <c r="N764" i="4"/>
  <c r="K764" i="4"/>
  <c r="BF763" i="4"/>
  <c r="BG763" i="4" s="1"/>
  <c r="BB763" i="4"/>
  <c r="BC763" i="4" s="1"/>
  <c r="AY763" i="4"/>
  <c r="AX763" i="4"/>
  <c r="AT763" i="4"/>
  <c r="AP763" i="4"/>
  <c r="AL763" i="4"/>
  <c r="AM763" i="4" s="1"/>
  <c r="AH763" i="4"/>
  <c r="AE763" i="4"/>
  <c r="AD763" i="4"/>
  <c r="Z763" i="4"/>
  <c r="AA763" i="4" s="1"/>
  <c r="V763" i="4"/>
  <c r="W763" i="4" s="1"/>
  <c r="S763" i="4"/>
  <c r="R763" i="4"/>
  <c r="N763" i="4"/>
  <c r="K763" i="4"/>
  <c r="BF762" i="4"/>
  <c r="BG762" i="4" s="1"/>
  <c r="BB762" i="4"/>
  <c r="BC762" i="4" s="1"/>
  <c r="AX762" i="4"/>
  <c r="AY762" i="4" s="1"/>
  <c r="AU762" i="4"/>
  <c r="AT762" i="4"/>
  <c r="AQ762" i="4"/>
  <c r="AP762" i="4"/>
  <c r="AL762" i="4"/>
  <c r="AI762" i="4"/>
  <c r="AH762" i="4"/>
  <c r="AD762" i="4"/>
  <c r="AE762" i="4" s="1"/>
  <c r="Z762" i="4"/>
  <c r="AA762" i="4" s="1"/>
  <c r="V762" i="4"/>
  <c r="W762" i="4" s="1"/>
  <c r="R762" i="4"/>
  <c r="S762" i="4" s="1"/>
  <c r="O762" i="4"/>
  <c r="N762" i="4"/>
  <c r="K762" i="4"/>
  <c r="AM762" i="4" s="1"/>
  <c r="BF761" i="4"/>
  <c r="BB761" i="4"/>
  <c r="AX761" i="4"/>
  <c r="AT761" i="4"/>
  <c r="AP761" i="4"/>
  <c r="AM761" i="4"/>
  <c r="AL761" i="4"/>
  <c r="AH761" i="4"/>
  <c r="AD761" i="4"/>
  <c r="Z761" i="4"/>
  <c r="V761" i="4"/>
  <c r="S761" i="4"/>
  <c r="R761" i="4"/>
  <c r="N761" i="4"/>
  <c r="K761" i="4"/>
  <c r="BF760" i="4"/>
  <c r="BC760" i="4"/>
  <c r="BB760" i="4"/>
  <c r="AY760" i="4"/>
  <c r="AX760" i="4"/>
  <c r="AU760" i="4"/>
  <c r="AT760" i="4"/>
  <c r="AP760" i="4"/>
  <c r="AQ760" i="4" s="1"/>
  <c r="AL760" i="4"/>
  <c r="AM760" i="4" s="1"/>
  <c r="AH760" i="4"/>
  <c r="AE760" i="4"/>
  <c r="AD760" i="4"/>
  <c r="Z760" i="4"/>
  <c r="V760" i="4"/>
  <c r="R760" i="4"/>
  <c r="S760" i="4" s="1"/>
  <c r="N760" i="4"/>
  <c r="O760" i="4" s="1"/>
  <c r="K760" i="4"/>
  <c r="BF759" i="4"/>
  <c r="BG759" i="4" s="1"/>
  <c r="BC759" i="4"/>
  <c r="BB759" i="4"/>
  <c r="AX759" i="4"/>
  <c r="AT759" i="4"/>
  <c r="AQ759" i="4"/>
  <c r="AP759" i="4"/>
  <c r="AL759" i="4"/>
  <c r="AM759" i="4" s="1"/>
  <c r="AH759" i="4"/>
  <c r="AD759" i="4"/>
  <c r="Z759" i="4"/>
  <c r="AA759" i="4" s="1"/>
  <c r="W759" i="4"/>
  <c r="V759" i="4"/>
  <c r="R759" i="4"/>
  <c r="O759" i="4"/>
  <c r="N759" i="4"/>
  <c r="K759" i="4"/>
  <c r="BF758" i="4"/>
  <c r="BC758" i="4"/>
  <c r="BB758" i="4"/>
  <c r="AX758" i="4"/>
  <c r="AY758" i="4" s="1"/>
  <c r="AT758" i="4"/>
  <c r="AU758" i="4" s="1"/>
  <c r="AP758" i="4"/>
  <c r="AL758" i="4"/>
  <c r="AM758" i="4" s="1"/>
  <c r="AH758" i="4"/>
  <c r="AI758" i="4" s="1"/>
  <c r="AD758" i="4"/>
  <c r="Z758" i="4"/>
  <c r="AA758" i="4" s="1"/>
  <c r="V758" i="4"/>
  <c r="W758" i="4" s="1"/>
  <c r="R758" i="4"/>
  <c r="S758" i="4" s="1"/>
  <c r="O758" i="4"/>
  <c r="N758" i="4"/>
  <c r="K758" i="4"/>
  <c r="BG757" i="4"/>
  <c r="BF757" i="4"/>
  <c r="BC757" i="4"/>
  <c r="BB757" i="4"/>
  <c r="AX757" i="4"/>
  <c r="AY757" i="4" s="1"/>
  <c r="AT757" i="4"/>
  <c r="AU757" i="4" s="1"/>
  <c r="AP757" i="4"/>
  <c r="AQ757" i="4" s="1"/>
  <c r="AL757" i="4"/>
  <c r="AH757" i="4"/>
  <c r="AI757" i="4" s="1"/>
  <c r="AE757" i="4"/>
  <c r="AD757" i="4"/>
  <c r="AA757" i="4"/>
  <c r="Z757" i="4"/>
  <c r="W757" i="4"/>
  <c r="V757" i="4"/>
  <c r="R757" i="4"/>
  <c r="S757" i="4" s="1"/>
  <c r="N757" i="4"/>
  <c r="O757" i="4" s="1"/>
  <c r="K757" i="4"/>
  <c r="BF756" i="4"/>
  <c r="BB756" i="4"/>
  <c r="AX756" i="4"/>
  <c r="AT756" i="4"/>
  <c r="AP756" i="4"/>
  <c r="AL756" i="4"/>
  <c r="AH756" i="4"/>
  <c r="AD756" i="4"/>
  <c r="Z756" i="4"/>
  <c r="V756" i="4"/>
  <c r="R756" i="4"/>
  <c r="N756" i="4"/>
  <c r="K756" i="4"/>
  <c r="BF755" i="4"/>
  <c r="BB755" i="4"/>
  <c r="AX755" i="4"/>
  <c r="AT755" i="4"/>
  <c r="AP755" i="4"/>
  <c r="AL755" i="4"/>
  <c r="AI755" i="4"/>
  <c r="AH755" i="4"/>
  <c r="AD755" i="4"/>
  <c r="Z755" i="4"/>
  <c r="V755" i="4"/>
  <c r="R755" i="4"/>
  <c r="N755" i="4"/>
  <c r="O755" i="4" s="1"/>
  <c r="K755" i="4"/>
  <c r="BG754" i="4"/>
  <c r="BF754" i="4"/>
  <c r="BC754" i="4"/>
  <c r="BB754" i="4"/>
  <c r="AX754" i="4"/>
  <c r="AU754" i="4"/>
  <c r="AT754" i="4"/>
  <c r="AP754" i="4"/>
  <c r="AL754" i="4"/>
  <c r="AM754" i="4" s="1"/>
  <c r="AH754" i="4"/>
  <c r="AI754" i="4" s="1"/>
  <c r="AE754" i="4"/>
  <c r="AD754" i="4"/>
  <c r="Z754" i="4"/>
  <c r="V754" i="4"/>
  <c r="S754" i="4"/>
  <c r="R754" i="4"/>
  <c r="O754" i="4"/>
  <c r="N754" i="4"/>
  <c r="K754" i="4"/>
  <c r="BF753" i="4"/>
  <c r="BG753" i="4" s="1"/>
  <c r="BB753" i="4"/>
  <c r="BC753" i="4" s="1"/>
  <c r="AX753" i="4"/>
  <c r="AU753" i="4"/>
  <c r="AT753" i="4"/>
  <c r="AQ753" i="4"/>
  <c r="AP753" i="4"/>
  <c r="AM753" i="4"/>
  <c r="AL753" i="4"/>
  <c r="AH753" i="4"/>
  <c r="AD753" i="4"/>
  <c r="AA753" i="4"/>
  <c r="Z753" i="4"/>
  <c r="V753" i="4"/>
  <c r="R753" i="4"/>
  <c r="S753" i="4" s="1"/>
  <c r="N753" i="4"/>
  <c r="O753" i="4" s="1"/>
  <c r="K753" i="4"/>
  <c r="BG752" i="4"/>
  <c r="BF752" i="4"/>
  <c r="BB752" i="4"/>
  <c r="AY752" i="4"/>
  <c r="AX752" i="4"/>
  <c r="AT752" i="4"/>
  <c r="AQ752" i="4"/>
  <c r="AP752" i="4"/>
  <c r="AL752" i="4"/>
  <c r="AM752" i="4" s="1"/>
  <c r="AI752" i="4"/>
  <c r="AH752" i="4"/>
  <c r="AD752" i="4"/>
  <c r="AA752" i="4"/>
  <c r="Z752" i="4"/>
  <c r="V752" i="4"/>
  <c r="R752" i="4"/>
  <c r="N752" i="4"/>
  <c r="O752" i="4" s="1"/>
  <c r="K752" i="4"/>
  <c r="BG751" i="4"/>
  <c r="BF751" i="4"/>
  <c r="BB751" i="4"/>
  <c r="AX751" i="4"/>
  <c r="AT751" i="4"/>
  <c r="AP751" i="4"/>
  <c r="AL751" i="4"/>
  <c r="AM751" i="4" s="1"/>
  <c r="AH751" i="4"/>
  <c r="AI751" i="4" s="1"/>
  <c r="AE751" i="4"/>
  <c r="AD751" i="4"/>
  <c r="AA751" i="4"/>
  <c r="Z751" i="4"/>
  <c r="V751" i="4"/>
  <c r="S751" i="4"/>
  <c r="R751" i="4"/>
  <c r="N751" i="4"/>
  <c r="K751" i="4"/>
  <c r="W751" i="4" s="1"/>
  <c r="BG750" i="4"/>
  <c r="BF750" i="4"/>
  <c r="BB750" i="4"/>
  <c r="BC750" i="4" s="1"/>
  <c r="AY750" i="4"/>
  <c r="AX750" i="4"/>
  <c r="AT750" i="4"/>
  <c r="AP750" i="4"/>
  <c r="AL750" i="4"/>
  <c r="AH750" i="4"/>
  <c r="AD750" i="4"/>
  <c r="AE750" i="4" s="1"/>
  <c r="AA750" i="4"/>
  <c r="Z750" i="4"/>
  <c r="W750" i="4"/>
  <c r="V750" i="4"/>
  <c r="S750" i="4"/>
  <c r="R750" i="4"/>
  <c r="N750" i="4"/>
  <c r="K750" i="4"/>
  <c r="BF749" i="4"/>
  <c r="BC749" i="4"/>
  <c r="BB749" i="4"/>
  <c r="AY749" i="4"/>
  <c r="AX749" i="4"/>
  <c r="AT749" i="4"/>
  <c r="AU749" i="4" s="1"/>
  <c r="AQ749" i="4"/>
  <c r="AP749" i="4"/>
  <c r="AL749" i="4"/>
  <c r="AH749" i="4"/>
  <c r="AD749" i="4"/>
  <c r="Z749" i="4"/>
  <c r="V749" i="4"/>
  <c r="S749" i="4"/>
  <c r="R749" i="4"/>
  <c r="O749" i="4"/>
  <c r="N749" i="4"/>
  <c r="K749" i="4"/>
  <c r="BF748" i="4"/>
  <c r="BG748" i="4" s="1"/>
  <c r="BB748" i="4"/>
  <c r="BC748" i="4" s="1"/>
  <c r="AY748" i="4"/>
  <c r="AX748" i="4"/>
  <c r="AT748" i="4"/>
  <c r="AU748" i="4" s="1"/>
  <c r="AQ748" i="4"/>
  <c r="AP748" i="4"/>
  <c r="AL748" i="4"/>
  <c r="AI748" i="4"/>
  <c r="AH748" i="4"/>
  <c r="AD748" i="4"/>
  <c r="AE748" i="4" s="1"/>
  <c r="AA748" i="4"/>
  <c r="Z748" i="4"/>
  <c r="V748" i="4"/>
  <c r="W748" i="4" s="1"/>
  <c r="S748" i="4"/>
  <c r="R748" i="4"/>
  <c r="N748" i="4"/>
  <c r="O748" i="4" s="1"/>
  <c r="K748" i="4"/>
  <c r="BG747" i="4"/>
  <c r="BF747" i="4"/>
  <c r="BB747" i="4"/>
  <c r="AY747" i="4"/>
  <c r="AX747" i="4"/>
  <c r="AT747" i="4"/>
  <c r="AU747" i="4" s="1"/>
  <c r="AQ747" i="4"/>
  <c r="AP747" i="4"/>
  <c r="AM747" i="4"/>
  <c r="AL747" i="4"/>
  <c r="AH747" i="4"/>
  <c r="AI747" i="4" s="1"/>
  <c r="AE747" i="4"/>
  <c r="AD747" i="4"/>
  <c r="Z747" i="4"/>
  <c r="V747" i="4"/>
  <c r="W747" i="4" s="1"/>
  <c r="S747" i="4"/>
  <c r="R747" i="4"/>
  <c r="N747" i="4"/>
  <c r="O747" i="4" s="1"/>
  <c r="K747" i="4"/>
  <c r="BF746" i="4"/>
  <c r="BB746" i="4"/>
  <c r="AX746" i="4"/>
  <c r="AT746" i="4"/>
  <c r="AP746" i="4"/>
  <c r="AL746" i="4"/>
  <c r="AH746" i="4"/>
  <c r="AD746" i="4"/>
  <c r="AA746" i="4"/>
  <c r="Z746" i="4"/>
  <c r="V746" i="4"/>
  <c r="R746" i="4"/>
  <c r="N746" i="4"/>
  <c r="K746" i="4"/>
  <c r="BG745" i="4"/>
  <c r="BF745" i="4"/>
  <c r="BB745" i="4"/>
  <c r="BC745" i="4" s="1"/>
  <c r="AX745" i="4"/>
  <c r="AY745" i="4" s="1"/>
  <c r="AT745" i="4"/>
  <c r="AQ745" i="4"/>
  <c r="AP745" i="4"/>
  <c r="AL745" i="4"/>
  <c r="AM745" i="4" s="1"/>
  <c r="AI745" i="4"/>
  <c r="AH745" i="4"/>
  <c r="AD745" i="4"/>
  <c r="AE745" i="4" s="1"/>
  <c r="Z745" i="4"/>
  <c r="AA745" i="4" s="1"/>
  <c r="W745" i="4"/>
  <c r="V745" i="4"/>
  <c r="R745" i="4"/>
  <c r="N745" i="4"/>
  <c r="O745" i="4" s="1"/>
  <c r="K745" i="4"/>
  <c r="BF744" i="4"/>
  <c r="BC744" i="4"/>
  <c r="BB744" i="4"/>
  <c r="AY744" i="4"/>
  <c r="AX744" i="4"/>
  <c r="AT744" i="4"/>
  <c r="AU744" i="4" s="1"/>
  <c r="AP744" i="4"/>
  <c r="AL744" i="4"/>
  <c r="AM744" i="4" s="1"/>
  <c r="AI744" i="4"/>
  <c r="AH744" i="4"/>
  <c r="AD744" i="4"/>
  <c r="Z744" i="4"/>
  <c r="AA744" i="4" s="1"/>
  <c r="V744" i="4"/>
  <c r="W744" i="4" s="1"/>
  <c r="S744" i="4"/>
  <c r="R744" i="4"/>
  <c r="O744" i="4"/>
  <c r="N744" i="4"/>
  <c r="K744" i="4"/>
  <c r="BG743" i="4"/>
  <c r="BF743" i="4"/>
  <c r="BB743" i="4"/>
  <c r="BC743" i="4" s="1"/>
  <c r="AY743" i="4"/>
  <c r="AX743" i="4"/>
  <c r="AT743" i="4"/>
  <c r="AU743" i="4" s="1"/>
  <c r="AP743" i="4"/>
  <c r="AQ743" i="4" s="1"/>
  <c r="AL743" i="4"/>
  <c r="AH743" i="4"/>
  <c r="AI743" i="4" s="1"/>
  <c r="AE743" i="4"/>
  <c r="AD743" i="4"/>
  <c r="Z743" i="4"/>
  <c r="AA743" i="4" s="1"/>
  <c r="V743" i="4"/>
  <c r="W743" i="4" s="1"/>
  <c r="S743" i="4"/>
  <c r="R743" i="4"/>
  <c r="N743" i="4"/>
  <c r="O743" i="4" s="1"/>
  <c r="K743" i="4"/>
  <c r="BF742" i="4"/>
  <c r="BB742" i="4"/>
  <c r="AX742" i="4"/>
  <c r="AU742" i="4"/>
  <c r="AT742" i="4"/>
  <c r="AP742" i="4"/>
  <c r="AM742" i="4"/>
  <c r="AL742" i="4"/>
  <c r="AH742" i="4"/>
  <c r="AD742" i="4"/>
  <c r="Z742" i="4"/>
  <c r="V742" i="4"/>
  <c r="R742" i="4"/>
  <c r="O742" i="4"/>
  <c r="N742" i="4"/>
  <c r="K742" i="4"/>
  <c r="BF741" i="4"/>
  <c r="BC741" i="4"/>
  <c r="BB741" i="4"/>
  <c r="AX741" i="4"/>
  <c r="AU741" i="4"/>
  <c r="AT741" i="4"/>
  <c r="AP741" i="4"/>
  <c r="AL741" i="4"/>
  <c r="AM741" i="4" s="1"/>
  <c r="AI741" i="4"/>
  <c r="AH741" i="4"/>
  <c r="AD741" i="4"/>
  <c r="AA741" i="4"/>
  <c r="Z741" i="4"/>
  <c r="W741" i="4"/>
  <c r="V741" i="4"/>
  <c r="R741" i="4"/>
  <c r="O741" i="4"/>
  <c r="N741" i="4"/>
  <c r="K741" i="4"/>
  <c r="AY741" i="4" s="1"/>
  <c r="BG740" i="4"/>
  <c r="BF740" i="4"/>
  <c r="BB740" i="4"/>
  <c r="BC740" i="4" s="1"/>
  <c r="AX740" i="4"/>
  <c r="AT740" i="4"/>
  <c r="AU740" i="4" s="1"/>
  <c r="AP740" i="4"/>
  <c r="AM740" i="4"/>
  <c r="AL740" i="4"/>
  <c r="AH740" i="4"/>
  <c r="AE740" i="4"/>
  <c r="AD740" i="4"/>
  <c r="Z740" i="4"/>
  <c r="V740" i="4"/>
  <c r="S740" i="4"/>
  <c r="R740" i="4"/>
  <c r="N740" i="4"/>
  <c r="O740" i="4" s="1"/>
  <c r="K740" i="4"/>
  <c r="BF739" i="4"/>
  <c r="BB739" i="4"/>
  <c r="AX739" i="4"/>
  <c r="AT739" i="4"/>
  <c r="AQ739" i="4"/>
  <c r="AP739" i="4"/>
  <c r="AL739" i="4"/>
  <c r="AH739" i="4"/>
  <c r="AD739" i="4"/>
  <c r="Z739" i="4"/>
  <c r="V739" i="4"/>
  <c r="S739" i="4"/>
  <c r="R739" i="4"/>
  <c r="N739" i="4"/>
  <c r="O739" i="4" s="1"/>
  <c r="K739" i="4"/>
  <c r="BF738" i="4"/>
  <c r="BB738" i="4"/>
  <c r="AX738" i="4"/>
  <c r="AT738" i="4"/>
  <c r="AP738" i="4"/>
  <c r="AL738" i="4"/>
  <c r="AH738" i="4"/>
  <c r="AI738" i="4" s="1"/>
  <c r="AE738" i="4"/>
  <c r="AD738" i="4"/>
  <c r="Z738" i="4"/>
  <c r="W738" i="4"/>
  <c r="V738" i="4"/>
  <c r="R738" i="4"/>
  <c r="N738" i="4"/>
  <c r="O738" i="4" s="1"/>
  <c r="K738" i="4"/>
  <c r="BF737" i="4"/>
  <c r="BB737" i="4"/>
  <c r="AX737" i="4"/>
  <c r="AT737" i="4"/>
  <c r="AP737" i="4"/>
  <c r="AL737" i="4"/>
  <c r="AH737" i="4"/>
  <c r="AD737" i="4"/>
  <c r="Z737" i="4"/>
  <c r="V737" i="4"/>
  <c r="R737" i="4"/>
  <c r="N737" i="4"/>
  <c r="K737" i="4"/>
  <c r="BG737" i="4" s="1"/>
  <c r="BF736" i="4"/>
  <c r="BB736" i="4"/>
  <c r="AX736" i="4"/>
  <c r="AT736" i="4"/>
  <c r="AP736" i="4"/>
  <c r="AL736" i="4"/>
  <c r="AH736" i="4"/>
  <c r="AD736" i="4"/>
  <c r="Z736" i="4"/>
  <c r="V736" i="4"/>
  <c r="R736" i="4"/>
  <c r="N736" i="4"/>
  <c r="K736" i="4"/>
  <c r="BG735" i="4"/>
  <c r="BF735" i="4"/>
  <c r="BC735" i="4"/>
  <c r="BB735" i="4"/>
  <c r="AY735" i="4"/>
  <c r="AX735" i="4"/>
  <c r="AT735" i="4"/>
  <c r="AU735" i="4" s="1"/>
  <c r="AQ735" i="4"/>
  <c r="AP735" i="4"/>
  <c r="AL735" i="4"/>
  <c r="AH735" i="4"/>
  <c r="AE735" i="4"/>
  <c r="AD735" i="4"/>
  <c r="AA735" i="4"/>
  <c r="Z735" i="4"/>
  <c r="V735" i="4"/>
  <c r="W735" i="4" s="1"/>
  <c r="S735" i="4"/>
  <c r="R735" i="4"/>
  <c r="O735" i="4"/>
  <c r="N735" i="4"/>
  <c r="K735" i="4"/>
  <c r="AI735" i="4" s="1"/>
  <c r="BF734" i="4"/>
  <c r="BG734" i="4" s="1"/>
  <c r="BB734" i="4"/>
  <c r="BC734" i="4" s="1"/>
  <c r="AX734" i="4"/>
  <c r="AY734" i="4" s="1"/>
  <c r="AU734" i="4"/>
  <c r="AT734" i="4"/>
  <c r="AQ734" i="4"/>
  <c r="AP734" i="4"/>
  <c r="AL734" i="4"/>
  <c r="AH734" i="4"/>
  <c r="AI734" i="4" s="1"/>
  <c r="AD734" i="4"/>
  <c r="AE734" i="4" s="1"/>
  <c r="AA734" i="4"/>
  <c r="Z734" i="4"/>
  <c r="W734" i="4"/>
  <c r="V734" i="4"/>
  <c r="R734" i="4"/>
  <c r="S734" i="4" s="1"/>
  <c r="N734" i="4"/>
  <c r="O734" i="4" s="1"/>
  <c r="K734" i="4"/>
  <c r="AM734" i="4" s="1"/>
  <c r="BF733" i="4"/>
  <c r="BB733" i="4"/>
  <c r="AY733" i="4"/>
  <c r="AX733" i="4"/>
  <c r="AT733" i="4"/>
  <c r="AP733" i="4"/>
  <c r="AL733" i="4"/>
  <c r="AH733" i="4"/>
  <c r="AD733" i="4"/>
  <c r="AA733" i="4"/>
  <c r="Z733" i="4"/>
  <c r="V733" i="4"/>
  <c r="R733" i="4"/>
  <c r="S733" i="4" s="1"/>
  <c r="N733" i="4"/>
  <c r="K733" i="4"/>
  <c r="BF732" i="4"/>
  <c r="BB732" i="4"/>
  <c r="AX732" i="4"/>
  <c r="AT732" i="4"/>
  <c r="AQ732" i="4"/>
  <c r="AP732" i="4"/>
  <c r="AL732" i="4"/>
  <c r="AH732" i="4"/>
  <c r="AD732" i="4"/>
  <c r="AA732" i="4"/>
  <c r="Z732" i="4"/>
  <c r="V732" i="4"/>
  <c r="R732" i="4"/>
  <c r="N732" i="4"/>
  <c r="K732" i="4"/>
  <c r="BF731" i="4"/>
  <c r="BG731" i="4" s="1"/>
  <c r="BC731" i="4"/>
  <c r="BB731" i="4"/>
  <c r="AX731" i="4"/>
  <c r="AY731" i="4" s="1"/>
  <c r="AT731" i="4"/>
  <c r="AQ731" i="4"/>
  <c r="AP731" i="4"/>
  <c r="AL731" i="4"/>
  <c r="AI731" i="4"/>
  <c r="AH731" i="4"/>
  <c r="AD731" i="4"/>
  <c r="AE731" i="4" s="1"/>
  <c r="AA731" i="4"/>
  <c r="Z731" i="4"/>
  <c r="W731" i="4"/>
  <c r="V731" i="4"/>
  <c r="R731" i="4"/>
  <c r="O731" i="4"/>
  <c r="N731" i="4"/>
  <c r="K731" i="4"/>
  <c r="AM731" i="4" s="1"/>
  <c r="BF730" i="4"/>
  <c r="BB730" i="4"/>
  <c r="BC730" i="4" s="1"/>
  <c r="AY730" i="4"/>
  <c r="AX730" i="4"/>
  <c r="AU730" i="4"/>
  <c r="AT730" i="4"/>
  <c r="AP730" i="4"/>
  <c r="AM730" i="4"/>
  <c r="AL730" i="4"/>
  <c r="AH730" i="4"/>
  <c r="AI730" i="4" s="1"/>
  <c r="AD730" i="4"/>
  <c r="AA730" i="4"/>
  <c r="Z730" i="4"/>
  <c r="V730" i="4"/>
  <c r="W730" i="4" s="1"/>
  <c r="R730" i="4"/>
  <c r="N730" i="4"/>
  <c r="O730" i="4" s="1"/>
  <c r="K730" i="4"/>
  <c r="BF729" i="4"/>
  <c r="BB729" i="4"/>
  <c r="AX729" i="4"/>
  <c r="AT729" i="4"/>
  <c r="AQ729" i="4"/>
  <c r="AP729" i="4"/>
  <c r="AM729" i="4"/>
  <c r="AL729" i="4"/>
  <c r="AH729" i="4"/>
  <c r="AD729" i="4"/>
  <c r="Z729" i="4"/>
  <c r="AA729" i="4" s="1"/>
  <c r="V729" i="4"/>
  <c r="R729" i="4"/>
  <c r="N729" i="4"/>
  <c r="K729" i="4"/>
  <c r="S729" i="4" s="1"/>
  <c r="BG728" i="4"/>
  <c r="BF728" i="4"/>
  <c r="BB728" i="4"/>
  <c r="AX728" i="4"/>
  <c r="AY728" i="4" s="1"/>
  <c r="AU728" i="4"/>
  <c r="AT728" i="4"/>
  <c r="AQ728" i="4"/>
  <c r="AP728" i="4"/>
  <c r="AM728" i="4"/>
  <c r="AL728" i="4"/>
  <c r="AI728" i="4"/>
  <c r="AH728" i="4"/>
  <c r="AD728" i="4"/>
  <c r="AE728" i="4" s="1"/>
  <c r="Z728" i="4"/>
  <c r="V728" i="4"/>
  <c r="W728" i="4" s="1"/>
  <c r="S728" i="4"/>
  <c r="R728" i="4"/>
  <c r="O728" i="4"/>
  <c r="N728" i="4"/>
  <c r="K728" i="4"/>
  <c r="BF727" i="4"/>
  <c r="BB727" i="4"/>
  <c r="AX727" i="4"/>
  <c r="AU727" i="4"/>
  <c r="AT727" i="4"/>
  <c r="AP727" i="4"/>
  <c r="AL727" i="4"/>
  <c r="AI727" i="4"/>
  <c r="AH727" i="4"/>
  <c r="AD727" i="4"/>
  <c r="Z727" i="4"/>
  <c r="V727" i="4"/>
  <c r="R727" i="4"/>
  <c r="N727" i="4"/>
  <c r="K727" i="4"/>
  <c r="AM727" i="4" s="1"/>
  <c r="BF726" i="4"/>
  <c r="BG726" i="4" s="1"/>
  <c r="BC726" i="4"/>
  <c r="BB726" i="4"/>
  <c r="AX726" i="4"/>
  <c r="AT726" i="4"/>
  <c r="AP726" i="4"/>
  <c r="AL726" i="4"/>
  <c r="AI726" i="4"/>
  <c r="AH726" i="4"/>
  <c r="AE726" i="4"/>
  <c r="AD726" i="4"/>
  <c r="AA726" i="4"/>
  <c r="Z726" i="4"/>
  <c r="V726" i="4"/>
  <c r="R726" i="4"/>
  <c r="N726" i="4"/>
  <c r="K726" i="4"/>
  <c r="BG725" i="4"/>
  <c r="BF725" i="4"/>
  <c r="BB725" i="4"/>
  <c r="BC725" i="4" s="1"/>
  <c r="AY725" i="4"/>
  <c r="AX725" i="4"/>
  <c r="AT725" i="4"/>
  <c r="AQ725" i="4"/>
  <c r="AP725" i="4"/>
  <c r="AL725" i="4"/>
  <c r="AH725" i="4"/>
  <c r="AI725" i="4" s="1"/>
  <c r="AE725" i="4"/>
  <c r="AD725" i="4"/>
  <c r="AA725" i="4"/>
  <c r="Z725" i="4"/>
  <c r="W725" i="4"/>
  <c r="V725" i="4"/>
  <c r="R725" i="4"/>
  <c r="O725" i="4"/>
  <c r="N725" i="4"/>
  <c r="K725" i="4"/>
  <c r="BF724" i="4"/>
  <c r="BG724" i="4" s="1"/>
  <c r="BB724" i="4"/>
  <c r="AX724" i="4"/>
  <c r="AY724" i="4" s="1"/>
  <c r="AT724" i="4"/>
  <c r="AQ724" i="4"/>
  <c r="AP724" i="4"/>
  <c r="AL724" i="4"/>
  <c r="AM724" i="4" s="1"/>
  <c r="AH724" i="4"/>
  <c r="AD724" i="4"/>
  <c r="AE724" i="4" s="1"/>
  <c r="AA724" i="4"/>
  <c r="Z724" i="4"/>
  <c r="V724" i="4"/>
  <c r="W724" i="4" s="1"/>
  <c r="R724" i="4"/>
  <c r="N724" i="4"/>
  <c r="O724" i="4" s="1"/>
  <c r="K724" i="4"/>
  <c r="BF723" i="4"/>
  <c r="BB723" i="4"/>
  <c r="BC723" i="4" s="1"/>
  <c r="AY723" i="4"/>
  <c r="AX723" i="4"/>
  <c r="AU723" i="4"/>
  <c r="AT723" i="4"/>
  <c r="AP723" i="4"/>
  <c r="AM723" i="4"/>
  <c r="AL723" i="4"/>
  <c r="AH723" i="4"/>
  <c r="AD723" i="4"/>
  <c r="Z723" i="4"/>
  <c r="AA723" i="4" s="1"/>
  <c r="W723" i="4"/>
  <c r="V723" i="4"/>
  <c r="S723" i="4"/>
  <c r="R723" i="4"/>
  <c r="N723" i="4"/>
  <c r="O723" i="4" s="1"/>
  <c r="K723" i="4"/>
  <c r="BG722" i="4"/>
  <c r="BF722" i="4"/>
  <c r="BB722" i="4"/>
  <c r="AY722" i="4"/>
  <c r="AX722" i="4"/>
  <c r="AT722" i="4"/>
  <c r="AP722" i="4"/>
  <c r="AL722" i="4"/>
  <c r="AM722" i="4" s="1"/>
  <c r="AI722" i="4"/>
  <c r="AH722" i="4"/>
  <c r="AD722" i="4"/>
  <c r="AA722" i="4"/>
  <c r="Z722" i="4"/>
  <c r="V722" i="4"/>
  <c r="S722" i="4"/>
  <c r="R722" i="4"/>
  <c r="N722" i="4"/>
  <c r="K722" i="4"/>
  <c r="BF721" i="4"/>
  <c r="BG721" i="4" s="1"/>
  <c r="BB721" i="4"/>
  <c r="AY721" i="4"/>
  <c r="AX721" i="4"/>
  <c r="AT721" i="4"/>
  <c r="AP721" i="4"/>
  <c r="AM721" i="4"/>
  <c r="AL721" i="4"/>
  <c r="AI721" i="4"/>
  <c r="AH721" i="4"/>
  <c r="AD721" i="4"/>
  <c r="AE721" i="4" s="1"/>
  <c r="Z721" i="4"/>
  <c r="W721" i="4"/>
  <c r="V721" i="4"/>
  <c r="R721" i="4"/>
  <c r="O721" i="4"/>
  <c r="N721" i="4"/>
  <c r="K721" i="4"/>
  <c r="BF720" i="4"/>
  <c r="BG720" i="4" s="1"/>
  <c r="BC720" i="4"/>
  <c r="BB720" i="4"/>
  <c r="AX720" i="4"/>
  <c r="AY720" i="4" s="1"/>
  <c r="AT720" i="4"/>
  <c r="AU720" i="4" s="1"/>
  <c r="AP720" i="4"/>
  <c r="AQ720" i="4" s="1"/>
  <c r="AL720" i="4"/>
  <c r="AH720" i="4"/>
  <c r="AI720" i="4" s="1"/>
  <c r="AD720" i="4"/>
  <c r="AE720" i="4" s="1"/>
  <c r="AA720" i="4"/>
  <c r="Z720" i="4"/>
  <c r="V720" i="4"/>
  <c r="W720" i="4" s="1"/>
  <c r="S720" i="4"/>
  <c r="R720" i="4"/>
  <c r="N720" i="4"/>
  <c r="O720" i="4" s="1"/>
  <c r="K720" i="4"/>
  <c r="AM720" i="4" s="1"/>
  <c r="BG719" i="4"/>
  <c r="BF719" i="4"/>
  <c r="BB719" i="4"/>
  <c r="BC719" i="4" s="1"/>
  <c r="AX719" i="4"/>
  <c r="AY719" i="4" s="1"/>
  <c r="AT719" i="4"/>
  <c r="AU719" i="4" s="1"/>
  <c r="AQ719" i="4"/>
  <c r="AP719" i="4"/>
  <c r="AM719" i="4"/>
  <c r="AL719" i="4"/>
  <c r="AH719" i="4"/>
  <c r="AE719" i="4"/>
  <c r="AD719" i="4"/>
  <c r="Z719" i="4"/>
  <c r="AA719" i="4" s="1"/>
  <c r="W719" i="4"/>
  <c r="V719" i="4"/>
  <c r="S719" i="4"/>
  <c r="R719" i="4"/>
  <c r="N719" i="4"/>
  <c r="O719" i="4" s="1"/>
  <c r="K719" i="4"/>
  <c r="BF718" i="4"/>
  <c r="BB718" i="4"/>
  <c r="AX718" i="4"/>
  <c r="AT718" i="4"/>
  <c r="AP718" i="4"/>
  <c r="AL718" i="4"/>
  <c r="AH718" i="4"/>
  <c r="AD718" i="4"/>
  <c r="Z718" i="4"/>
  <c r="V718" i="4"/>
  <c r="R718" i="4"/>
  <c r="N718" i="4"/>
  <c r="K718" i="4"/>
  <c r="BF717" i="4"/>
  <c r="BB717" i="4"/>
  <c r="AY717" i="4"/>
  <c r="AX717" i="4"/>
  <c r="AT717" i="4"/>
  <c r="AU717" i="4" s="1"/>
  <c r="AP717" i="4"/>
  <c r="AL717" i="4"/>
  <c r="AI717" i="4"/>
  <c r="AH717" i="4"/>
  <c r="AD717" i="4"/>
  <c r="Z717" i="4"/>
  <c r="W717" i="4"/>
  <c r="V717" i="4"/>
  <c r="S717" i="4"/>
  <c r="R717" i="4"/>
  <c r="N717" i="4"/>
  <c r="O717" i="4" s="1"/>
  <c r="K717" i="4"/>
  <c r="AM717" i="4" s="1"/>
  <c r="BF716" i="4"/>
  <c r="BB716" i="4"/>
  <c r="AX716" i="4"/>
  <c r="AU716" i="4"/>
  <c r="AT716" i="4"/>
  <c r="AP716" i="4"/>
  <c r="AM716" i="4"/>
  <c r="AL716" i="4"/>
  <c r="AH716" i="4"/>
  <c r="AD716" i="4"/>
  <c r="Z716" i="4"/>
  <c r="V716" i="4"/>
  <c r="R716" i="4"/>
  <c r="N716" i="4"/>
  <c r="O716" i="4" s="1"/>
  <c r="K716" i="4"/>
  <c r="BG715" i="4"/>
  <c r="BF715" i="4"/>
  <c r="BB715" i="4"/>
  <c r="BC715" i="4" s="1"/>
  <c r="AX715" i="4"/>
  <c r="AU715" i="4"/>
  <c r="AT715" i="4"/>
  <c r="AP715" i="4"/>
  <c r="AL715" i="4"/>
  <c r="AM715" i="4" s="1"/>
  <c r="AH715" i="4"/>
  <c r="AI715" i="4" s="1"/>
  <c r="AE715" i="4"/>
  <c r="AD715" i="4"/>
  <c r="AA715" i="4"/>
  <c r="Z715" i="4"/>
  <c r="V715" i="4"/>
  <c r="S715" i="4"/>
  <c r="R715" i="4"/>
  <c r="N715" i="4"/>
  <c r="K715" i="4"/>
  <c r="BG714" i="4"/>
  <c r="BF714" i="4"/>
  <c r="BB714" i="4"/>
  <c r="AX714" i="4"/>
  <c r="AY714" i="4" s="1"/>
  <c r="AT714" i="4"/>
  <c r="AU714" i="4" s="1"/>
  <c r="AQ714" i="4"/>
  <c r="AP714" i="4"/>
  <c r="AL714" i="4"/>
  <c r="AM714" i="4" s="1"/>
  <c r="AH714" i="4"/>
  <c r="AI714" i="4" s="1"/>
  <c r="AD714" i="4"/>
  <c r="AE714" i="4" s="1"/>
  <c r="Z714" i="4"/>
  <c r="V714" i="4"/>
  <c r="W714" i="4" s="1"/>
  <c r="S714" i="4"/>
  <c r="R714" i="4"/>
  <c r="N714" i="4"/>
  <c r="O714" i="4" s="1"/>
  <c r="K714" i="4"/>
  <c r="BF713" i="4"/>
  <c r="BB713" i="4"/>
  <c r="AX713" i="4"/>
  <c r="AT713" i="4"/>
  <c r="AP713" i="4"/>
  <c r="AL713" i="4"/>
  <c r="AH713" i="4"/>
  <c r="AD713" i="4"/>
  <c r="Z713" i="4"/>
  <c r="V713" i="4"/>
  <c r="R713" i="4"/>
  <c r="N713" i="4"/>
  <c r="K713" i="4"/>
  <c r="BF712" i="4"/>
  <c r="BC712" i="4"/>
  <c r="BB712" i="4"/>
  <c r="AX712" i="4"/>
  <c r="AU712" i="4"/>
  <c r="AT712" i="4"/>
  <c r="AP712" i="4"/>
  <c r="AL712" i="4"/>
  <c r="AH712" i="4"/>
  <c r="AD712" i="4"/>
  <c r="AA712" i="4"/>
  <c r="Z712" i="4"/>
  <c r="V712" i="4"/>
  <c r="W712" i="4" s="1"/>
  <c r="R712" i="4"/>
  <c r="S712" i="4" s="1"/>
  <c r="O712" i="4"/>
  <c r="N712" i="4"/>
  <c r="K712" i="4"/>
  <c r="BF711" i="4"/>
  <c r="BB711" i="4"/>
  <c r="AX711" i="4"/>
  <c r="AT711" i="4"/>
  <c r="AP711" i="4"/>
  <c r="AM711" i="4"/>
  <c r="AL711" i="4"/>
  <c r="AH711" i="4"/>
  <c r="AD711" i="4"/>
  <c r="Z711" i="4"/>
  <c r="V711" i="4"/>
  <c r="R711" i="4"/>
  <c r="N711" i="4"/>
  <c r="K711" i="4"/>
  <c r="BG710" i="4"/>
  <c r="BF710" i="4"/>
  <c r="BB710" i="4"/>
  <c r="AX710" i="4"/>
  <c r="AT710" i="4"/>
  <c r="AU710" i="4" s="1"/>
  <c r="AP710" i="4"/>
  <c r="AL710" i="4"/>
  <c r="AH710" i="4"/>
  <c r="AI710" i="4" s="1"/>
  <c r="AE710" i="4"/>
  <c r="AD710" i="4"/>
  <c r="Z710" i="4"/>
  <c r="V710" i="4"/>
  <c r="S710" i="4"/>
  <c r="R710" i="4"/>
  <c r="N710" i="4"/>
  <c r="O710" i="4" s="1"/>
  <c r="K710" i="4"/>
  <c r="AM710" i="4" s="1"/>
  <c r="BF709" i="4"/>
  <c r="BB709" i="4"/>
  <c r="AX709" i="4"/>
  <c r="AT709" i="4"/>
  <c r="AP709" i="4"/>
  <c r="AL709" i="4"/>
  <c r="AH709" i="4"/>
  <c r="AD709" i="4"/>
  <c r="Z709" i="4"/>
  <c r="V709" i="4"/>
  <c r="R709" i="4"/>
  <c r="N709" i="4"/>
  <c r="K709" i="4"/>
  <c r="BG708" i="4"/>
  <c r="BF708" i="4"/>
  <c r="BC708" i="4"/>
  <c r="BB708" i="4"/>
  <c r="AY708" i="4"/>
  <c r="AX708" i="4"/>
  <c r="AT708" i="4"/>
  <c r="AP708" i="4"/>
  <c r="AM708" i="4"/>
  <c r="AL708" i="4"/>
  <c r="AH708" i="4"/>
  <c r="AI708" i="4" s="1"/>
  <c r="AE708" i="4"/>
  <c r="AD708" i="4"/>
  <c r="AA708" i="4"/>
  <c r="Z708" i="4"/>
  <c r="W708" i="4"/>
  <c r="V708" i="4"/>
  <c r="R708" i="4"/>
  <c r="N708" i="4"/>
  <c r="K708" i="4"/>
  <c r="BF707" i="4"/>
  <c r="BG707" i="4" s="1"/>
  <c r="BC707" i="4"/>
  <c r="BB707" i="4"/>
  <c r="AX707" i="4"/>
  <c r="AU707" i="4"/>
  <c r="AT707" i="4"/>
  <c r="AP707" i="4"/>
  <c r="AL707" i="4"/>
  <c r="AH707" i="4"/>
  <c r="AD707" i="4"/>
  <c r="AA707" i="4"/>
  <c r="Z707" i="4"/>
  <c r="V707" i="4"/>
  <c r="R707" i="4"/>
  <c r="S707" i="4" s="1"/>
  <c r="N707" i="4"/>
  <c r="K707" i="4"/>
  <c r="BF706" i="4"/>
  <c r="BG706" i="4" s="1"/>
  <c r="BC706" i="4"/>
  <c r="BB706" i="4"/>
  <c r="AY706" i="4"/>
  <c r="AX706" i="4"/>
  <c r="AU706" i="4"/>
  <c r="AT706" i="4"/>
  <c r="AQ706" i="4"/>
  <c r="AP706" i="4"/>
  <c r="AL706" i="4"/>
  <c r="AH706" i="4"/>
  <c r="AE706" i="4"/>
  <c r="AD706" i="4"/>
  <c r="Z706" i="4"/>
  <c r="AA706" i="4" s="1"/>
  <c r="W706" i="4"/>
  <c r="V706" i="4"/>
  <c r="S706" i="4"/>
  <c r="R706" i="4"/>
  <c r="O706" i="4"/>
  <c r="N706" i="4"/>
  <c r="K706" i="4"/>
  <c r="AI706" i="4" s="1"/>
  <c r="BF705" i="4"/>
  <c r="BC705" i="4"/>
  <c r="BB705" i="4"/>
  <c r="AY705" i="4"/>
  <c r="AX705" i="4"/>
  <c r="AT705" i="4"/>
  <c r="AQ705" i="4"/>
  <c r="AP705" i="4"/>
  <c r="AL705" i="4"/>
  <c r="AH705" i="4"/>
  <c r="AD705" i="4"/>
  <c r="AA705" i="4"/>
  <c r="Z705" i="4"/>
  <c r="V705" i="4"/>
  <c r="W705" i="4" s="1"/>
  <c r="R705" i="4"/>
  <c r="O705" i="4"/>
  <c r="N705" i="4"/>
  <c r="K705" i="4"/>
  <c r="BF704" i="4"/>
  <c r="BB704" i="4"/>
  <c r="AX704" i="4"/>
  <c r="AT704" i="4"/>
  <c r="AP704" i="4"/>
  <c r="AQ704" i="4" s="1"/>
  <c r="AM704" i="4"/>
  <c r="AL704" i="4"/>
  <c r="AI704" i="4"/>
  <c r="AH704" i="4"/>
  <c r="AD704" i="4"/>
  <c r="Z704" i="4"/>
  <c r="V704" i="4"/>
  <c r="R704" i="4"/>
  <c r="O704" i="4"/>
  <c r="N704" i="4"/>
  <c r="K704" i="4"/>
  <c r="BF703" i="4"/>
  <c r="BB703" i="4"/>
  <c r="AX703" i="4"/>
  <c r="AT703" i="4"/>
  <c r="AP703" i="4"/>
  <c r="AL703" i="4"/>
  <c r="AH703" i="4"/>
  <c r="AD703" i="4"/>
  <c r="Z703" i="4"/>
  <c r="V703" i="4"/>
  <c r="R703" i="4"/>
  <c r="N703" i="4"/>
  <c r="K703" i="4"/>
  <c r="BF702" i="4"/>
  <c r="BB702" i="4"/>
  <c r="AX702" i="4"/>
  <c r="AT702" i="4"/>
  <c r="AP702" i="4"/>
  <c r="AL702" i="4"/>
  <c r="AH702" i="4"/>
  <c r="AD702" i="4"/>
  <c r="Z702" i="4"/>
  <c r="V702" i="4"/>
  <c r="R702" i="4"/>
  <c r="N702" i="4"/>
  <c r="K702" i="4"/>
  <c r="BF701" i="4"/>
  <c r="BG701" i="4" s="1"/>
  <c r="BC701" i="4"/>
  <c r="BB701" i="4"/>
  <c r="AX701" i="4"/>
  <c r="AY701" i="4" s="1"/>
  <c r="AU701" i="4"/>
  <c r="AT701" i="4"/>
  <c r="AP701" i="4"/>
  <c r="AQ701" i="4" s="1"/>
  <c r="AL701" i="4"/>
  <c r="AI701" i="4"/>
  <c r="AH701" i="4"/>
  <c r="AD701" i="4"/>
  <c r="AE701" i="4" s="1"/>
  <c r="AA701" i="4"/>
  <c r="Z701" i="4"/>
  <c r="W701" i="4"/>
  <c r="V701" i="4"/>
  <c r="R701" i="4"/>
  <c r="S701" i="4" s="1"/>
  <c r="N701" i="4"/>
  <c r="O701" i="4" s="1"/>
  <c r="K701" i="4"/>
  <c r="BF700" i="4"/>
  <c r="BG700" i="4" s="1"/>
  <c r="BB700" i="4"/>
  <c r="BC700" i="4" s="1"/>
  <c r="AY700" i="4"/>
  <c r="AX700" i="4"/>
  <c r="AT700" i="4"/>
  <c r="AQ700" i="4"/>
  <c r="AP700" i="4"/>
  <c r="AL700" i="4"/>
  <c r="AI700" i="4"/>
  <c r="AH700" i="4"/>
  <c r="AD700" i="4"/>
  <c r="AE700" i="4" s="1"/>
  <c r="Z700" i="4"/>
  <c r="AA700" i="4" s="1"/>
  <c r="V700" i="4"/>
  <c r="W700" i="4" s="1"/>
  <c r="R700" i="4"/>
  <c r="O700" i="4"/>
  <c r="N700" i="4"/>
  <c r="K700" i="4"/>
  <c r="AM700" i="4" s="1"/>
  <c r="BG699" i="4"/>
  <c r="BF699" i="4"/>
  <c r="BB699" i="4"/>
  <c r="BC699" i="4" s="1"/>
  <c r="AY699" i="4"/>
  <c r="AX699" i="4"/>
  <c r="AT699" i="4"/>
  <c r="AU699" i="4" s="1"/>
  <c r="AP699" i="4"/>
  <c r="AM699" i="4"/>
  <c r="AL699" i="4"/>
  <c r="AH699" i="4"/>
  <c r="AD699" i="4"/>
  <c r="AE699" i="4" s="1"/>
  <c r="AA699" i="4"/>
  <c r="Z699" i="4"/>
  <c r="V699" i="4"/>
  <c r="W699" i="4" s="1"/>
  <c r="R699" i="4"/>
  <c r="S699" i="4" s="1"/>
  <c r="O699" i="4"/>
  <c r="N699" i="4"/>
  <c r="K699" i="4"/>
  <c r="AI699" i="4" s="1"/>
  <c r="BF698" i="4"/>
  <c r="BB698" i="4"/>
  <c r="AY698" i="4"/>
  <c r="AX698" i="4"/>
  <c r="AT698" i="4"/>
  <c r="AQ698" i="4"/>
  <c r="AP698" i="4"/>
  <c r="AL698" i="4"/>
  <c r="AH698" i="4"/>
  <c r="AD698" i="4"/>
  <c r="AA698" i="4"/>
  <c r="Z698" i="4"/>
  <c r="V698" i="4"/>
  <c r="S698" i="4"/>
  <c r="R698" i="4"/>
  <c r="N698" i="4"/>
  <c r="K698" i="4"/>
  <c r="BF697" i="4"/>
  <c r="BB697" i="4"/>
  <c r="AX697" i="4"/>
  <c r="AT697" i="4"/>
  <c r="AU697" i="4" s="1"/>
  <c r="AP697" i="4"/>
  <c r="AL697" i="4"/>
  <c r="AH697" i="4"/>
  <c r="AD697" i="4"/>
  <c r="Z697" i="4"/>
  <c r="V697" i="4"/>
  <c r="R697" i="4"/>
  <c r="N697" i="4"/>
  <c r="K697" i="4"/>
  <c r="BG696" i="4"/>
  <c r="BF696" i="4"/>
  <c r="BB696" i="4"/>
  <c r="AX696" i="4"/>
  <c r="AU696" i="4"/>
  <c r="AT696" i="4"/>
  <c r="AP696" i="4"/>
  <c r="AL696" i="4"/>
  <c r="AH696" i="4"/>
  <c r="AD696" i="4"/>
  <c r="Z696" i="4"/>
  <c r="V696" i="4"/>
  <c r="R696" i="4"/>
  <c r="N696" i="4"/>
  <c r="O696" i="4" s="1"/>
  <c r="K696" i="4"/>
  <c r="AQ696" i="4" s="1"/>
  <c r="BG695" i="4"/>
  <c r="BF695" i="4"/>
  <c r="BB695" i="4"/>
  <c r="AX695" i="4"/>
  <c r="AT695" i="4"/>
  <c r="AQ695" i="4"/>
  <c r="AP695" i="4"/>
  <c r="AL695" i="4"/>
  <c r="AH695" i="4"/>
  <c r="AI695" i="4" s="1"/>
  <c r="AD695" i="4"/>
  <c r="AE695" i="4" s="1"/>
  <c r="Z695" i="4"/>
  <c r="V695" i="4"/>
  <c r="S695" i="4"/>
  <c r="R695" i="4"/>
  <c r="N695" i="4"/>
  <c r="K695" i="4"/>
  <c r="BF694" i="4"/>
  <c r="BC694" i="4"/>
  <c r="BB694" i="4"/>
  <c r="AY694" i="4"/>
  <c r="AX694" i="4"/>
  <c r="AT694" i="4"/>
  <c r="AP694" i="4"/>
  <c r="AL694" i="4"/>
  <c r="AH694" i="4"/>
  <c r="AD694" i="4"/>
  <c r="Z694" i="4"/>
  <c r="V694" i="4"/>
  <c r="R694" i="4"/>
  <c r="N694" i="4"/>
  <c r="K694" i="4"/>
  <c r="BG693" i="4"/>
  <c r="BF693" i="4"/>
  <c r="BB693" i="4"/>
  <c r="BC693" i="4" s="1"/>
  <c r="AX693" i="4"/>
  <c r="AT693" i="4"/>
  <c r="AP693" i="4"/>
  <c r="AL693" i="4"/>
  <c r="AH693" i="4"/>
  <c r="AI693" i="4" s="1"/>
  <c r="AD693" i="4"/>
  <c r="AE693" i="4" s="1"/>
  <c r="AA693" i="4"/>
  <c r="Z693" i="4"/>
  <c r="V693" i="4"/>
  <c r="R693" i="4"/>
  <c r="S693" i="4" s="1"/>
  <c r="N693" i="4"/>
  <c r="K693" i="4"/>
  <c r="BF692" i="4"/>
  <c r="BG692" i="4" s="1"/>
  <c r="BC692" i="4"/>
  <c r="BB692" i="4"/>
  <c r="AY692" i="4"/>
  <c r="AX692" i="4"/>
  <c r="AT692" i="4"/>
  <c r="AU692" i="4" s="1"/>
  <c r="AQ692" i="4"/>
  <c r="AP692" i="4"/>
  <c r="AL692" i="4"/>
  <c r="AH692" i="4"/>
  <c r="AE692" i="4"/>
  <c r="AD692" i="4"/>
  <c r="Z692" i="4"/>
  <c r="AA692" i="4" s="1"/>
  <c r="W692" i="4"/>
  <c r="V692" i="4"/>
  <c r="R692" i="4"/>
  <c r="S692" i="4" s="1"/>
  <c r="O692" i="4"/>
  <c r="N692" i="4"/>
  <c r="K692" i="4"/>
  <c r="AI692" i="4" s="1"/>
  <c r="BF691" i="4"/>
  <c r="BB691" i="4"/>
  <c r="AX691" i="4"/>
  <c r="AT691" i="4"/>
  <c r="AP691" i="4"/>
  <c r="AL691" i="4"/>
  <c r="AH691" i="4"/>
  <c r="AD691" i="4"/>
  <c r="Z691" i="4"/>
  <c r="V691" i="4"/>
  <c r="R691" i="4"/>
  <c r="N691" i="4"/>
  <c r="K691" i="4"/>
  <c r="BF690" i="4"/>
  <c r="BB690" i="4"/>
  <c r="AX690" i="4"/>
  <c r="AY690" i="4" s="1"/>
  <c r="AU690" i="4"/>
  <c r="AT690" i="4"/>
  <c r="AP690" i="4"/>
  <c r="AM690" i="4"/>
  <c r="AL690" i="4"/>
  <c r="AI690" i="4"/>
  <c r="AH690" i="4"/>
  <c r="AD690" i="4"/>
  <c r="Z690" i="4"/>
  <c r="V690" i="4"/>
  <c r="W690" i="4" s="1"/>
  <c r="S690" i="4"/>
  <c r="R690" i="4"/>
  <c r="O690" i="4"/>
  <c r="N690" i="4"/>
  <c r="K690" i="4"/>
  <c r="BF689" i="4"/>
  <c r="BB689" i="4"/>
  <c r="AX689" i="4"/>
  <c r="AT689" i="4"/>
  <c r="AU689" i="4" s="1"/>
  <c r="AP689" i="4"/>
  <c r="AL689" i="4"/>
  <c r="AM689" i="4" s="1"/>
  <c r="AH689" i="4"/>
  <c r="AI689" i="4" s="1"/>
  <c r="AD689" i="4"/>
  <c r="Z689" i="4"/>
  <c r="V689" i="4"/>
  <c r="R689" i="4"/>
  <c r="N689" i="4"/>
  <c r="K689" i="4"/>
  <c r="BF688" i="4"/>
  <c r="BG688" i="4" s="1"/>
  <c r="BC688" i="4"/>
  <c r="BB688" i="4"/>
  <c r="AX688" i="4"/>
  <c r="AT688" i="4"/>
  <c r="AQ688" i="4"/>
  <c r="AP688" i="4"/>
  <c r="AL688" i="4"/>
  <c r="AI688" i="4"/>
  <c r="AH688" i="4"/>
  <c r="AD688" i="4"/>
  <c r="AA688" i="4"/>
  <c r="Z688" i="4"/>
  <c r="V688" i="4"/>
  <c r="R688" i="4"/>
  <c r="N688" i="4"/>
  <c r="K688" i="4"/>
  <c r="BF687" i="4"/>
  <c r="BG687" i="4" s="1"/>
  <c r="BC687" i="4"/>
  <c r="BB687" i="4"/>
  <c r="AX687" i="4"/>
  <c r="AY687" i="4" s="1"/>
  <c r="AU687" i="4"/>
  <c r="AT687" i="4"/>
  <c r="AP687" i="4"/>
  <c r="AQ687" i="4" s="1"/>
  <c r="AL687" i="4"/>
  <c r="AH687" i="4"/>
  <c r="AI687" i="4" s="1"/>
  <c r="AE687" i="4"/>
  <c r="AD687" i="4"/>
  <c r="AA687" i="4"/>
  <c r="Z687" i="4"/>
  <c r="W687" i="4"/>
  <c r="V687" i="4"/>
  <c r="R687" i="4"/>
  <c r="S687" i="4" s="1"/>
  <c r="N687" i="4"/>
  <c r="O687" i="4" s="1"/>
  <c r="K687" i="4"/>
  <c r="BG686" i="4"/>
  <c r="BF686" i="4"/>
  <c r="BB686" i="4"/>
  <c r="BC686" i="4" s="1"/>
  <c r="AY686" i="4"/>
  <c r="AX686" i="4"/>
  <c r="AT686" i="4"/>
  <c r="AQ686" i="4"/>
  <c r="AP686" i="4"/>
  <c r="AL686" i="4"/>
  <c r="AI686" i="4"/>
  <c r="AH686" i="4"/>
  <c r="AD686" i="4"/>
  <c r="AE686" i="4" s="1"/>
  <c r="AA686" i="4"/>
  <c r="Z686" i="4"/>
  <c r="V686" i="4"/>
  <c r="W686" i="4" s="1"/>
  <c r="R686" i="4"/>
  <c r="O686" i="4"/>
  <c r="N686" i="4"/>
  <c r="K686" i="4"/>
  <c r="AM686" i="4" s="1"/>
  <c r="BF685" i="4"/>
  <c r="BG685" i="4" s="1"/>
  <c r="BC685" i="4"/>
  <c r="BB685" i="4"/>
  <c r="AX685" i="4"/>
  <c r="AY685" i="4" s="1"/>
  <c r="AT685" i="4"/>
  <c r="AU685" i="4" s="1"/>
  <c r="AP685" i="4"/>
  <c r="AM685" i="4"/>
  <c r="AL685" i="4"/>
  <c r="AH685" i="4"/>
  <c r="AE685" i="4"/>
  <c r="AD685" i="4"/>
  <c r="AA685" i="4"/>
  <c r="Z685" i="4"/>
  <c r="V685" i="4"/>
  <c r="W685" i="4" s="1"/>
  <c r="S685" i="4"/>
  <c r="R685" i="4"/>
  <c r="O685" i="4"/>
  <c r="N685" i="4"/>
  <c r="K685" i="4"/>
  <c r="AI685" i="4" s="1"/>
  <c r="BF684" i="4"/>
  <c r="BB684" i="4"/>
  <c r="AX684" i="4"/>
  <c r="AT684" i="4"/>
  <c r="AP684" i="4"/>
  <c r="AL684" i="4"/>
  <c r="AH684" i="4"/>
  <c r="AD684" i="4"/>
  <c r="Z684" i="4"/>
  <c r="V684" i="4"/>
  <c r="R684" i="4"/>
  <c r="N684" i="4"/>
  <c r="K684" i="4"/>
  <c r="BF683" i="4"/>
  <c r="BB683" i="4"/>
  <c r="AX683" i="4"/>
  <c r="AY683" i="4" s="1"/>
  <c r="AU683" i="4"/>
  <c r="AT683" i="4"/>
  <c r="AQ683" i="4"/>
  <c r="AP683" i="4"/>
  <c r="AL683" i="4"/>
  <c r="AM683" i="4" s="1"/>
  <c r="AI683" i="4"/>
  <c r="AH683" i="4"/>
  <c r="AD683" i="4"/>
  <c r="AA683" i="4"/>
  <c r="Z683" i="4"/>
  <c r="W683" i="4"/>
  <c r="V683" i="4"/>
  <c r="R683" i="4"/>
  <c r="S683" i="4" s="1"/>
  <c r="O683" i="4"/>
  <c r="N683" i="4"/>
  <c r="K683" i="4"/>
  <c r="BG682" i="4"/>
  <c r="BF682" i="4"/>
  <c r="BB682" i="4"/>
  <c r="AX682" i="4"/>
  <c r="AT682" i="4"/>
  <c r="AU682" i="4" s="1"/>
  <c r="AP682" i="4"/>
  <c r="AM682" i="4"/>
  <c r="AL682" i="4"/>
  <c r="AI682" i="4"/>
  <c r="AH682" i="4"/>
  <c r="AE682" i="4"/>
  <c r="AD682" i="4"/>
  <c r="Z682" i="4"/>
  <c r="V682" i="4"/>
  <c r="R682" i="4"/>
  <c r="S682" i="4" s="1"/>
  <c r="N682" i="4"/>
  <c r="O682" i="4" s="1"/>
  <c r="K682" i="4"/>
  <c r="BF681" i="4"/>
  <c r="BB681" i="4"/>
  <c r="AX681" i="4"/>
  <c r="AT681" i="4"/>
  <c r="AP681" i="4"/>
  <c r="AL681" i="4"/>
  <c r="AI681" i="4"/>
  <c r="AH681" i="4"/>
  <c r="AD681" i="4"/>
  <c r="Z681" i="4"/>
  <c r="V681" i="4"/>
  <c r="R681" i="4"/>
  <c r="N681" i="4"/>
  <c r="K681" i="4"/>
  <c r="BG680" i="4"/>
  <c r="BF680" i="4"/>
  <c r="BC680" i="4"/>
  <c r="BB680" i="4"/>
  <c r="AX680" i="4"/>
  <c r="AT680" i="4"/>
  <c r="AP680" i="4"/>
  <c r="AL680" i="4"/>
  <c r="AI680" i="4"/>
  <c r="AH680" i="4"/>
  <c r="AD680" i="4"/>
  <c r="AE680" i="4" s="1"/>
  <c r="AA680" i="4"/>
  <c r="Z680" i="4"/>
  <c r="W680" i="4"/>
  <c r="V680" i="4"/>
  <c r="R680" i="4"/>
  <c r="N680" i="4"/>
  <c r="K680" i="4"/>
  <c r="AM680" i="4" s="1"/>
  <c r="BG679" i="4"/>
  <c r="BF679" i="4"/>
  <c r="BB679" i="4"/>
  <c r="AX679" i="4"/>
  <c r="AU679" i="4"/>
  <c r="AT679" i="4"/>
  <c r="AP679" i="4"/>
  <c r="AL679" i="4"/>
  <c r="AH679" i="4"/>
  <c r="AD679" i="4"/>
  <c r="Z679" i="4"/>
  <c r="V679" i="4"/>
  <c r="R679" i="4"/>
  <c r="S679" i="4" s="1"/>
  <c r="N679" i="4"/>
  <c r="K679" i="4"/>
  <c r="BG678" i="4"/>
  <c r="BF678" i="4"/>
  <c r="BB678" i="4"/>
  <c r="BC678" i="4" s="1"/>
  <c r="AY678" i="4"/>
  <c r="AX678" i="4"/>
  <c r="AT678" i="4"/>
  <c r="AU678" i="4" s="1"/>
  <c r="AQ678" i="4"/>
  <c r="AP678" i="4"/>
  <c r="AL678" i="4"/>
  <c r="AH678" i="4"/>
  <c r="AD678" i="4"/>
  <c r="AE678" i="4" s="1"/>
  <c r="AA678" i="4"/>
  <c r="Z678" i="4"/>
  <c r="W678" i="4"/>
  <c r="V678" i="4"/>
  <c r="S678" i="4"/>
  <c r="R678" i="4"/>
  <c r="O678" i="4"/>
  <c r="N678" i="4"/>
  <c r="K678" i="4"/>
  <c r="BG677" i="4"/>
  <c r="BF677" i="4"/>
  <c r="BB677" i="4"/>
  <c r="BC677" i="4" s="1"/>
  <c r="AY677" i="4"/>
  <c r="AX677" i="4"/>
  <c r="AT677" i="4"/>
  <c r="AQ677" i="4"/>
  <c r="AP677" i="4"/>
  <c r="AL677" i="4"/>
  <c r="AH677" i="4"/>
  <c r="AD677" i="4"/>
  <c r="Z677" i="4"/>
  <c r="AA677" i="4" s="1"/>
  <c r="V677" i="4"/>
  <c r="W677" i="4" s="1"/>
  <c r="R677" i="4"/>
  <c r="O677" i="4"/>
  <c r="N677" i="4"/>
  <c r="K677" i="4"/>
  <c r="BF676" i="4"/>
  <c r="BB676" i="4"/>
  <c r="AX676" i="4"/>
  <c r="AT676" i="4"/>
  <c r="AP676" i="4"/>
  <c r="AL676" i="4"/>
  <c r="AM676" i="4" s="1"/>
  <c r="AI676" i="4"/>
  <c r="AH676" i="4"/>
  <c r="AD676" i="4"/>
  <c r="Z676" i="4"/>
  <c r="V676" i="4"/>
  <c r="R676" i="4"/>
  <c r="O676" i="4"/>
  <c r="N676" i="4"/>
  <c r="K676" i="4"/>
  <c r="BF675" i="4"/>
  <c r="BC675" i="4"/>
  <c r="BB675" i="4"/>
  <c r="AX675" i="4"/>
  <c r="AT675" i="4"/>
  <c r="AP675" i="4"/>
  <c r="AM675" i="4"/>
  <c r="AL675" i="4"/>
  <c r="AH675" i="4"/>
  <c r="AI675" i="4" s="1"/>
  <c r="AE675" i="4"/>
  <c r="AD675" i="4"/>
  <c r="Z675" i="4"/>
  <c r="V675" i="4"/>
  <c r="R675" i="4"/>
  <c r="N675" i="4"/>
  <c r="K675" i="4"/>
  <c r="S675" i="4" s="1"/>
  <c r="BF674" i="4"/>
  <c r="BG674" i="4" s="1"/>
  <c r="BC674" i="4"/>
  <c r="BB674" i="4"/>
  <c r="AX674" i="4"/>
  <c r="AT674" i="4"/>
  <c r="AQ674" i="4"/>
  <c r="AP674" i="4"/>
  <c r="AL674" i="4"/>
  <c r="AI674" i="4"/>
  <c r="AH674" i="4"/>
  <c r="AD674" i="4"/>
  <c r="AA674" i="4"/>
  <c r="Z674" i="4"/>
  <c r="V674" i="4"/>
  <c r="R674" i="4"/>
  <c r="O674" i="4"/>
  <c r="N674" i="4"/>
  <c r="K674" i="4"/>
  <c r="BF673" i="4"/>
  <c r="BG673" i="4" s="1"/>
  <c r="BC673" i="4"/>
  <c r="BB673" i="4"/>
  <c r="AX673" i="4"/>
  <c r="AY673" i="4" s="1"/>
  <c r="AU673" i="4"/>
  <c r="AT673" i="4"/>
  <c r="AP673" i="4"/>
  <c r="AQ673" i="4" s="1"/>
  <c r="AL673" i="4"/>
  <c r="AH673" i="4"/>
  <c r="AI673" i="4" s="1"/>
  <c r="AE673" i="4"/>
  <c r="AD673" i="4"/>
  <c r="Z673" i="4"/>
  <c r="AA673" i="4" s="1"/>
  <c r="W673" i="4"/>
  <c r="V673" i="4"/>
  <c r="R673" i="4"/>
  <c r="S673" i="4" s="1"/>
  <c r="N673" i="4"/>
  <c r="O673" i="4" s="1"/>
  <c r="K673" i="4"/>
  <c r="BF672" i="4"/>
  <c r="BG672" i="4" s="1"/>
  <c r="BB672" i="4"/>
  <c r="BC672" i="4" s="1"/>
  <c r="AX672" i="4"/>
  <c r="AT672" i="4"/>
  <c r="AQ672" i="4"/>
  <c r="AP672" i="4"/>
  <c r="AL672" i="4"/>
  <c r="AH672" i="4"/>
  <c r="AI672" i="4" s="1"/>
  <c r="AD672" i="4"/>
  <c r="AE672" i="4" s="1"/>
  <c r="AA672" i="4"/>
  <c r="Z672" i="4"/>
  <c r="W672" i="4"/>
  <c r="V672" i="4"/>
  <c r="R672" i="4"/>
  <c r="O672" i="4"/>
  <c r="N672" i="4"/>
  <c r="K672" i="4"/>
  <c r="AM672" i="4" s="1"/>
  <c r="BG671" i="4"/>
  <c r="BF671" i="4"/>
  <c r="BB671" i="4"/>
  <c r="BC671" i="4" s="1"/>
  <c r="AX671" i="4"/>
  <c r="AY671" i="4" s="1"/>
  <c r="AU671" i="4"/>
  <c r="AT671" i="4"/>
  <c r="AP671" i="4"/>
  <c r="AM671" i="4"/>
  <c r="AL671" i="4"/>
  <c r="AH671" i="4"/>
  <c r="AE671" i="4"/>
  <c r="AD671" i="4"/>
  <c r="AA671" i="4"/>
  <c r="Z671" i="4"/>
  <c r="V671" i="4"/>
  <c r="W671" i="4" s="1"/>
  <c r="R671" i="4"/>
  <c r="S671" i="4" s="1"/>
  <c r="O671" i="4"/>
  <c r="N671" i="4"/>
  <c r="K671" i="4"/>
  <c r="BF670" i="4"/>
  <c r="BB670" i="4"/>
  <c r="AX670" i="4"/>
  <c r="AT670" i="4"/>
  <c r="AQ670" i="4"/>
  <c r="AP670" i="4"/>
  <c r="AL670" i="4"/>
  <c r="AH670" i="4"/>
  <c r="AD670" i="4"/>
  <c r="Z670" i="4"/>
  <c r="V670" i="4"/>
  <c r="R670" i="4"/>
  <c r="N670" i="4"/>
  <c r="O670" i="4" s="1"/>
  <c r="K670" i="4"/>
  <c r="BF669" i="4"/>
  <c r="BB669" i="4"/>
  <c r="AY669" i="4"/>
  <c r="AX669" i="4"/>
  <c r="AT669" i="4"/>
  <c r="AQ669" i="4"/>
  <c r="AP669" i="4"/>
  <c r="AL669" i="4"/>
  <c r="AI669" i="4"/>
  <c r="AH669" i="4"/>
  <c r="AD669" i="4"/>
  <c r="AA669" i="4"/>
  <c r="Z669" i="4"/>
  <c r="W669" i="4"/>
  <c r="V669" i="4"/>
  <c r="S669" i="4"/>
  <c r="R669" i="4"/>
  <c r="N669" i="4"/>
  <c r="K669" i="4"/>
  <c r="AM669" i="4" s="1"/>
  <c r="BF668" i="4"/>
  <c r="BB668" i="4"/>
  <c r="AX668" i="4"/>
  <c r="AU668" i="4"/>
  <c r="AT668" i="4"/>
  <c r="AQ668" i="4"/>
  <c r="AP668" i="4"/>
  <c r="AL668" i="4"/>
  <c r="AH668" i="4"/>
  <c r="AD668" i="4"/>
  <c r="Z668" i="4"/>
  <c r="V668" i="4"/>
  <c r="R668" i="4"/>
  <c r="N668" i="4"/>
  <c r="K668" i="4"/>
  <c r="BF667" i="4"/>
  <c r="BB667" i="4"/>
  <c r="AX667" i="4"/>
  <c r="AT667" i="4"/>
  <c r="AP667" i="4"/>
  <c r="AQ667" i="4" s="1"/>
  <c r="AL667" i="4"/>
  <c r="AI667" i="4"/>
  <c r="AH667" i="4"/>
  <c r="AD667" i="4"/>
  <c r="Z667" i="4"/>
  <c r="V667" i="4"/>
  <c r="S667" i="4"/>
  <c r="R667" i="4"/>
  <c r="N667" i="4"/>
  <c r="K667" i="4"/>
  <c r="AM667" i="4" s="1"/>
  <c r="BG666" i="4"/>
  <c r="BF666" i="4"/>
  <c r="BC666" i="4"/>
  <c r="BB666" i="4"/>
  <c r="AY666" i="4"/>
  <c r="AX666" i="4"/>
  <c r="AT666" i="4"/>
  <c r="AP666" i="4"/>
  <c r="AM666" i="4"/>
  <c r="AL666" i="4"/>
  <c r="AH666" i="4"/>
  <c r="AD666" i="4"/>
  <c r="AE666" i="4" s="1"/>
  <c r="AA666" i="4"/>
  <c r="Z666" i="4"/>
  <c r="W666" i="4"/>
  <c r="V666" i="4"/>
  <c r="R666" i="4"/>
  <c r="N666" i="4"/>
  <c r="K666" i="4"/>
  <c r="BF665" i="4"/>
  <c r="BB665" i="4"/>
  <c r="BC665" i="4" s="1"/>
  <c r="AX665" i="4"/>
  <c r="AT665" i="4"/>
  <c r="AP665" i="4"/>
  <c r="AL665" i="4"/>
  <c r="AH665" i="4"/>
  <c r="AD665" i="4"/>
  <c r="Z665" i="4"/>
  <c r="V665" i="4"/>
  <c r="R665" i="4"/>
  <c r="N665" i="4"/>
  <c r="K665" i="4"/>
  <c r="BF664" i="4"/>
  <c r="BG664" i="4" s="1"/>
  <c r="BC664" i="4"/>
  <c r="BB664" i="4"/>
  <c r="AY664" i="4"/>
  <c r="AX664" i="4"/>
  <c r="AU664" i="4"/>
  <c r="AT664" i="4"/>
  <c r="AQ664" i="4"/>
  <c r="AP664" i="4"/>
  <c r="AL664" i="4"/>
  <c r="AH664" i="4"/>
  <c r="AD664" i="4"/>
  <c r="AE664" i="4" s="1"/>
  <c r="Z664" i="4"/>
  <c r="AA664" i="4" s="1"/>
  <c r="W664" i="4"/>
  <c r="V664" i="4"/>
  <c r="R664" i="4"/>
  <c r="S664" i="4" s="1"/>
  <c r="O664" i="4"/>
  <c r="N664" i="4"/>
  <c r="K664" i="4"/>
  <c r="BG663" i="4"/>
  <c r="BF663" i="4"/>
  <c r="BB663" i="4"/>
  <c r="BC663" i="4" s="1"/>
  <c r="AY663" i="4"/>
  <c r="AX663" i="4"/>
  <c r="AT663" i="4"/>
  <c r="AP663" i="4"/>
  <c r="AL663" i="4"/>
  <c r="AH663" i="4"/>
  <c r="AD663" i="4"/>
  <c r="Z663" i="4"/>
  <c r="W663" i="4"/>
  <c r="V663" i="4"/>
  <c r="R663" i="4"/>
  <c r="O663" i="4"/>
  <c r="N663" i="4"/>
  <c r="K663" i="4"/>
  <c r="AM663" i="4" s="1"/>
  <c r="BF662" i="4"/>
  <c r="BB662" i="4"/>
  <c r="AX662" i="4"/>
  <c r="AT662" i="4"/>
  <c r="AQ662" i="4"/>
  <c r="AP662" i="4"/>
  <c r="AL662" i="4"/>
  <c r="AI662" i="4"/>
  <c r="AH662" i="4"/>
  <c r="AD662" i="4"/>
  <c r="Z662" i="4"/>
  <c r="V662" i="4"/>
  <c r="R662" i="4"/>
  <c r="N662" i="4"/>
  <c r="K662" i="4"/>
  <c r="BF661" i="4"/>
  <c r="BC661" i="4"/>
  <c r="BB661" i="4"/>
  <c r="AY661" i="4"/>
  <c r="AX661" i="4"/>
  <c r="AT661" i="4"/>
  <c r="AP661" i="4"/>
  <c r="AL661" i="4"/>
  <c r="AI661" i="4"/>
  <c r="AH661" i="4"/>
  <c r="AE661" i="4"/>
  <c r="AD661" i="4"/>
  <c r="Z661" i="4"/>
  <c r="V661" i="4"/>
  <c r="S661" i="4"/>
  <c r="R661" i="4"/>
  <c r="N661" i="4"/>
  <c r="K661" i="4"/>
  <c r="BF660" i="4"/>
  <c r="BC660" i="4"/>
  <c r="BB660" i="4"/>
  <c r="AX660" i="4"/>
  <c r="AT660" i="4"/>
  <c r="AP660" i="4"/>
  <c r="AL660" i="4"/>
  <c r="AH660" i="4"/>
  <c r="AD660" i="4"/>
  <c r="Z660" i="4"/>
  <c r="V660" i="4"/>
  <c r="R660" i="4"/>
  <c r="N660" i="4"/>
  <c r="K660" i="4"/>
  <c r="BG659" i="4"/>
  <c r="BF659" i="4"/>
  <c r="BB659" i="4"/>
  <c r="BC659" i="4" s="1"/>
  <c r="AX659" i="4"/>
  <c r="AY659" i="4" s="1"/>
  <c r="AU659" i="4"/>
  <c r="AT659" i="4"/>
  <c r="AP659" i="4"/>
  <c r="AQ659" i="4" s="1"/>
  <c r="AL659" i="4"/>
  <c r="AI659" i="4"/>
  <c r="AH659" i="4"/>
  <c r="AE659" i="4"/>
  <c r="AD659" i="4"/>
  <c r="AA659" i="4"/>
  <c r="Z659" i="4"/>
  <c r="W659" i="4"/>
  <c r="V659" i="4"/>
  <c r="R659" i="4"/>
  <c r="S659" i="4" s="1"/>
  <c r="N659" i="4"/>
  <c r="O659" i="4" s="1"/>
  <c r="K659" i="4"/>
  <c r="BG658" i="4"/>
  <c r="BF658" i="4"/>
  <c r="BC658" i="4"/>
  <c r="BB658" i="4"/>
  <c r="AX658" i="4"/>
  <c r="AT658" i="4"/>
  <c r="AP658" i="4"/>
  <c r="AL658" i="4"/>
  <c r="AH658" i="4"/>
  <c r="AD658" i="4"/>
  <c r="Z658" i="4"/>
  <c r="AA658" i="4" s="1"/>
  <c r="V658" i="4"/>
  <c r="W658" i="4" s="1"/>
  <c r="R658" i="4"/>
  <c r="N658" i="4"/>
  <c r="K658" i="4"/>
  <c r="BG657" i="4"/>
  <c r="BF657" i="4"/>
  <c r="BC657" i="4"/>
  <c r="BB657" i="4"/>
  <c r="AY657" i="4"/>
  <c r="AX657" i="4"/>
  <c r="AT657" i="4"/>
  <c r="AU657" i="4" s="1"/>
  <c r="AP657" i="4"/>
  <c r="AM657" i="4"/>
  <c r="AL657" i="4"/>
  <c r="AH657" i="4"/>
  <c r="AE657" i="4"/>
  <c r="AD657" i="4"/>
  <c r="AA657" i="4"/>
  <c r="Z657" i="4"/>
  <c r="W657" i="4"/>
  <c r="V657" i="4"/>
  <c r="S657" i="4"/>
  <c r="R657" i="4"/>
  <c r="O657" i="4"/>
  <c r="N657" i="4"/>
  <c r="K657" i="4"/>
  <c r="BF656" i="4"/>
  <c r="BB656" i="4"/>
  <c r="AX656" i="4"/>
  <c r="AT656" i="4"/>
  <c r="AQ656" i="4"/>
  <c r="AP656" i="4"/>
  <c r="AL656" i="4"/>
  <c r="AH656" i="4"/>
  <c r="AD656" i="4"/>
  <c r="Z656" i="4"/>
  <c r="V656" i="4"/>
  <c r="R656" i="4"/>
  <c r="N656" i="4"/>
  <c r="K656" i="4"/>
  <c r="BF655" i="4"/>
  <c r="BB655" i="4"/>
  <c r="AX655" i="4"/>
  <c r="AY655" i="4" s="1"/>
  <c r="AU655" i="4"/>
  <c r="AT655" i="4"/>
  <c r="AP655" i="4"/>
  <c r="AM655" i="4"/>
  <c r="AL655" i="4"/>
  <c r="AH655" i="4"/>
  <c r="AD655" i="4"/>
  <c r="AA655" i="4"/>
  <c r="Z655" i="4"/>
  <c r="V655" i="4"/>
  <c r="W655" i="4" s="1"/>
  <c r="R655" i="4"/>
  <c r="S655" i="4" s="1"/>
  <c r="O655" i="4"/>
  <c r="N655" i="4"/>
  <c r="K655" i="4"/>
  <c r="BF654" i="4"/>
  <c r="BB654" i="4"/>
  <c r="AX654" i="4"/>
  <c r="AT654" i="4"/>
  <c r="AP654" i="4"/>
  <c r="AL654" i="4"/>
  <c r="AH654" i="4"/>
  <c r="AE654" i="4"/>
  <c r="AD654" i="4"/>
  <c r="Z654" i="4"/>
  <c r="V654" i="4"/>
  <c r="R654" i="4"/>
  <c r="N654" i="4"/>
  <c r="K654" i="4"/>
  <c r="BG653" i="4"/>
  <c r="BF653" i="4"/>
  <c r="BB653" i="4"/>
  <c r="AX653" i="4"/>
  <c r="AT653" i="4"/>
  <c r="AP653" i="4"/>
  <c r="AM653" i="4"/>
  <c r="AL653" i="4"/>
  <c r="AH653" i="4"/>
  <c r="AI653" i="4" s="1"/>
  <c r="AE653" i="4"/>
  <c r="AD653" i="4"/>
  <c r="Z653" i="4"/>
  <c r="V653" i="4"/>
  <c r="R653" i="4"/>
  <c r="O653" i="4"/>
  <c r="N653" i="4"/>
  <c r="K653" i="4"/>
  <c r="S653" i="4" s="1"/>
  <c r="BF652" i="4"/>
  <c r="BB652" i="4"/>
  <c r="AY652" i="4"/>
  <c r="AX652" i="4"/>
  <c r="AT652" i="4"/>
  <c r="AP652" i="4"/>
  <c r="AL652" i="4"/>
  <c r="AH652" i="4"/>
  <c r="AD652" i="4"/>
  <c r="AA652" i="4"/>
  <c r="Z652" i="4"/>
  <c r="W652" i="4"/>
  <c r="V652" i="4"/>
  <c r="R652" i="4"/>
  <c r="N652" i="4"/>
  <c r="K652" i="4"/>
  <c r="BG652" i="4" s="1"/>
  <c r="BF651" i="4"/>
  <c r="BB651" i="4"/>
  <c r="AX651" i="4"/>
  <c r="AU651" i="4"/>
  <c r="AT651" i="4"/>
  <c r="AP651" i="4"/>
  <c r="AL651" i="4"/>
  <c r="AH651" i="4"/>
  <c r="AD651" i="4"/>
  <c r="Z651" i="4"/>
  <c r="V651" i="4"/>
  <c r="R651" i="4"/>
  <c r="N651" i="4"/>
  <c r="K651" i="4"/>
  <c r="BG650" i="4"/>
  <c r="BF650" i="4"/>
  <c r="BC650" i="4"/>
  <c r="BB650" i="4"/>
  <c r="AY650" i="4"/>
  <c r="AX650" i="4"/>
  <c r="AU650" i="4"/>
  <c r="AT650" i="4"/>
  <c r="AQ650" i="4"/>
  <c r="AP650" i="4"/>
  <c r="AL650" i="4"/>
  <c r="AM650" i="4" s="1"/>
  <c r="AH650" i="4"/>
  <c r="AE650" i="4"/>
  <c r="AD650" i="4"/>
  <c r="Z650" i="4"/>
  <c r="AA650" i="4" s="1"/>
  <c r="W650" i="4"/>
  <c r="V650" i="4"/>
  <c r="R650" i="4"/>
  <c r="S650" i="4" s="1"/>
  <c r="O650" i="4"/>
  <c r="N650" i="4"/>
  <c r="K650" i="4"/>
  <c r="BF649" i="4"/>
  <c r="BG649" i="4" s="1"/>
  <c r="BC649" i="4"/>
  <c r="BB649" i="4"/>
  <c r="AY649" i="4"/>
  <c r="AX649" i="4"/>
  <c r="AT649" i="4"/>
  <c r="AP649" i="4"/>
  <c r="AM649" i="4"/>
  <c r="AL649" i="4"/>
  <c r="AI649" i="4"/>
  <c r="AH649" i="4"/>
  <c r="AD649" i="4"/>
  <c r="Z649" i="4"/>
  <c r="AA649" i="4" s="1"/>
  <c r="V649" i="4"/>
  <c r="W649" i="4" s="1"/>
  <c r="R649" i="4"/>
  <c r="O649" i="4"/>
  <c r="N649" i="4"/>
  <c r="K649" i="4"/>
  <c r="BG648" i="4"/>
  <c r="BF648" i="4"/>
  <c r="BB648" i="4"/>
  <c r="AX648" i="4"/>
  <c r="AT648" i="4"/>
  <c r="AP648" i="4"/>
  <c r="AQ648" i="4" s="1"/>
  <c r="AL648" i="4"/>
  <c r="AM648" i="4" s="1"/>
  <c r="AI648" i="4"/>
  <c r="AH648" i="4"/>
  <c r="AD648" i="4"/>
  <c r="Z648" i="4"/>
  <c r="V648" i="4"/>
  <c r="S648" i="4"/>
  <c r="R648" i="4"/>
  <c r="O648" i="4"/>
  <c r="N648" i="4"/>
  <c r="K648" i="4"/>
  <c r="BF647" i="4"/>
  <c r="BC647" i="4"/>
  <c r="BB647" i="4"/>
  <c r="AY647" i="4"/>
  <c r="AX647" i="4"/>
  <c r="AU647" i="4"/>
  <c r="AT647" i="4"/>
  <c r="AP647" i="4"/>
  <c r="AL647" i="4"/>
  <c r="AM647" i="4" s="1"/>
  <c r="AH647" i="4"/>
  <c r="AI647" i="4" s="1"/>
  <c r="AE647" i="4"/>
  <c r="AD647" i="4"/>
  <c r="AA647" i="4"/>
  <c r="Z647" i="4"/>
  <c r="V647" i="4"/>
  <c r="S647" i="4"/>
  <c r="R647" i="4"/>
  <c r="N647" i="4"/>
  <c r="K647" i="4"/>
  <c r="BF646" i="4"/>
  <c r="BB646" i="4"/>
  <c r="AX646" i="4"/>
  <c r="AT646" i="4"/>
  <c r="AP646" i="4"/>
  <c r="AL646" i="4"/>
  <c r="AH646" i="4"/>
  <c r="AD646" i="4"/>
  <c r="Z646" i="4"/>
  <c r="V646" i="4"/>
  <c r="R646" i="4"/>
  <c r="N646" i="4"/>
  <c r="K646" i="4"/>
  <c r="BF645" i="4"/>
  <c r="BG645" i="4" s="1"/>
  <c r="BC645" i="4"/>
  <c r="BB645" i="4"/>
  <c r="AY645" i="4"/>
  <c r="AX645" i="4"/>
  <c r="AU645" i="4"/>
  <c r="AT645" i="4"/>
  <c r="AQ645" i="4"/>
  <c r="AP645" i="4"/>
  <c r="AL645" i="4"/>
  <c r="AI645" i="4"/>
  <c r="AH645" i="4"/>
  <c r="AE645" i="4"/>
  <c r="AD645" i="4"/>
  <c r="Z645" i="4"/>
  <c r="AA645" i="4" s="1"/>
  <c r="W645" i="4"/>
  <c r="V645" i="4"/>
  <c r="R645" i="4"/>
  <c r="S645" i="4" s="1"/>
  <c r="N645" i="4"/>
  <c r="O645" i="4" s="1"/>
  <c r="K645" i="4"/>
  <c r="AM645" i="4" s="1"/>
  <c r="BF644" i="4"/>
  <c r="BB644" i="4"/>
  <c r="AX644" i="4"/>
  <c r="AU644" i="4"/>
  <c r="AT644" i="4"/>
  <c r="AQ644" i="4"/>
  <c r="AP644" i="4"/>
  <c r="AL644" i="4"/>
  <c r="AH644" i="4"/>
  <c r="AD644" i="4"/>
  <c r="Z644" i="4"/>
  <c r="W644" i="4"/>
  <c r="V644" i="4"/>
  <c r="R644" i="4"/>
  <c r="O644" i="4"/>
  <c r="N644" i="4"/>
  <c r="K644" i="4"/>
  <c r="AM644" i="4" s="1"/>
  <c r="BF643" i="4"/>
  <c r="BC643" i="4"/>
  <c r="BB643" i="4"/>
  <c r="AX643" i="4"/>
  <c r="AT643" i="4"/>
  <c r="AQ643" i="4"/>
  <c r="AP643" i="4"/>
  <c r="AL643" i="4"/>
  <c r="AH643" i="4"/>
  <c r="AE643" i="4"/>
  <c r="AD643" i="4"/>
  <c r="Z643" i="4"/>
  <c r="V643" i="4"/>
  <c r="R643" i="4"/>
  <c r="O643" i="4"/>
  <c r="N643" i="4"/>
  <c r="K643" i="4"/>
  <c r="BG642" i="4"/>
  <c r="BF642" i="4"/>
  <c r="BB642" i="4"/>
  <c r="AX642" i="4"/>
  <c r="AT642" i="4"/>
  <c r="AP642" i="4"/>
  <c r="AL642" i="4"/>
  <c r="AM642" i="4" s="1"/>
  <c r="AH642" i="4"/>
  <c r="AE642" i="4"/>
  <c r="AD642" i="4"/>
  <c r="Z642" i="4"/>
  <c r="V642" i="4"/>
  <c r="R642" i="4"/>
  <c r="N642" i="4"/>
  <c r="K642" i="4"/>
  <c r="BF641" i="4"/>
  <c r="BC641" i="4"/>
  <c r="BB641" i="4"/>
  <c r="AY641" i="4"/>
  <c r="AX641" i="4"/>
  <c r="AT641" i="4"/>
  <c r="AU641" i="4" s="1"/>
  <c r="AQ641" i="4"/>
  <c r="AP641" i="4"/>
  <c r="AL641" i="4"/>
  <c r="AH641" i="4"/>
  <c r="AI641" i="4" s="1"/>
  <c r="AD641" i="4"/>
  <c r="Z641" i="4"/>
  <c r="AA641" i="4" s="1"/>
  <c r="V641" i="4"/>
  <c r="W641" i="4" s="1"/>
  <c r="R641" i="4"/>
  <c r="O641" i="4"/>
  <c r="N641" i="4"/>
  <c r="K641" i="4"/>
  <c r="AM641" i="4" s="1"/>
  <c r="BG640" i="4"/>
  <c r="BF640" i="4"/>
  <c r="BB640" i="4"/>
  <c r="BC640" i="4" s="1"/>
  <c r="AX640" i="4"/>
  <c r="AY640" i="4" s="1"/>
  <c r="AU640" i="4"/>
  <c r="AT640" i="4"/>
  <c r="AP640" i="4"/>
  <c r="AL640" i="4"/>
  <c r="AH640" i="4"/>
  <c r="AE640" i="4"/>
  <c r="AD640" i="4"/>
  <c r="Z640" i="4"/>
  <c r="AA640" i="4" s="1"/>
  <c r="V640" i="4"/>
  <c r="W640" i="4" s="1"/>
  <c r="S640" i="4"/>
  <c r="R640" i="4"/>
  <c r="N640" i="4"/>
  <c r="K640" i="4"/>
  <c r="AM640" i="4" s="1"/>
  <c r="BG639" i="4"/>
  <c r="BF639" i="4"/>
  <c r="BB639" i="4"/>
  <c r="AX639" i="4"/>
  <c r="AY639" i="4" s="1"/>
  <c r="AU639" i="4"/>
  <c r="AT639" i="4"/>
  <c r="AQ639" i="4"/>
  <c r="AP639" i="4"/>
  <c r="AL639" i="4"/>
  <c r="AM639" i="4" s="1"/>
  <c r="AI639" i="4"/>
  <c r="AH639" i="4"/>
  <c r="AD639" i="4"/>
  <c r="Z639" i="4"/>
  <c r="W639" i="4"/>
  <c r="V639" i="4"/>
  <c r="R639" i="4"/>
  <c r="S639" i="4" s="1"/>
  <c r="O639" i="4"/>
  <c r="N639" i="4"/>
  <c r="K639" i="4"/>
  <c r="BF638" i="4"/>
  <c r="BB638" i="4"/>
  <c r="AY638" i="4"/>
  <c r="AX638" i="4"/>
  <c r="AT638" i="4"/>
  <c r="AU638" i="4" s="1"/>
  <c r="AP638" i="4"/>
  <c r="AL638" i="4"/>
  <c r="AH638" i="4"/>
  <c r="AD638" i="4"/>
  <c r="Z638" i="4"/>
  <c r="W638" i="4"/>
  <c r="V638" i="4"/>
  <c r="R638" i="4"/>
  <c r="O638" i="4"/>
  <c r="N638" i="4"/>
  <c r="K638" i="4"/>
  <c r="AQ638" i="4" s="1"/>
  <c r="BG637" i="4"/>
  <c r="BF637" i="4"/>
  <c r="BB637" i="4"/>
  <c r="AX637" i="4"/>
  <c r="AU637" i="4"/>
  <c r="AT637" i="4"/>
  <c r="AP637" i="4"/>
  <c r="AL637" i="4"/>
  <c r="AI637" i="4"/>
  <c r="AH637" i="4"/>
  <c r="AD637" i="4"/>
  <c r="Z637" i="4"/>
  <c r="V637" i="4"/>
  <c r="S637" i="4"/>
  <c r="R637" i="4"/>
  <c r="O637" i="4"/>
  <c r="N637" i="4"/>
  <c r="K637" i="4"/>
  <c r="AQ637" i="4" s="1"/>
  <c r="BF636" i="4"/>
  <c r="BB636" i="4"/>
  <c r="AX636" i="4"/>
  <c r="AT636" i="4"/>
  <c r="AP636" i="4"/>
  <c r="AQ636" i="4" s="1"/>
  <c r="AM636" i="4"/>
  <c r="AL636" i="4"/>
  <c r="AH636" i="4"/>
  <c r="AD636" i="4"/>
  <c r="Z636" i="4"/>
  <c r="V636" i="4"/>
  <c r="R636" i="4"/>
  <c r="N636" i="4"/>
  <c r="K636" i="4"/>
  <c r="AI636" i="4" s="1"/>
  <c r="BG635" i="4"/>
  <c r="BF635" i="4"/>
  <c r="BB635" i="4"/>
  <c r="AY635" i="4"/>
  <c r="AX635" i="4"/>
  <c r="AT635" i="4"/>
  <c r="AP635" i="4"/>
  <c r="AL635" i="4"/>
  <c r="AI635" i="4"/>
  <c r="AH635" i="4"/>
  <c r="AD635" i="4"/>
  <c r="AE635" i="4" s="1"/>
  <c r="AA635" i="4"/>
  <c r="Z635" i="4"/>
  <c r="V635" i="4"/>
  <c r="R635" i="4"/>
  <c r="N635" i="4"/>
  <c r="K635" i="4"/>
  <c r="BF634" i="4"/>
  <c r="BG634" i="4" s="1"/>
  <c r="BB634" i="4"/>
  <c r="BC634" i="4" s="1"/>
  <c r="AY634" i="4"/>
  <c r="AX634" i="4"/>
  <c r="AU634" i="4"/>
  <c r="AT634" i="4"/>
  <c r="AQ634" i="4"/>
  <c r="AP634" i="4"/>
  <c r="AL634" i="4"/>
  <c r="AI634" i="4"/>
  <c r="AH634" i="4"/>
  <c r="AE634" i="4"/>
  <c r="AD634" i="4"/>
  <c r="Z634" i="4"/>
  <c r="AA634" i="4" s="1"/>
  <c r="W634" i="4"/>
  <c r="V634" i="4"/>
  <c r="S634" i="4"/>
  <c r="R634" i="4"/>
  <c r="O634" i="4"/>
  <c r="N634" i="4"/>
  <c r="K634" i="4"/>
  <c r="BF633" i="4"/>
  <c r="BB633" i="4"/>
  <c r="AX633" i="4"/>
  <c r="AT633" i="4"/>
  <c r="AP633" i="4"/>
  <c r="AL633" i="4"/>
  <c r="AH633" i="4"/>
  <c r="AD633" i="4"/>
  <c r="Z633" i="4"/>
  <c r="V633" i="4"/>
  <c r="R633" i="4"/>
  <c r="N633" i="4"/>
  <c r="K633" i="4"/>
  <c r="BF632" i="4"/>
  <c r="BB632" i="4"/>
  <c r="BC632" i="4" s="1"/>
  <c r="AY632" i="4"/>
  <c r="AX632" i="4"/>
  <c r="AU632" i="4"/>
  <c r="AT632" i="4"/>
  <c r="AQ632" i="4"/>
  <c r="AP632" i="4"/>
  <c r="AL632" i="4"/>
  <c r="AI632" i="4"/>
  <c r="AH632" i="4"/>
  <c r="AD632" i="4"/>
  <c r="AA632" i="4"/>
  <c r="Z632" i="4"/>
  <c r="V632" i="4"/>
  <c r="W632" i="4" s="1"/>
  <c r="S632" i="4"/>
  <c r="R632" i="4"/>
  <c r="O632" i="4"/>
  <c r="N632" i="4"/>
  <c r="K632" i="4"/>
  <c r="BG631" i="4"/>
  <c r="BF631" i="4"/>
  <c r="BB631" i="4"/>
  <c r="BC631" i="4" s="1"/>
  <c r="AX631" i="4"/>
  <c r="AY631" i="4" s="1"/>
  <c r="AT631" i="4"/>
  <c r="AU631" i="4" s="1"/>
  <c r="AP631" i="4"/>
  <c r="AQ631" i="4" s="1"/>
  <c r="AL631" i="4"/>
  <c r="AH631" i="4"/>
  <c r="AI631" i="4" s="1"/>
  <c r="AE631" i="4"/>
  <c r="AD631" i="4"/>
  <c r="Z631" i="4"/>
  <c r="AA631" i="4" s="1"/>
  <c r="V631" i="4"/>
  <c r="W631" i="4" s="1"/>
  <c r="R631" i="4"/>
  <c r="S631" i="4" s="1"/>
  <c r="O631" i="4"/>
  <c r="N631" i="4"/>
  <c r="K631" i="4"/>
  <c r="AM631" i="4" s="1"/>
  <c r="BG630" i="4"/>
  <c r="BF630" i="4"/>
  <c r="BB630" i="4"/>
  <c r="AY630" i="4"/>
  <c r="AX630" i="4"/>
  <c r="AT630" i="4"/>
  <c r="AU630" i="4" s="1"/>
  <c r="AP630" i="4"/>
  <c r="AM630" i="4"/>
  <c r="AL630" i="4"/>
  <c r="AH630" i="4"/>
  <c r="AE630" i="4"/>
  <c r="AD630" i="4"/>
  <c r="Z630" i="4"/>
  <c r="V630" i="4"/>
  <c r="W630" i="4" s="1"/>
  <c r="S630" i="4"/>
  <c r="R630" i="4"/>
  <c r="N630" i="4"/>
  <c r="O630" i="4" s="1"/>
  <c r="K630" i="4"/>
  <c r="BF629" i="4"/>
  <c r="BC629" i="4"/>
  <c r="BB629" i="4"/>
  <c r="AX629" i="4"/>
  <c r="AT629" i="4"/>
  <c r="AQ629" i="4"/>
  <c r="AP629" i="4"/>
  <c r="AM629" i="4"/>
  <c r="AL629" i="4"/>
  <c r="AH629" i="4"/>
  <c r="AE629" i="4"/>
  <c r="AD629" i="4"/>
  <c r="Z629" i="4"/>
  <c r="V629" i="4"/>
  <c r="R629" i="4"/>
  <c r="N629" i="4"/>
  <c r="K629" i="4"/>
  <c r="BF628" i="4"/>
  <c r="BG628" i="4" s="1"/>
  <c r="BC628" i="4"/>
  <c r="BB628" i="4"/>
  <c r="AX628" i="4"/>
  <c r="AT628" i="4"/>
  <c r="AP628" i="4"/>
  <c r="AL628" i="4"/>
  <c r="AM628" i="4" s="1"/>
  <c r="AI628" i="4"/>
  <c r="AH628" i="4"/>
  <c r="AD628" i="4"/>
  <c r="AE628" i="4" s="1"/>
  <c r="AA628" i="4"/>
  <c r="Z628" i="4"/>
  <c r="V628" i="4"/>
  <c r="R628" i="4"/>
  <c r="N628" i="4"/>
  <c r="K628" i="4"/>
  <c r="BF627" i="4"/>
  <c r="BC627" i="4"/>
  <c r="BB627" i="4"/>
  <c r="AY627" i="4"/>
  <c r="AX627" i="4"/>
  <c r="AT627" i="4"/>
  <c r="AU627" i="4" s="1"/>
  <c r="AQ627" i="4"/>
  <c r="AP627" i="4"/>
  <c r="AL627" i="4"/>
  <c r="AI627" i="4"/>
  <c r="AH627" i="4"/>
  <c r="AD627" i="4"/>
  <c r="AA627" i="4"/>
  <c r="Z627" i="4"/>
  <c r="V627" i="4"/>
  <c r="W627" i="4" s="1"/>
  <c r="R627" i="4"/>
  <c r="O627" i="4"/>
  <c r="N627" i="4"/>
  <c r="K627" i="4"/>
  <c r="AM627" i="4" s="1"/>
  <c r="BG626" i="4"/>
  <c r="BF626" i="4"/>
  <c r="BC626" i="4"/>
  <c r="BB626" i="4"/>
  <c r="AX626" i="4"/>
  <c r="AY626" i="4" s="1"/>
  <c r="AU626" i="4"/>
  <c r="AT626" i="4"/>
  <c r="AP626" i="4"/>
  <c r="AL626" i="4"/>
  <c r="AH626" i="4"/>
  <c r="AE626" i="4"/>
  <c r="AD626" i="4"/>
  <c r="AA626" i="4"/>
  <c r="Z626" i="4"/>
  <c r="V626" i="4"/>
  <c r="W626" i="4" s="1"/>
  <c r="S626" i="4"/>
  <c r="R626" i="4"/>
  <c r="N626" i="4"/>
  <c r="K626" i="4"/>
  <c r="AM626" i="4" s="1"/>
  <c r="BF625" i="4"/>
  <c r="BG625" i="4" s="1"/>
  <c r="BB625" i="4"/>
  <c r="AX625" i="4"/>
  <c r="AY625" i="4" s="1"/>
  <c r="AT625" i="4"/>
  <c r="AU625" i="4" s="1"/>
  <c r="AQ625" i="4"/>
  <c r="AP625" i="4"/>
  <c r="AL625" i="4"/>
  <c r="AM625" i="4" s="1"/>
  <c r="AI625" i="4"/>
  <c r="AH625" i="4"/>
  <c r="AD625" i="4"/>
  <c r="Z625" i="4"/>
  <c r="V625" i="4"/>
  <c r="W625" i="4" s="1"/>
  <c r="S625" i="4"/>
  <c r="R625" i="4"/>
  <c r="N625" i="4"/>
  <c r="O625" i="4" s="1"/>
  <c r="K625" i="4"/>
  <c r="BF624" i="4"/>
  <c r="BB624" i="4"/>
  <c r="AY624" i="4"/>
  <c r="AX624" i="4"/>
  <c r="AU624" i="4"/>
  <c r="AT624" i="4"/>
  <c r="AP624" i="4"/>
  <c r="AQ624" i="4" s="1"/>
  <c r="AM624" i="4"/>
  <c r="AL624" i="4"/>
  <c r="AH624" i="4"/>
  <c r="AD624" i="4"/>
  <c r="Z624" i="4"/>
  <c r="V624" i="4"/>
  <c r="W624" i="4" s="1"/>
  <c r="S624" i="4"/>
  <c r="R624" i="4"/>
  <c r="N624" i="4"/>
  <c r="O624" i="4" s="1"/>
  <c r="K624" i="4"/>
  <c r="BF623" i="4"/>
  <c r="BB623" i="4"/>
  <c r="AX623" i="4"/>
  <c r="AU623" i="4"/>
  <c r="AT623" i="4"/>
  <c r="AP623" i="4"/>
  <c r="AL623" i="4"/>
  <c r="AH623" i="4"/>
  <c r="AD623" i="4"/>
  <c r="Z623" i="4"/>
  <c r="V623" i="4"/>
  <c r="R623" i="4"/>
  <c r="O623" i="4"/>
  <c r="N623" i="4"/>
  <c r="K623" i="4"/>
  <c r="BG622" i="4"/>
  <c r="BF622" i="4"/>
  <c r="BB622" i="4"/>
  <c r="AX622" i="4"/>
  <c r="AT622" i="4"/>
  <c r="AP622" i="4"/>
  <c r="AL622" i="4"/>
  <c r="AM622" i="4" s="1"/>
  <c r="AH622" i="4"/>
  <c r="AI622" i="4" s="1"/>
  <c r="AE622" i="4"/>
  <c r="AD622" i="4"/>
  <c r="Z622" i="4"/>
  <c r="V622" i="4"/>
  <c r="R622" i="4"/>
  <c r="N622" i="4"/>
  <c r="K622" i="4"/>
  <c r="BG621" i="4"/>
  <c r="BF621" i="4"/>
  <c r="BB621" i="4"/>
  <c r="AY621" i="4"/>
  <c r="AX621" i="4"/>
  <c r="AT621" i="4"/>
  <c r="AP621" i="4"/>
  <c r="AL621" i="4"/>
  <c r="AM621" i="4" s="1"/>
  <c r="AH621" i="4"/>
  <c r="AE621" i="4"/>
  <c r="AD621" i="4"/>
  <c r="Z621" i="4"/>
  <c r="V621" i="4"/>
  <c r="R621" i="4"/>
  <c r="N621" i="4"/>
  <c r="K621" i="4"/>
  <c r="BF620" i="4"/>
  <c r="BG620" i="4" s="1"/>
  <c r="BC620" i="4"/>
  <c r="BB620" i="4"/>
  <c r="AY620" i="4"/>
  <c r="AX620" i="4"/>
  <c r="AU620" i="4"/>
  <c r="AT620" i="4"/>
  <c r="AQ620" i="4"/>
  <c r="AP620" i="4"/>
  <c r="AL620" i="4"/>
  <c r="AH620" i="4"/>
  <c r="AI620" i="4" s="1"/>
  <c r="AD620" i="4"/>
  <c r="AE620" i="4" s="1"/>
  <c r="AA620" i="4"/>
  <c r="Z620" i="4"/>
  <c r="W620" i="4"/>
  <c r="V620" i="4"/>
  <c r="S620" i="4"/>
  <c r="R620" i="4"/>
  <c r="O620" i="4"/>
  <c r="N620" i="4"/>
  <c r="K620" i="4"/>
  <c r="AM620" i="4" s="1"/>
  <c r="BF619" i="4"/>
  <c r="BG619" i="4" s="1"/>
  <c r="BB619" i="4"/>
  <c r="BC619" i="4" s="1"/>
  <c r="AY619" i="4"/>
  <c r="AX619" i="4"/>
  <c r="AT619" i="4"/>
  <c r="AP619" i="4"/>
  <c r="AL619" i="4"/>
  <c r="AH619" i="4"/>
  <c r="AD619" i="4"/>
  <c r="AE619" i="4" s="1"/>
  <c r="AA619" i="4"/>
  <c r="Z619" i="4"/>
  <c r="V619" i="4"/>
  <c r="W619" i="4" s="1"/>
  <c r="S619" i="4"/>
  <c r="R619" i="4"/>
  <c r="N619" i="4"/>
  <c r="K619" i="4"/>
  <c r="BF618" i="4"/>
  <c r="BB618" i="4"/>
  <c r="BC618" i="4" s="1"/>
  <c r="AY618" i="4"/>
  <c r="AX618" i="4"/>
  <c r="AT618" i="4"/>
  <c r="AU618" i="4" s="1"/>
  <c r="AQ618" i="4"/>
  <c r="AP618" i="4"/>
  <c r="AL618" i="4"/>
  <c r="AI618" i="4"/>
  <c r="AH618" i="4"/>
  <c r="AD618" i="4"/>
  <c r="Z618" i="4"/>
  <c r="AA618" i="4" s="1"/>
  <c r="V618" i="4"/>
  <c r="W618" i="4" s="1"/>
  <c r="S618" i="4"/>
  <c r="R618" i="4"/>
  <c r="O618" i="4"/>
  <c r="N618" i="4"/>
  <c r="K618" i="4"/>
  <c r="BG617" i="4"/>
  <c r="BF617" i="4"/>
  <c r="BC617" i="4"/>
  <c r="BB617" i="4"/>
  <c r="AX617" i="4"/>
  <c r="AY617" i="4" s="1"/>
  <c r="AT617" i="4"/>
  <c r="AU617" i="4" s="1"/>
  <c r="AQ617" i="4"/>
  <c r="AP617" i="4"/>
  <c r="AL617" i="4"/>
  <c r="AH617" i="4"/>
  <c r="AI617" i="4" s="1"/>
  <c r="AE617" i="4"/>
  <c r="AD617" i="4"/>
  <c r="Z617" i="4"/>
  <c r="AA617" i="4" s="1"/>
  <c r="W617" i="4"/>
  <c r="V617" i="4"/>
  <c r="S617" i="4"/>
  <c r="R617" i="4"/>
  <c r="O617" i="4"/>
  <c r="N617" i="4"/>
  <c r="K617" i="4"/>
  <c r="AM617" i="4" s="1"/>
  <c r="BG616" i="4"/>
  <c r="BF616" i="4"/>
  <c r="BB616" i="4"/>
  <c r="AX616" i="4"/>
  <c r="AU616" i="4"/>
  <c r="AT616" i="4"/>
  <c r="AP616" i="4"/>
  <c r="AL616" i="4"/>
  <c r="AH616" i="4"/>
  <c r="AD616" i="4"/>
  <c r="Z616" i="4"/>
  <c r="V616" i="4"/>
  <c r="S616" i="4"/>
  <c r="R616" i="4"/>
  <c r="N616" i="4"/>
  <c r="K616" i="4"/>
  <c r="BF615" i="4"/>
  <c r="BB615" i="4"/>
  <c r="AX615" i="4"/>
  <c r="AT615" i="4"/>
  <c r="AP615" i="4"/>
  <c r="AQ615" i="4" s="1"/>
  <c r="AL615" i="4"/>
  <c r="AM615" i="4" s="1"/>
  <c r="AH615" i="4"/>
  <c r="AE615" i="4"/>
  <c r="AD615" i="4"/>
  <c r="Z615" i="4"/>
  <c r="V615" i="4"/>
  <c r="R615" i="4"/>
  <c r="O615" i="4"/>
  <c r="N615" i="4"/>
  <c r="K615" i="4"/>
  <c r="BC615" i="4" s="1"/>
  <c r="BF614" i="4"/>
  <c r="BC614" i="4"/>
  <c r="BB614" i="4"/>
  <c r="AX614" i="4"/>
  <c r="AT614" i="4"/>
  <c r="AP614" i="4"/>
  <c r="AM614" i="4"/>
  <c r="AL614" i="4"/>
  <c r="AH614" i="4"/>
  <c r="AD614" i="4"/>
  <c r="Z614" i="4"/>
  <c r="V614" i="4"/>
  <c r="R614" i="4"/>
  <c r="N614" i="4"/>
  <c r="K614" i="4"/>
  <c r="BF613" i="4"/>
  <c r="BC613" i="4"/>
  <c r="BB613" i="4"/>
  <c r="AY613" i="4"/>
  <c r="AX613" i="4"/>
  <c r="AT613" i="4"/>
  <c r="AQ613" i="4"/>
  <c r="AP613" i="4"/>
  <c r="AL613" i="4"/>
  <c r="AH613" i="4"/>
  <c r="AI613" i="4" s="1"/>
  <c r="AD613" i="4"/>
  <c r="Z613" i="4"/>
  <c r="AA613" i="4" s="1"/>
  <c r="W613" i="4"/>
  <c r="V613" i="4"/>
  <c r="R613" i="4"/>
  <c r="O613" i="4"/>
  <c r="N613" i="4"/>
  <c r="K613" i="4"/>
  <c r="BG612" i="4"/>
  <c r="BF612" i="4"/>
  <c r="BB612" i="4"/>
  <c r="BC612" i="4" s="1"/>
  <c r="AX612" i="4"/>
  <c r="AY612" i="4" s="1"/>
  <c r="AU612" i="4"/>
  <c r="AT612" i="4"/>
  <c r="AP612" i="4"/>
  <c r="AL612" i="4"/>
  <c r="AH612" i="4"/>
  <c r="AE612" i="4"/>
  <c r="AD612" i="4"/>
  <c r="AA612" i="4"/>
  <c r="Z612" i="4"/>
  <c r="V612" i="4"/>
  <c r="W612" i="4" s="1"/>
  <c r="S612" i="4"/>
  <c r="R612" i="4"/>
  <c r="N612" i="4"/>
  <c r="K612" i="4"/>
  <c r="AM612" i="4" s="1"/>
  <c r="BG611" i="4"/>
  <c r="BF611" i="4"/>
  <c r="BB611" i="4"/>
  <c r="AY611" i="4"/>
  <c r="AX611" i="4"/>
  <c r="AT611" i="4"/>
  <c r="AU611" i="4" s="1"/>
  <c r="AQ611" i="4"/>
  <c r="AP611" i="4"/>
  <c r="AL611" i="4"/>
  <c r="AI611" i="4"/>
  <c r="AH611" i="4"/>
  <c r="AD611" i="4"/>
  <c r="Z611" i="4"/>
  <c r="W611" i="4"/>
  <c r="V611" i="4"/>
  <c r="R611" i="4"/>
  <c r="S611" i="4" s="1"/>
  <c r="N611" i="4"/>
  <c r="O611" i="4" s="1"/>
  <c r="K611" i="4"/>
  <c r="AM611" i="4" s="1"/>
  <c r="BF610" i="4"/>
  <c r="BB610" i="4"/>
  <c r="AX610" i="4"/>
  <c r="AT610" i="4"/>
  <c r="AQ610" i="4"/>
  <c r="AP610" i="4"/>
  <c r="AL610" i="4"/>
  <c r="AH610" i="4"/>
  <c r="AD610" i="4"/>
  <c r="Z610" i="4"/>
  <c r="W610" i="4"/>
  <c r="V610" i="4"/>
  <c r="R610" i="4"/>
  <c r="S610" i="4" s="1"/>
  <c r="N610" i="4"/>
  <c r="K610" i="4"/>
  <c r="BG609" i="4"/>
  <c r="BF609" i="4"/>
  <c r="BB609" i="4"/>
  <c r="AX609" i="4"/>
  <c r="AT609" i="4"/>
  <c r="AP609" i="4"/>
  <c r="AQ609" i="4" s="1"/>
  <c r="AM609" i="4"/>
  <c r="AL609" i="4"/>
  <c r="AI609" i="4"/>
  <c r="AH609" i="4"/>
  <c r="AD609" i="4"/>
  <c r="Z609" i="4"/>
  <c r="V609" i="4"/>
  <c r="S609" i="4"/>
  <c r="R609" i="4"/>
  <c r="O609" i="4"/>
  <c r="N609" i="4"/>
  <c r="K609" i="4"/>
  <c r="BG608" i="4"/>
  <c r="BF608" i="4"/>
  <c r="BB608" i="4"/>
  <c r="AX608" i="4"/>
  <c r="AT608" i="4"/>
  <c r="AP608" i="4"/>
  <c r="AL608" i="4"/>
  <c r="AI608" i="4"/>
  <c r="AH608" i="4"/>
  <c r="AD608" i="4"/>
  <c r="Z608" i="4"/>
  <c r="V608" i="4"/>
  <c r="R608" i="4"/>
  <c r="N608" i="4"/>
  <c r="K608" i="4"/>
  <c r="BG607" i="4"/>
  <c r="BF607" i="4"/>
  <c r="BB607" i="4"/>
  <c r="AX607" i="4"/>
  <c r="AT607" i="4"/>
  <c r="AP607" i="4"/>
  <c r="AM607" i="4"/>
  <c r="AL607" i="4"/>
  <c r="AI607" i="4"/>
  <c r="AH607" i="4"/>
  <c r="AD607" i="4"/>
  <c r="AE607" i="4" s="1"/>
  <c r="AA607" i="4"/>
  <c r="Z607" i="4"/>
  <c r="V607" i="4"/>
  <c r="R607" i="4"/>
  <c r="N607" i="4"/>
  <c r="K607" i="4"/>
  <c r="BG606" i="4"/>
  <c r="BF606" i="4"/>
  <c r="BB606" i="4"/>
  <c r="BC606" i="4" s="1"/>
  <c r="AY606" i="4"/>
  <c r="AX606" i="4"/>
  <c r="AU606" i="4"/>
  <c r="AT606" i="4"/>
  <c r="AQ606" i="4"/>
  <c r="AP606" i="4"/>
  <c r="AL606" i="4"/>
  <c r="AH606" i="4"/>
  <c r="AI606" i="4" s="1"/>
  <c r="AD606" i="4"/>
  <c r="AE606" i="4" s="1"/>
  <c r="AA606" i="4"/>
  <c r="BH606" i="4" s="1"/>
  <c r="BI606" i="4" s="1"/>
  <c r="Z606" i="4"/>
  <c r="W606" i="4"/>
  <c r="V606" i="4"/>
  <c r="S606" i="4"/>
  <c r="R606" i="4"/>
  <c r="O606" i="4"/>
  <c r="N606" i="4"/>
  <c r="K606" i="4"/>
  <c r="AM606" i="4" s="1"/>
  <c r="BF605" i="4"/>
  <c r="BB605" i="4"/>
  <c r="AX605" i="4"/>
  <c r="AY605" i="4" s="1"/>
  <c r="AT605" i="4"/>
  <c r="AP605" i="4"/>
  <c r="AL605" i="4"/>
  <c r="AH605" i="4"/>
  <c r="AD605" i="4"/>
  <c r="Z605" i="4"/>
  <c r="V605" i="4"/>
  <c r="R605" i="4"/>
  <c r="N605" i="4"/>
  <c r="K605" i="4"/>
  <c r="BC605" i="4" s="1"/>
  <c r="BF604" i="4"/>
  <c r="BC604" i="4"/>
  <c r="BB604" i="4"/>
  <c r="AY604" i="4"/>
  <c r="AX604" i="4"/>
  <c r="AU604" i="4"/>
  <c r="AT604" i="4"/>
  <c r="AQ604" i="4"/>
  <c r="AP604" i="4"/>
  <c r="AL604" i="4"/>
  <c r="AI604" i="4"/>
  <c r="AH604" i="4"/>
  <c r="AD604" i="4"/>
  <c r="AA604" i="4"/>
  <c r="Z604" i="4"/>
  <c r="W604" i="4"/>
  <c r="V604" i="4"/>
  <c r="S604" i="4"/>
  <c r="R604" i="4"/>
  <c r="O604" i="4"/>
  <c r="N604" i="4"/>
  <c r="K604" i="4"/>
  <c r="BG603" i="4"/>
  <c r="BF603" i="4"/>
  <c r="BB603" i="4"/>
  <c r="BC603" i="4" s="1"/>
  <c r="AX603" i="4"/>
  <c r="AY603" i="4" s="1"/>
  <c r="AU603" i="4"/>
  <c r="AT603" i="4"/>
  <c r="AQ603" i="4"/>
  <c r="AP603" i="4"/>
  <c r="AL603" i="4"/>
  <c r="AH603" i="4"/>
  <c r="AI603" i="4" s="1"/>
  <c r="AE603" i="4"/>
  <c r="AD603" i="4"/>
  <c r="Z603" i="4"/>
  <c r="AA603" i="4" s="1"/>
  <c r="V603" i="4"/>
  <c r="W603" i="4" s="1"/>
  <c r="R603" i="4"/>
  <c r="S603" i="4" s="1"/>
  <c r="N603" i="4"/>
  <c r="O603" i="4" s="1"/>
  <c r="BH603" i="4" s="1"/>
  <c r="BI603" i="4" s="1"/>
  <c r="K603" i="4"/>
  <c r="AM603" i="4" s="1"/>
  <c r="BF602" i="4"/>
  <c r="BB602" i="4"/>
  <c r="AX602" i="4"/>
  <c r="AU602" i="4"/>
  <c r="AT602" i="4"/>
  <c r="AP602" i="4"/>
  <c r="AL602" i="4"/>
  <c r="AH602" i="4"/>
  <c r="AE602" i="4"/>
  <c r="AD602" i="4"/>
  <c r="Z602" i="4"/>
  <c r="V602" i="4"/>
  <c r="R602" i="4"/>
  <c r="N602" i="4"/>
  <c r="K602" i="4"/>
  <c r="BF601" i="4"/>
  <c r="BB601" i="4"/>
  <c r="AX601" i="4"/>
  <c r="AU601" i="4"/>
  <c r="AT601" i="4"/>
  <c r="AP601" i="4"/>
  <c r="AL601" i="4"/>
  <c r="AH601" i="4"/>
  <c r="AE601" i="4"/>
  <c r="AD601" i="4"/>
  <c r="Z601" i="4"/>
  <c r="V601" i="4"/>
  <c r="R601" i="4"/>
  <c r="N601" i="4"/>
  <c r="K601" i="4"/>
  <c r="BF600" i="4"/>
  <c r="BB600" i="4"/>
  <c r="AX600" i="4"/>
  <c r="AT600" i="4"/>
  <c r="AP600" i="4"/>
  <c r="AL600" i="4"/>
  <c r="AI600" i="4"/>
  <c r="AH600" i="4"/>
  <c r="AE600" i="4"/>
  <c r="AD600" i="4"/>
  <c r="Z600" i="4"/>
  <c r="V600" i="4"/>
  <c r="R600" i="4"/>
  <c r="N600" i="4"/>
  <c r="K600" i="4"/>
  <c r="BF599" i="4"/>
  <c r="BB599" i="4"/>
  <c r="BC599" i="4" s="1"/>
  <c r="AY599" i="4"/>
  <c r="AX599" i="4"/>
  <c r="AT599" i="4"/>
  <c r="AQ599" i="4"/>
  <c r="AP599" i="4"/>
  <c r="AL599" i="4"/>
  <c r="AH599" i="4"/>
  <c r="AI599" i="4" s="1"/>
  <c r="AD599" i="4"/>
  <c r="Z599" i="4"/>
  <c r="AA599" i="4" s="1"/>
  <c r="W599" i="4"/>
  <c r="V599" i="4"/>
  <c r="R599" i="4"/>
  <c r="O599" i="4"/>
  <c r="N599" i="4"/>
  <c r="K599" i="4"/>
  <c r="BG598" i="4"/>
  <c r="BF598" i="4"/>
  <c r="BB598" i="4"/>
  <c r="BC598" i="4" s="1"/>
  <c r="AX598" i="4"/>
  <c r="AY598" i="4" s="1"/>
  <c r="AU598" i="4"/>
  <c r="AT598" i="4"/>
  <c r="AP598" i="4"/>
  <c r="AL598" i="4"/>
  <c r="AH598" i="4"/>
  <c r="AE598" i="4"/>
  <c r="AD598" i="4"/>
  <c r="AA598" i="4"/>
  <c r="Z598" i="4"/>
  <c r="W598" i="4"/>
  <c r="V598" i="4"/>
  <c r="S598" i="4"/>
  <c r="R598" i="4"/>
  <c r="N598" i="4"/>
  <c r="K598" i="4"/>
  <c r="AM598" i="4" s="1"/>
  <c r="BF597" i="4"/>
  <c r="BG597" i="4" s="1"/>
  <c r="BB597" i="4"/>
  <c r="AY597" i="4"/>
  <c r="AX597" i="4"/>
  <c r="AU597" i="4"/>
  <c r="AT597" i="4"/>
  <c r="AQ597" i="4"/>
  <c r="AP597" i="4"/>
  <c r="AL597" i="4"/>
  <c r="AI597" i="4"/>
  <c r="AH597" i="4"/>
  <c r="AD597" i="4"/>
  <c r="Z597" i="4"/>
  <c r="V597" i="4"/>
  <c r="W597" i="4" s="1"/>
  <c r="S597" i="4"/>
  <c r="R597" i="4"/>
  <c r="N597" i="4"/>
  <c r="O597" i="4" s="1"/>
  <c r="K597" i="4"/>
  <c r="AM597" i="4" s="1"/>
  <c r="BF596" i="4"/>
  <c r="BB596" i="4"/>
  <c r="AX596" i="4"/>
  <c r="AT596" i="4"/>
  <c r="AP596" i="4"/>
  <c r="AL596" i="4"/>
  <c r="AH596" i="4"/>
  <c r="AD596" i="4"/>
  <c r="Z596" i="4"/>
  <c r="V596" i="4"/>
  <c r="R596" i="4"/>
  <c r="N596" i="4"/>
  <c r="K596" i="4"/>
  <c r="BF595" i="4"/>
  <c r="BB595" i="4"/>
  <c r="AX595" i="4"/>
  <c r="AT595" i="4"/>
  <c r="AU595" i="4" s="1"/>
  <c r="AP595" i="4"/>
  <c r="AM595" i="4"/>
  <c r="AL595" i="4"/>
  <c r="AH595" i="4"/>
  <c r="AD595" i="4"/>
  <c r="Z595" i="4"/>
  <c r="V595" i="4"/>
  <c r="S595" i="4"/>
  <c r="R595" i="4"/>
  <c r="N595" i="4"/>
  <c r="K595" i="4"/>
  <c r="BG594" i="4"/>
  <c r="BF594" i="4"/>
  <c r="BB594" i="4"/>
  <c r="AX594" i="4"/>
  <c r="AT594" i="4"/>
  <c r="AP594" i="4"/>
  <c r="AQ594" i="4" s="1"/>
  <c r="AL594" i="4"/>
  <c r="AI594" i="4"/>
  <c r="AH594" i="4"/>
  <c r="AD594" i="4"/>
  <c r="Z594" i="4"/>
  <c r="V594" i="4"/>
  <c r="R594" i="4"/>
  <c r="N594" i="4"/>
  <c r="K594" i="4"/>
  <c r="BG593" i="4"/>
  <c r="BF593" i="4"/>
  <c r="BB593" i="4"/>
  <c r="AY593" i="4"/>
  <c r="AX593" i="4"/>
  <c r="AT593" i="4"/>
  <c r="AP593" i="4"/>
  <c r="AL593" i="4"/>
  <c r="AH593" i="4"/>
  <c r="AE593" i="4"/>
  <c r="AD593" i="4"/>
  <c r="Z593" i="4"/>
  <c r="V593" i="4"/>
  <c r="R593" i="4"/>
  <c r="N593" i="4"/>
  <c r="K593" i="4"/>
  <c r="BG592" i="4"/>
  <c r="BF592" i="4"/>
  <c r="BB592" i="4"/>
  <c r="BC592" i="4" s="1"/>
  <c r="AY592" i="4"/>
  <c r="AX592" i="4"/>
  <c r="AU592" i="4"/>
  <c r="AT592" i="4"/>
  <c r="AQ592" i="4"/>
  <c r="AP592" i="4"/>
  <c r="AL592" i="4"/>
  <c r="AI592" i="4"/>
  <c r="AH592" i="4"/>
  <c r="AD592" i="4"/>
  <c r="AE592" i="4" s="1"/>
  <c r="Z592" i="4"/>
  <c r="AA592" i="4" s="1"/>
  <c r="W592" i="4"/>
  <c r="V592" i="4"/>
  <c r="S592" i="4"/>
  <c r="R592" i="4"/>
  <c r="O592" i="4"/>
  <c r="N592" i="4"/>
  <c r="K592" i="4"/>
  <c r="AM592" i="4" s="1"/>
  <c r="BF591" i="4"/>
  <c r="BC591" i="4"/>
  <c r="BB591" i="4"/>
  <c r="AX591" i="4"/>
  <c r="AT591" i="4"/>
  <c r="AP591" i="4"/>
  <c r="AL591" i="4"/>
  <c r="AH591" i="4"/>
  <c r="AD591" i="4"/>
  <c r="AE591" i="4" s="1"/>
  <c r="AA591" i="4"/>
  <c r="Z591" i="4"/>
  <c r="V591" i="4"/>
  <c r="S591" i="4"/>
  <c r="R591" i="4"/>
  <c r="N591" i="4"/>
  <c r="K591" i="4"/>
  <c r="BF590" i="4"/>
  <c r="BC590" i="4"/>
  <c r="BB590" i="4"/>
  <c r="AX590" i="4"/>
  <c r="AY590" i="4" s="1"/>
  <c r="AT590" i="4"/>
  <c r="AU590" i="4" s="1"/>
  <c r="AQ590" i="4"/>
  <c r="AP590" i="4"/>
  <c r="AL590" i="4"/>
  <c r="AI590" i="4"/>
  <c r="AH590" i="4"/>
  <c r="AD590" i="4"/>
  <c r="Z590" i="4"/>
  <c r="AA590" i="4" s="1"/>
  <c r="W590" i="4"/>
  <c r="V590" i="4"/>
  <c r="R590" i="4"/>
  <c r="S590" i="4" s="1"/>
  <c r="O590" i="4"/>
  <c r="N590" i="4"/>
  <c r="K590" i="4"/>
  <c r="BF589" i="4"/>
  <c r="BC589" i="4"/>
  <c r="BB589" i="4"/>
  <c r="AX589" i="4"/>
  <c r="AY589" i="4" s="1"/>
  <c r="AU589" i="4"/>
  <c r="AT589" i="4"/>
  <c r="AQ589" i="4"/>
  <c r="AP589" i="4"/>
  <c r="AL589" i="4"/>
  <c r="AI589" i="4"/>
  <c r="AH589" i="4"/>
  <c r="AD589" i="4"/>
  <c r="AA589" i="4"/>
  <c r="Z589" i="4"/>
  <c r="W589" i="4"/>
  <c r="V589" i="4"/>
  <c r="R589" i="4"/>
  <c r="S589" i="4" s="1"/>
  <c r="O589" i="4"/>
  <c r="N589" i="4"/>
  <c r="K589" i="4"/>
  <c r="BG589" i="4" s="1"/>
  <c r="BF588" i="4"/>
  <c r="BB588" i="4"/>
  <c r="AX588" i="4"/>
  <c r="AY588" i="4" s="1"/>
  <c r="AU588" i="4"/>
  <c r="AT588" i="4"/>
  <c r="AQ588" i="4"/>
  <c r="AP588" i="4"/>
  <c r="AM588" i="4"/>
  <c r="AL588" i="4"/>
  <c r="AH588" i="4"/>
  <c r="AD588" i="4"/>
  <c r="Z588" i="4"/>
  <c r="V588" i="4"/>
  <c r="W588" i="4" s="1"/>
  <c r="R588" i="4"/>
  <c r="S588" i="4" s="1"/>
  <c r="O588" i="4"/>
  <c r="N588" i="4"/>
  <c r="K588" i="4"/>
  <c r="BG587" i="4"/>
  <c r="BF587" i="4"/>
  <c r="BB587" i="4"/>
  <c r="AX587" i="4"/>
  <c r="AU587" i="4"/>
  <c r="AT587" i="4"/>
  <c r="AQ587" i="4"/>
  <c r="AP587" i="4"/>
  <c r="AL587" i="4"/>
  <c r="AH587" i="4"/>
  <c r="AD587" i="4"/>
  <c r="Z587" i="4"/>
  <c r="V587" i="4"/>
  <c r="R587" i="4"/>
  <c r="S587" i="4" s="1"/>
  <c r="N587" i="4"/>
  <c r="K587" i="4"/>
  <c r="BF586" i="4"/>
  <c r="BB586" i="4"/>
  <c r="AX586" i="4"/>
  <c r="AU586" i="4"/>
  <c r="AT586" i="4"/>
  <c r="AQ586" i="4"/>
  <c r="AP586" i="4"/>
  <c r="AL586" i="4"/>
  <c r="AM586" i="4" s="1"/>
  <c r="AI586" i="4"/>
  <c r="AH586" i="4"/>
  <c r="AD586" i="4"/>
  <c r="Z586" i="4"/>
  <c r="V586" i="4"/>
  <c r="R586" i="4"/>
  <c r="S586" i="4" s="1"/>
  <c r="O586" i="4"/>
  <c r="N586" i="4"/>
  <c r="K586" i="4"/>
  <c r="BF585" i="4"/>
  <c r="BC585" i="4"/>
  <c r="BB585" i="4"/>
  <c r="AX585" i="4"/>
  <c r="AU585" i="4"/>
  <c r="AT585" i="4"/>
  <c r="AQ585" i="4"/>
  <c r="AP585" i="4"/>
  <c r="AL585" i="4"/>
  <c r="AH585" i="4"/>
  <c r="AD585" i="4"/>
  <c r="Z585" i="4"/>
  <c r="V585" i="4"/>
  <c r="R585" i="4"/>
  <c r="N585" i="4"/>
  <c r="O585" i="4" s="1"/>
  <c r="K585" i="4"/>
  <c r="BG584" i="4"/>
  <c r="BF584" i="4"/>
  <c r="BB584" i="4"/>
  <c r="AX584" i="4"/>
  <c r="AT584" i="4"/>
  <c r="AP584" i="4"/>
  <c r="AQ584" i="4" s="1"/>
  <c r="AL584" i="4"/>
  <c r="AM584" i="4" s="1"/>
  <c r="AH584" i="4"/>
  <c r="AI584" i="4" s="1"/>
  <c r="AE584" i="4"/>
  <c r="AD584" i="4"/>
  <c r="Z584" i="4"/>
  <c r="V584" i="4"/>
  <c r="R584" i="4"/>
  <c r="N584" i="4"/>
  <c r="O584" i="4" s="1"/>
  <c r="K584" i="4"/>
  <c r="BF583" i="4"/>
  <c r="BB583" i="4"/>
  <c r="AX583" i="4"/>
  <c r="AT583" i="4"/>
  <c r="AP583" i="4"/>
  <c r="AL583" i="4"/>
  <c r="AI583" i="4"/>
  <c r="AH583" i="4"/>
  <c r="AD583" i="4"/>
  <c r="Z583" i="4"/>
  <c r="W583" i="4"/>
  <c r="V583" i="4"/>
  <c r="R583" i="4"/>
  <c r="N583" i="4"/>
  <c r="K583" i="4"/>
  <c r="BF582" i="4"/>
  <c r="BB582" i="4"/>
  <c r="AX582" i="4"/>
  <c r="AT582" i="4"/>
  <c r="AP582" i="4"/>
  <c r="AL582" i="4"/>
  <c r="AH582" i="4"/>
  <c r="AD582" i="4"/>
  <c r="Z582" i="4"/>
  <c r="V582" i="4"/>
  <c r="R582" i="4"/>
  <c r="N582" i="4"/>
  <c r="K582" i="4"/>
  <c r="AI582" i="4" s="1"/>
  <c r="BG581" i="4"/>
  <c r="BF581" i="4"/>
  <c r="BB581" i="4"/>
  <c r="BC581" i="4" s="1"/>
  <c r="AX581" i="4"/>
  <c r="AU581" i="4"/>
  <c r="AT581" i="4"/>
  <c r="AP581" i="4"/>
  <c r="AM581" i="4"/>
  <c r="AL581" i="4"/>
  <c r="AH581" i="4"/>
  <c r="AE581" i="4"/>
  <c r="AD581" i="4"/>
  <c r="Z581" i="4"/>
  <c r="AA581" i="4" s="1"/>
  <c r="V581" i="4"/>
  <c r="S581" i="4"/>
  <c r="R581" i="4"/>
  <c r="N581" i="4"/>
  <c r="K581" i="4"/>
  <c r="BF580" i="4"/>
  <c r="BG580" i="4" s="1"/>
  <c r="BC580" i="4"/>
  <c r="BB580" i="4"/>
  <c r="AY580" i="4"/>
  <c r="AX580" i="4"/>
  <c r="AT580" i="4"/>
  <c r="AU580" i="4" s="1"/>
  <c r="AQ580" i="4"/>
  <c r="AP580" i="4"/>
  <c r="AL580" i="4"/>
  <c r="AI580" i="4"/>
  <c r="AH580" i="4"/>
  <c r="AD580" i="4"/>
  <c r="AE580" i="4" s="1"/>
  <c r="Z580" i="4"/>
  <c r="AA580" i="4" s="1"/>
  <c r="W580" i="4"/>
  <c r="V580" i="4"/>
  <c r="R580" i="4"/>
  <c r="S580" i="4" s="1"/>
  <c r="BH580" i="4" s="1"/>
  <c r="BI580" i="4" s="1"/>
  <c r="O580" i="4"/>
  <c r="N580" i="4"/>
  <c r="K580" i="4"/>
  <c r="AM580" i="4" s="1"/>
  <c r="BG579" i="4"/>
  <c r="BF579" i="4"/>
  <c r="BB579" i="4"/>
  <c r="BC579" i="4" s="1"/>
  <c r="AX579" i="4"/>
  <c r="AY579" i="4" s="1"/>
  <c r="AT579" i="4"/>
  <c r="AQ579" i="4"/>
  <c r="AP579" i="4"/>
  <c r="AL579" i="4"/>
  <c r="AH579" i="4"/>
  <c r="AI579" i="4" s="1"/>
  <c r="AD579" i="4"/>
  <c r="AE579" i="4" s="1"/>
  <c r="AA579" i="4"/>
  <c r="Z579" i="4"/>
  <c r="V579" i="4"/>
  <c r="W579" i="4" s="1"/>
  <c r="R579" i="4"/>
  <c r="N579" i="4"/>
  <c r="O579" i="4" s="1"/>
  <c r="K579" i="4"/>
  <c r="AM579" i="4" s="1"/>
  <c r="BF578" i="4"/>
  <c r="BG578" i="4" s="1"/>
  <c r="BB578" i="4"/>
  <c r="BC578" i="4" s="1"/>
  <c r="AY578" i="4"/>
  <c r="AX578" i="4"/>
  <c r="AU578" i="4"/>
  <c r="AT578" i="4"/>
  <c r="AP578" i="4"/>
  <c r="AL578" i="4"/>
  <c r="AH578" i="4"/>
  <c r="AE578" i="4"/>
  <c r="AD578" i="4"/>
  <c r="Z578" i="4"/>
  <c r="AA578" i="4" s="1"/>
  <c r="V578" i="4"/>
  <c r="W578" i="4" s="1"/>
  <c r="S578" i="4"/>
  <c r="R578" i="4"/>
  <c r="N578" i="4"/>
  <c r="K578" i="4"/>
  <c r="BF577" i="4"/>
  <c r="BB577" i="4"/>
  <c r="AX577" i="4"/>
  <c r="AT577" i="4"/>
  <c r="AP577" i="4"/>
  <c r="AL577" i="4"/>
  <c r="AH577" i="4"/>
  <c r="AD577" i="4"/>
  <c r="Z577" i="4"/>
  <c r="V577" i="4"/>
  <c r="S577" i="4"/>
  <c r="R577" i="4"/>
  <c r="N577" i="4"/>
  <c r="K577" i="4"/>
  <c r="BF576" i="4"/>
  <c r="BB576" i="4"/>
  <c r="BC576" i="4" s="1"/>
  <c r="AY576" i="4"/>
  <c r="AX576" i="4"/>
  <c r="AU576" i="4"/>
  <c r="AT576" i="4"/>
  <c r="AQ576" i="4"/>
  <c r="AP576" i="4"/>
  <c r="AL576" i="4"/>
  <c r="AI576" i="4"/>
  <c r="AH576" i="4"/>
  <c r="AD576" i="4"/>
  <c r="AA576" i="4"/>
  <c r="Z576" i="4"/>
  <c r="V576" i="4"/>
  <c r="W576" i="4" s="1"/>
  <c r="S576" i="4"/>
  <c r="R576" i="4"/>
  <c r="O576" i="4"/>
  <c r="N576" i="4"/>
  <c r="K576" i="4"/>
  <c r="BG575" i="4"/>
  <c r="BF575" i="4"/>
  <c r="BC575" i="4"/>
  <c r="BB575" i="4"/>
  <c r="AX575" i="4"/>
  <c r="AY575" i="4" s="1"/>
  <c r="AU575" i="4"/>
  <c r="AT575" i="4"/>
  <c r="AP575" i="4"/>
  <c r="AQ575" i="4" s="1"/>
  <c r="AL575" i="4"/>
  <c r="AH575" i="4"/>
  <c r="AI575" i="4" s="1"/>
  <c r="AE575" i="4"/>
  <c r="AD575" i="4"/>
  <c r="Z575" i="4"/>
  <c r="AA575" i="4" s="1"/>
  <c r="V575" i="4"/>
  <c r="W575" i="4" s="1"/>
  <c r="S575" i="4"/>
  <c r="R575" i="4"/>
  <c r="O575" i="4"/>
  <c r="N575" i="4"/>
  <c r="K575" i="4"/>
  <c r="AM575" i="4" s="1"/>
  <c r="BF574" i="4"/>
  <c r="BB574" i="4"/>
  <c r="AY574" i="4"/>
  <c r="AX574" i="4"/>
  <c r="AT574" i="4"/>
  <c r="AP574" i="4"/>
  <c r="AM574" i="4"/>
  <c r="AL574" i="4"/>
  <c r="AH574" i="4"/>
  <c r="AD574" i="4"/>
  <c r="Z574" i="4"/>
  <c r="V574" i="4"/>
  <c r="S574" i="4"/>
  <c r="R574" i="4"/>
  <c r="N574" i="4"/>
  <c r="K574" i="4"/>
  <c r="BF573" i="4"/>
  <c r="BB573" i="4"/>
  <c r="AX573" i="4"/>
  <c r="AT573" i="4"/>
  <c r="AP573" i="4"/>
  <c r="AM573" i="4"/>
  <c r="AL573" i="4"/>
  <c r="AH573" i="4"/>
  <c r="AE573" i="4"/>
  <c r="AD573" i="4"/>
  <c r="Z573" i="4"/>
  <c r="W573" i="4"/>
  <c r="V573" i="4"/>
  <c r="R573" i="4"/>
  <c r="N573" i="4"/>
  <c r="K573" i="4"/>
  <c r="AQ573" i="4" s="1"/>
  <c r="BF572" i="4"/>
  <c r="BB572" i="4"/>
  <c r="AX572" i="4"/>
  <c r="AU572" i="4"/>
  <c r="AT572" i="4"/>
  <c r="AP572" i="4"/>
  <c r="AL572" i="4"/>
  <c r="AH572" i="4"/>
  <c r="AD572" i="4"/>
  <c r="Z572" i="4"/>
  <c r="V572" i="4"/>
  <c r="R572" i="4"/>
  <c r="N572" i="4"/>
  <c r="K572" i="4"/>
  <c r="AA572" i="4" s="1"/>
  <c r="BF571" i="4"/>
  <c r="BB571" i="4"/>
  <c r="AX571" i="4"/>
  <c r="AT571" i="4"/>
  <c r="AP571" i="4"/>
  <c r="AL571" i="4"/>
  <c r="AH571" i="4"/>
  <c r="AD571" i="4"/>
  <c r="Z571" i="4"/>
  <c r="V571" i="4"/>
  <c r="R571" i="4"/>
  <c r="N571" i="4"/>
  <c r="K571" i="4"/>
  <c r="BG570" i="4"/>
  <c r="BF570" i="4"/>
  <c r="BB570" i="4"/>
  <c r="AY570" i="4"/>
  <c r="AX570" i="4"/>
  <c r="AT570" i="4"/>
  <c r="AP570" i="4"/>
  <c r="AM570" i="4"/>
  <c r="AL570" i="4"/>
  <c r="AH570" i="4"/>
  <c r="AI570" i="4" s="1"/>
  <c r="AE570" i="4"/>
  <c r="AD570" i="4"/>
  <c r="Z570" i="4"/>
  <c r="W570" i="4"/>
  <c r="V570" i="4"/>
  <c r="R570" i="4"/>
  <c r="N570" i="4"/>
  <c r="O570" i="4" s="1"/>
  <c r="K570" i="4"/>
  <c r="BF569" i="4"/>
  <c r="BB569" i="4"/>
  <c r="AX569" i="4"/>
  <c r="AT569" i="4"/>
  <c r="AP569" i="4"/>
  <c r="AL569" i="4"/>
  <c r="AI569" i="4"/>
  <c r="AH569" i="4"/>
  <c r="AD569" i="4"/>
  <c r="Z569" i="4"/>
  <c r="W569" i="4"/>
  <c r="V569" i="4"/>
  <c r="R569" i="4"/>
  <c r="N569" i="4"/>
  <c r="K569" i="4"/>
  <c r="BG569" i="4" s="1"/>
  <c r="BF568" i="4"/>
  <c r="BB568" i="4"/>
  <c r="AX568" i="4"/>
  <c r="AU568" i="4"/>
  <c r="AT568" i="4"/>
  <c r="AP568" i="4"/>
  <c r="AL568" i="4"/>
  <c r="AH568" i="4"/>
  <c r="AI568" i="4" s="1"/>
  <c r="AD568" i="4"/>
  <c r="Z568" i="4"/>
  <c r="V568" i="4"/>
  <c r="R568" i="4"/>
  <c r="N568" i="4"/>
  <c r="K568" i="4"/>
  <c r="AE568" i="4" s="1"/>
  <c r="BF567" i="4"/>
  <c r="BB567" i="4"/>
  <c r="AX567" i="4"/>
  <c r="AT567" i="4"/>
  <c r="AP567" i="4"/>
  <c r="AL567" i="4"/>
  <c r="AI567" i="4"/>
  <c r="AH567" i="4"/>
  <c r="AE567" i="4"/>
  <c r="AD567" i="4"/>
  <c r="Z567" i="4"/>
  <c r="V567" i="4"/>
  <c r="R567" i="4"/>
  <c r="N567" i="4"/>
  <c r="K567" i="4"/>
  <c r="BG566" i="4"/>
  <c r="BF566" i="4"/>
  <c r="BC566" i="4"/>
  <c r="BB566" i="4"/>
  <c r="AY566" i="4"/>
  <c r="AX566" i="4"/>
  <c r="AT566" i="4"/>
  <c r="AU566" i="4" s="1"/>
  <c r="AQ566" i="4"/>
  <c r="AP566" i="4"/>
  <c r="AL566" i="4"/>
  <c r="AH566" i="4"/>
  <c r="AI566" i="4" s="1"/>
  <c r="AD566" i="4"/>
  <c r="AE566" i="4" s="1"/>
  <c r="AA566" i="4"/>
  <c r="Z566" i="4"/>
  <c r="W566" i="4"/>
  <c r="V566" i="4"/>
  <c r="R566" i="4"/>
  <c r="S566" i="4" s="1"/>
  <c r="O566" i="4"/>
  <c r="N566" i="4"/>
  <c r="K566" i="4"/>
  <c r="AM566" i="4" s="1"/>
  <c r="BF565" i="4"/>
  <c r="BG565" i="4" s="1"/>
  <c r="BB565" i="4"/>
  <c r="BC565" i="4" s="1"/>
  <c r="AX565" i="4"/>
  <c r="AY565" i="4" s="1"/>
  <c r="AT565" i="4"/>
  <c r="AP565" i="4"/>
  <c r="AQ565" i="4" s="1"/>
  <c r="AL565" i="4"/>
  <c r="AH565" i="4"/>
  <c r="AI565" i="4" s="1"/>
  <c r="AE565" i="4"/>
  <c r="AD565" i="4"/>
  <c r="Z565" i="4"/>
  <c r="AA565" i="4" s="1"/>
  <c r="V565" i="4"/>
  <c r="W565" i="4" s="1"/>
  <c r="R565" i="4"/>
  <c r="N565" i="4"/>
  <c r="O565" i="4" s="1"/>
  <c r="K565" i="4"/>
  <c r="AM565" i="4" s="1"/>
  <c r="BF564" i="4"/>
  <c r="BG564" i="4" s="1"/>
  <c r="BC564" i="4"/>
  <c r="BB564" i="4"/>
  <c r="AY564" i="4"/>
  <c r="AX564" i="4"/>
  <c r="AU564" i="4"/>
  <c r="AT564" i="4"/>
  <c r="AP564" i="4"/>
  <c r="AM564" i="4"/>
  <c r="AL564" i="4"/>
  <c r="AH564" i="4"/>
  <c r="AD564" i="4"/>
  <c r="AE564" i="4" s="1"/>
  <c r="Z564" i="4"/>
  <c r="AA564" i="4" s="1"/>
  <c r="W564" i="4"/>
  <c r="V564" i="4"/>
  <c r="S564" i="4"/>
  <c r="R564" i="4"/>
  <c r="N564" i="4"/>
  <c r="K564" i="4"/>
  <c r="BF563" i="4"/>
  <c r="BB563" i="4"/>
  <c r="AX563" i="4"/>
  <c r="AU563" i="4"/>
  <c r="AT563" i="4"/>
  <c r="AP563" i="4"/>
  <c r="AM563" i="4"/>
  <c r="AL563" i="4"/>
  <c r="AH563" i="4"/>
  <c r="AE563" i="4"/>
  <c r="AD563" i="4"/>
  <c r="Z563" i="4"/>
  <c r="V563" i="4"/>
  <c r="W563" i="4" s="1"/>
  <c r="R563" i="4"/>
  <c r="N563" i="4"/>
  <c r="K563" i="4"/>
  <c r="BF562" i="4"/>
  <c r="BC562" i="4"/>
  <c r="BB562" i="4"/>
  <c r="AY562" i="4"/>
  <c r="AX562" i="4"/>
  <c r="AT562" i="4"/>
  <c r="AU562" i="4" s="1"/>
  <c r="AQ562" i="4"/>
  <c r="AP562" i="4"/>
  <c r="AL562" i="4"/>
  <c r="AI562" i="4"/>
  <c r="AH562" i="4"/>
  <c r="AD562" i="4"/>
  <c r="Z562" i="4"/>
  <c r="AA562" i="4" s="1"/>
  <c r="W562" i="4"/>
  <c r="V562" i="4"/>
  <c r="S562" i="4"/>
  <c r="R562" i="4"/>
  <c r="O562" i="4"/>
  <c r="N562" i="4"/>
  <c r="K562" i="4"/>
  <c r="BG562" i="4" s="1"/>
  <c r="BH561" i="4"/>
  <c r="BI561" i="4" s="1"/>
  <c r="BG561" i="4"/>
  <c r="BF561" i="4"/>
  <c r="BB561" i="4"/>
  <c r="BC561" i="4" s="1"/>
  <c r="AY561" i="4"/>
  <c r="AX561" i="4"/>
  <c r="AT561" i="4"/>
  <c r="AU561" i="4" s="1"/>
  <c r="AP561" i="4"/>
  <c r="AQ561" i="4" s="1"/>
  <c r="AL561" i="4"/>
  <c r="AI561" i="4"/>
  <c r="AH561" i="4"/>
  <c r="AE561" i="4"/>
  <c r="AD561" i="4"/>
  <c r="AA561" i="4"/>
  <c r="Z561" i="4"/>
  <c r="V561" i="4"/>
  <c r="W561" i="4" s="1"/>
  <c r="S561" i="4"/>
  <c r="R561" i="4"/>
  <c r="O561" i="4"/>
  <c r="N561" i="4"/>
  <c r="K561" i="4"/>
  <c r="AM561" i="4" s="1"/>
  <c r="BG560" i="4"/>
  <c r="BF560" i="4"/>
  <c r="BB560" i="4"/>
  <c r="AX560" i="4"/>
  <c r="AY560" i="4" s="1"/>
  <c r="AT560" i="4"/>
  <c r="AQ560" i="4"/>
  <c r="AP560" i="4"/>
  <c r="AL560" i="4"/>
  <c r="AH560" i="4"/>
  <c r="AD560" i="4"/>
  <c r="Z560" i="4"/>
  <c r="W560" i="4"/>
  <c r="V560" i="4"/>
  <c r="R560" i="4"/>
  <c r="N560" i="4"/>
  <c r="O560" i="4" s="1"/>
  <c r="K560" i="4"/>
  <c r="S560" i="4" s="1"/>
  <c r="BF559" i="4"/>
  <c r="BB559" i="4"/>
  <c r="AX559" i="4"/>
  <c r="AT559" i="4"/>
  <c r="AP559" i="4"/>
  <c r="AM559" i="4"/>
  <c r="AL559" i="4"/>
  <c r="AH559" i="4"/>
  <c r="AD559" i="4"/>
  <c r="Z559" i="4"/>
  <c r="V559" i="4"/>
  <c r="R559" i="4"/>
  <c r="N559" i="4"/>
  <c r="K559" i="4"/>
  <c r="BF558" i="4"/>
  <c r="BC558" i="4"/>
  <c r="BB558" i="4"/>
  <c r="AX558" i="4"/>
  <c r="AU558" i="4"/>
  <c r="AT558" i="4"/>
  <c r="AP558" i="4"/>
  <c r="AL558" i="4"/>
  <c r="AI558" i="4"/>
  <c r="AH558" i="4"/>
  <c r="AD558" i="4"/>
  <c r="AA558" i="4"/>
  <c r="Z558" i="4"/>
  <c r="V558" i="4"/>
  <c r="S558" i="4"/>
  <c r="R558" i="4"/>
  <c r="O558" i="4"/>
  <c r="N558" i="4"/>
  <c r="K558" i="4"/>
  <c r="BF557" i="4"/>
  <c r="BC557" i="4"/>
  <c r="BB557" i="4"/>
  <c r="AX557" i="4"/>
  <c r="AT557" i="4"/>
  <c r="AP557" i="4"/>
  <c r="AQ557" i="4" s="1"/>
  <c r="AM557" i="4"/>
  <c r="AL557" i="4"/>
  <c r="AH557" i="4"/>
  <c r="AD557" i="4"/>
  <c r="Z557" i="4"/>
  <c r="V557" i="4"/>
  <c r="R557" i="4"/>
  <c r="S557" i="4" s="1"/>
  <c r="N557" i="4"/>
  <c r="K557" i="4"/>
  <c r="BG556" i="4"/>
  <c r="BF556" i="4"/>
  <c r="BB556" i="4"/>
  <c r="AX556" i="4"/>
  <c r="AT556" i="4"/>
  <c r="AQ556" i="4"/>
  <c r="AP556" i="4"/>
  <c r="AL556" i="4"/>
  <c r="AH556" i="4"/>
  <c r="AE556" i="4"/>
  <c r="AD556" i="4"/>
  <c r="Z556" i="4"/>
  <c r="V556" i="4"/>
  <c r="R556" i="4"/>
  <c r="N556" i="4"/>
  <c r="K556" i="4"/>
  <c r="BF555" i="4"/>
  <c r="BG555" i="4" s="1"/>
  <c r="BB555" i="4"/>
  <c r="AX555" i="4"/>
  <c r="AY555" i="4" s="1"/>
  <c r="AT555" i="4"/>
  <c r="AP555" i="4"/>
  <c r="AM555" i="4"/>
  <c r="AL555" i="4"/>
  <c r="AH555" i="4"/>
  <c r="AD555" i="4"/>
  <c r="AE555" i="4" s="1"/>
  <c r="Z555" i="4"/>
  <c r="V555" i="4"/>
  <c r="W555" i="4" s="1"/>
  <c r="R555" i="4"/>
  <c r="N555" i="4"/>
  <c r="O555" i="4" s="1"/>
  <c r="K555" i="4"/>
  <c r="BF554" i="4"/>
  <c r="BC554" i="4"/>
  <c r="BB554" i="4"/>
  <c r="AX554" i="4"/>
  <c r="AU554" i="4"/>
  <c r="AT554" i="4"/>
  <c r="AP554" i="4"/>
  <c r="AM554" i="4"/>
  <c r="AL554" i="4"/>
  <c r="AI554" i="4"/>
  <c r="AH554" i="4"/>
  <c r="AD554" i="4"/>
  <c r="Z554" i="4"/>
  <c r="V554" i="4"/>
  <c r="S554" i="4"/>
  <c r="R554" i="4"/>
  <c r="N554" i="4"/>
  <c r="K554" i="4"/>
  <c r="BF553" i="4"/>
  <c r="BG553" i="4" s="1"/>
  <c r="BC553" i="4"/>
  <c r="BB553" i="4"/>
  <c r="AX553" i="4"/>
  <c r="AT553" i="4"/>
  <c r="AP553" i="4"/>
  <c r="AM553" i="4"/>
  <c r="AL553" i="4"/>
  <c r="AH553" i="4"/>
  <c r="AI553" i="4" s="1"/>
  <c r="AD553" i="4"/>
  <c r="AE553" i="4" s="1"/>
  <c r="AA553" i="4"/>
  <c r="Z553" i="4"/>
  <c r="V553" i="4"/>
  <c r="R553" i="4"/>
  <c r="N553" i="4"/>
  <c r="K553" i="4"/>
  <c r="BG552" i="4"/>
  <c r="BF552" i="4"/>
  <c r="BC552" i="4"/>
  <c r="BB552" i="4"/>
  <c r="AY552" i="4"/>
  <c r="AX552" i="4"/>
  <c r="AT552" i="4"/>
  <c r="AU552" i="4" s="1"/>
  <c r="AQ552" i="4"/>
  <c r="AP552" i="4"/>
  <c r="AL552" i="4"/>
  <c r="AH552" i="4"/>
  <c r="AI552" i="4" s="1"/>
  <c r="AD552" i="4"/>
  <c r="AE552" i="4" s="1"/>
  <c r="Z552" i="4"/>
  <c r="AA552" i="4" s="1"/>
  <c r="W552" i="4"/>
  <c r="V552" i="4"/>
  <c r="R552" i="4"/>
  <c r="S552" i="4" s="1"/>
  <c r="O552" i="4"/>
  <c r="N552" i="4"/>
  <c r="K552" i="4"/>
  <c r="BF551" i="4"/>
  <c r="BG551" i="4" s="1"/>
  <c r="BB551" i="4"/>
  <c r="BC551" i="4" s="1"/>
  <c r="AX551" i="4"/>
  <c r="AY551" i="4" s="1"/>
  <c r="AT551" i="4"/>
  <c r="AP551" i="4"/>
  <c r="AQ551" i="4" s="1"/>
  <c r="AL551" i="4"/>
  <c r="AI551" i="4"/>
  <c r="AH551" i="4"/>
  <c r="AD551" i="4"/>
  <c r="AE551" i="4" s="1"/>
  <c r="Z551" i="4"/>
  <c r="AA551" i="4" s="1"/>
  <c r="V551" i="4"/>
  <c r="W551" i="4" s="1"/>
  <c r="R551" i="4"/>
  <c r="O551" i="4"/>
  <c r="N551" i="4"/>
  <c r="K551" i="4"/>
  <c r="AM551" i="4" s="1"/>
  <c r="BF550" i="4"/>
  <c r="BG550" i="4" s="1"/>
  <c r="BB550" i="4"/>
  <c r="AY550" i="4"/>
  <c r="AX550" i="4"/>
  <c r="AT550" i="4"/>
  <c r="AP550" i="4"/>
  <c r="AL550" i="4"/>
  <c r="AH550" i="4"/>
  <c r="AE550" i="4"/>
  <c r="AD550" i="4"/>
  <c r="Z550" i="4"/>
  <c r="V550" i="4"/>
  <c r="S550" i="4"/>
  <c r="R550" i="4"/>
  <c r="N550" i="4"/>
  <c r="K550" i="4"/>
  <c r="AM550" i="4" s="1"/>
  <c r="BG549" i="4"/>
  <c r="BF549" i="4"/>
  <c r="BB549" i="4"/>
  <c r="AY549" i="4"/>
  <c r="AX549" i="4"/>
  <c r="AT549" i="4"/>
  <c r="AP549" i="4"/>
  <c r="AL549" i="4"/>
  <c r="AH549" i="4"/>
  <c r="AD549" i="4"/>
  <c r="AA549" i="4"/>
  <c r="Z549" i="4"/>
  <c r="W549" i="4"/>
  <c r="V549" i="4"/>
  <c r="R549" i="4"/>
  <c r="N549" i="4"/>
  <c r="K549" i="4"/>
  <c r="BF548" i="4"/>
  <c r="BC548" i="4"/>
  <c r="BB548" i="4"/>
  <c r="AX548" i="4"/>
  <c r="AY548" i="4" s="1"/>
  <c r="AT548" i="4"/>
  <c r="AU548" i="4" s="1"/>
  <c r="AQ548" i="4"/>
  <c r="AP548" i="4"/>
  <c r="AL548" i="4"/>
  <c r="AI548" i="4"/>
  <c r="AH548" i="4"/>
  <c r="AD548" i="4"/>
  <c r="AA548" i="4"/>
  <c r="Z548" i="4"/>
  <c r="W548" i="4"/>
  <c r="V548" i="4"/>
  <c r="R548" i="4"/>
  <c r="S548" i="4" s="1"/>
  <c r="O548" i="4"/>
  <c r="N548" i="4"/>
  <c r="K548" i="4"/>
  <c r="BG548" i="4" s="1"/>
  <c r="BG547" i="4"/>
  <c r="BF547" i="4"/>
  <c r="BC547" i="4"/>
  <c r="BB547" i="4"/>
  <c r="AX547" i="4"/>
  <c r="AY547" i="4" s="1"/>
  <c r="AT547" i="4"/>
  <c r="AU547" i="4" s="1"/>
  <c r="AP547" i="4"/>
  <c r="AQ547" i="4" s="1"/>
  <c r="AL547" i="4"/>
  <c r="AH547" i="4"/>
  <c r="AI547" i="4" s="1"/>
  <c r="AE547" i="4"/>
  <c r="AD547" i="4"/>
  <c r="Z547" i="4"/>
  <c r="AA547" i="4" s="1"/>
  <c r="W547" i="4"/>
  <c r="V547" i="4"/>
  <c r="S547" i="4"/>
  <c r="R547" i="4"/>
  <c r="N547" i="4"/>
  <c r="O547" i="4" s="1"/>
  <c r="K547" i="4"/>
  <c r="AM547" i="4" s="1"/>
  <c r="BG546" i="4"/>
  <c r="BF546" i="4"/>
  <c r="BB546" i="4"/>
  <c r="AX546" i="4"/>
  <c r="AY546" i="4" s="1"/>
  <c r="AU546" i="4"/>
  <c r="AT546" i="4"/>
  <c r="AP546" i="4"/>
  <c r="AL546" i="4"/>
  <c r="AH546" i="4"/>
  <c r="AE546" i="4"/>
  <c r="AD546" i="4"/>
  <c r="Z546" i="4"/>
  <c r="V546" i="4"/>
  <c r="W546" i="4" s="1"/>
  <c r="S546" i="4"/>
  <c r="R546" i="4"/>
  <c r="O546" i="4"/>
  <c r="N546" i="4"/>
  <c r="K546" i="4"/>
  <c r="BG545" i="4"/>
  <c r="BF545" i="4"/>
  <c r="BB545" i="4"/>
  <c r="AX545" i="4"/>
  <c r="AY545" i="4" s="1"/>
  <c r="AU545" i="4"/>
  <c r="AT545" i="4"/>
  <c r="AP545" i="4"/>
  <c r="AQ545" i="4" s="1"/>
  <c r="AM545" i="4"/>
  <c r="AL545" i="4"/>
  <c r="AH545" i="4"/>
  <c r="AD545" i="4"/>
  <c r="Z545" i="4"/>
  <c r="W545" i="4"/>
  <c r="V545" i="4"/>
  <c r="R545" i="4"/>
  <c r="N545" i="4"/>
  <c r="O545" i="4" s="1"/>
  <c r="K545" i="4"/>
  <c r="S545" i="4" s="1"/>
  <c r="BF544" i="4"/>
  <c r="BB544" i="4"/>
  <c r="AX544" i="4"/>
  <c r="AT544" i="4"/>
  <c r="AP544" i="4"/>
  <c r="AL544" i="4"/>
  <c r="AH544" i="4"/>
  <c r="AD544" i="4"/>
  <c r="Z544" i="4"/>
  <c r="V544" i="4"/>
  <c r="R544" i="4"/>
  <c r="N544" i="4"/>
  <c r="K544" i="4"/>
  <c r="BF543" i="4"/>
  <c r="BB543" i="4"/>
  <c r="AX543" i="4"/>
  <c r="AU543" i="4"/>
  <c r="AT543" i="4"/>
  <c r="AP543" i="4"/>
  <c r="AL543" i="4"/>
  <c r="AH543" i="4"/>
  <c r="AD543" i="4"/>
  <c r="AA543" i="4"/>
  <c r="Z543" i="4"/>
  <c r="V543" i="4"/>
  <c r="S543" i="4"/>
  <c r="R543" i="4"/>
  <c r="N543" i="4"/>
  <c r="K543" i="4"/>
  <c r="BF542" i="4"/>
  <c r="BB542" i="4"/>
  <c r="AX542" i="4"/>
  <c r="AT542" i="4"/>
  <c r="AP542" i="4"/>
  <c r="AL542" i="4"/>
  <c r="AH542" i="4"/>
  <c r="AD542" i="4"/>
  <c r="Z542" i="4"/>
  <c r="V542" i="4"/>
  <c r="R542" i="4"/>
  <c r="N542" i="4"/>
  <c r="K542" i="4"/>
  <c r="BF541" i="4"/>
  <c r="BB541" i="4"/>
  <c r="AX541" i="4"/>
  <c r="AT541" i="4"/>
  <c r="AQ541" i="4"/>
  <c r="AP541" i="4"/>
  <c r="AL541" i="4"/>
  <c r="AH541" i="4"/>
  <c r="AD541" i="4"/>
  <c r="AA541" i="4"/>
  <c r="Z541" i="4"/>
  <c r="V541" i="4"/>
  <c r="R541" i="4"/>
  <c r="N541" i="4"/>
  <c r="K541" i="4"/>
  <c r="BF540" i="4"/>
  <c r="BB540" i="4"/>
  <c r="AX540" i="4"/>
  <c r="AT540" i="4"/>
  <c r="AP540" i="4"/>
  <c r="AM540" i="4"/>
  <c r="AL540" i="4"/>
  <c r="AH540" i="4"/>
  <c r="AD540" i="4"/>
  <c r="Z540" i="4"/>
  <c r="V540" i="4"/>
  <c r="R540" i="4"/>
  <c r="N540" i="4"/>
  <c r="K540" i="4"/>
  <c r="AU540" i="4" s="1"/>
  <c r="BG539" i="4"/>
  <c r="BF539" i="4"/>
  <c r="BB539" i="4"/>
  <c r="AX539" i="4"/>
  <c r="AU539" i="4"/>
  <c r="AT539" i="4"/>
  <c r="AP539" i="4"/>
  <c r="AL539" i="4"/>
  <c r="AM539" i="4" s="1"/>
  <c r="AH539" i="4"/>
  <c r="AI539" i="4" s="1"/>
  <c r="AE539" i="4"/>
  <c r="AD539" i="4"/>
  <c r="AA539" i="4"/>
  <c r="Z539" i="4"/>
  <c r="V539" i="4"/>
  <c r="S539" i="4"/>
  <c r="R539" i="4"/>
  <c r="N539" i="4"/>
  <c r="K539" i="4"/>
  <c r="BC539" i="4" s="1"/>
  <c r="BG538" i="4"/>
  <c r="BF538" i="4"/>
  <c r="BB538" i="4"/>
  <c r="BC538" i="4" s="1"/>
  <c r="AY538" i="4"/>
  <c r="AX538" i="4"/>
  <c r="AT538" i="4"/>
  <c r="AU538" i="4" s="1"/>
  <c r="AP538" i="4"/>
  <c r="AQ538" i="4" s="1"/>
  <c r="AL538" i="4"/>
  <c r="AI538" i="4"/>
  <c r="AH538" i="4"/>
  <c r="AD538" i="4"/>
  <c r="AE538" i="4" s="1"/>
  <c r="Z538" i="4"/>
  <c r="AA538" i="4" s="1"/>
  <c r="V538" i="4"/>
  <c r="W538" i="4" s="1"/>
  <c r="S538" i="4"/>
  <c r="R538" i="4"/>
  <c r="O538" i="4"/>
  <c r="N538" i="4"/>
  <c r="K538" i="4"/>
  <c r="BG537" i="4"/>
  <c r="BF537" i="4"/>
  <c r="BB537" i="4"/>
  <c r="BC537" i="4" s="1"/>
  <c r="AX537" i="4"/>
  <c r="AY537" i="4" s="1"/>
  <c r="AU537" i="4"/>
  <c r="AT537" i="4"/>
  <c r="AP537" i="4"/>
  <c r="AQ537" i="4" s="1"/>
  <c r="AL537" i="4"/>
  <c r="AI537" i="4"/>
  <c r="AH537" i="4"/>
  <c r="AD537" i="4"/>
  <c r="AE537" i="4" s="1"/>
  <c r="AA537" i="4"/>
  <c r="Z537" i="4"/>
  <c r="V537" i="4"/>
  <c r="W537" i="4" s="1"/>
  <c r="S537" i="4"/>
  <c r="R537" i="4"/>
  <c r="N537" i="4"/>
  <c r="O537" i="4" s="1"/>
  <c r="BH537" i="4" s="1"/>
  <c r="BI537" i="4" s="1"/>
  <c r="K537" i="4"/>
  <c r="AM537" i="4" s="1"/>
  <c r="BF536" i="4"/>
  <c r="BG536" i="4" s="1"/>
  <c r="BC536" i="4"/>
  <c r="BB536" i="4"/>
  <c r="AX536" i="4"/>
  <c r="AY536" i="4" s="1"/>
  <c r="AU536" i="4"/>
  <c r="AT536" i="4"/>
  <c r="AQ536" i="4"/>
  <c r="AP536" i="4"/>
  <c r="AL536" i="4"/>
  <c r="AH536" i="4"/>
  <c r="AD536" i="4"/>
  <c r="AA536" i="4"/>
  <c r="Z536" i="4"/>
  <c r="W536" i="4"/>
  <c r="V536" i="4"/>
  <c r="R536" i="4"/>
  <c r="S536" i="4" s="1"/>
  <c r="N536" i="4"/>
  <c r="O536" i="4" s="1"/>
  <c r="K536" i="4"/>
  <c r="AI536" i="4" s="1"/>
  <c r="BF535" i="4"/>
  <c r="BB535" i="4"/>
  <c r="AX535" i="4"/>
  <c r="AT535" i="4"/>
  <c r="AQ535" i="4"/>
  <c r="AP535" i="4"/>
  <c r="AL535" i="4"/>
  <c r="AH535" i="4"/>
  <c r="AD535" i="4"/>
  <c r="Z535" i="4"/>
  <c r="V535" i="4"/>
  <c r="R535" i="4"/>
  <c r="S535" i="4" s="1"/>
  <c r="N535" i="4"/>
  <c r="K535" i="4"/>
  <c r="AU535" i="4" s="1"/>
  <c r="BF534" i="4"/>
  <c r="BC534" i="4"/>
  <c r="BB534" i="4"/>
  <c r="AX534" i="4"/>
  <c r="AT534" i="4"/>
  <c r="AP534" i="4"/>
  <c r="AQ534" i="4" s="1"/>
  <c r="AL534" i="4"/>
  <c r="AM534" i="4" s="1"/>
  <c r="AI534" i="4"/>
  <c r="AH534" i="4"/>
  <c r="AD534" i="4"/>
  <c r="Z534" i="4"/>
  <c r="V534" i="4"/>
  <c r="R534" i="4"/>
  <c r="S534" i="4" s="1"/>
  <c r="O534" i="4"/>
  <c r="N534" i="4"/>
  <c r="K534" i="4"/>
  <c r="BG533" i="4"/>
  <c r="BF533" i="4"/>
  <c r="BB533" i="4"/>
  <c r="AY533" i="4"/>
  <c r="AX533" i="4"/>
  <c r="AT533" i="4"/>
  <c r="AP533" i="4"/>
  <c r="AM533" i="4"/>
  <c r="AL533" i="4"/>
  <c r="AH533" i="4"/>
  <c r="AI533" i="4" s="1"/>
  <c r="AE533" i="4"/>
  <c r="AD533" i="4"/>
  <c r="Z533" i="4"/>
  <c r="W533" i="4"/>
  <c r="V533" i="4"/>
  <c r="R533" i="4"/>
  <c r="O533" i="4"/>
  <c r="N533" i="4"/>
  <c r="K533" i="4"/>
  <c r="BG532" i="4"/>
  <c r="BF532" i="4"/>
  <c r="BB532" i="4"/>
  <c r="AX532" i="4"/>
  <c r="AU532" i="4"/>
  <c r="AT532" i="4"/>
  <c r="AP532" i="4"/>
  <c r="AM532" i="4"/>
  <c r="AL532" i="4"/>
  <c r="AH532" i="4"/>
  <c r="AI532" i="4" s="1"/>
  <c r="AD532" i="4"/>
  <c r="Z532" i="4"/>
  <c r="W532" i="4"/>
  <c r="V532" i="4"/>
  <c r="R532" i="4"/>
  <c r="N532" i="4"/>
  <c r="K532" i="4"/>
  <c r="BG531" i="4"/>
  <c r="BF531" i="4"/>
  <c r="BC531" i="4"/>
  <c r="BB531" i="4"/>
  <c r="AX531" i="4"/>
  <c r="AY531" i="4" s="1"/>
  <c r="AU531" i="4"/>
  <c r="AT531" i="4"/>
  <c r="AQ531" i="4"/>
  <c r="AP531" i="4"/>
  <c r="AL531" i="4"/>
  <c r="AI531" i="4"/>
  <c r="AH531" i="4"/>
  <c r="AE531" i="4"/>
  <c r="AD531" i="4"/>
  <c r="AA531" i="4"/>
  <c r="Z531" i="4"/>
  <c r="W531" i="4"/>
  <c r="V531" i="4"/>
  <c r="S531" i="4"/>
  <c r="R531" i="4"/>
  <c r="O531" i="4"/>
  <c r="N531" i="4"/>
  <c r="K531" i="4"/>
  <c r="BG530" i="4"/>
  <c r="BF530" i="4"/>
  <c r="BC530" i="4"/>
  <c r="BB530" i="4"/>
  <c r="AX530" i="4"/>
  <c r="AU530" i="4"/>
  <c r="AT530" i="4"/>
  <c r="AQ530" i="4"/>
  <c r="AP530" i="4"/>
  <c r="AM530" i="4"/>
  <c r="AL530" i="4"/>
  <c r="AH530" i="4"/>
  <c r="AI530" i="4" s="1"/>
  <c r="AD530" i="4"/>
  <c r="AE530" i="4" s="1"/>
  <c r="Z530" i="4"/>
  <c r="AA530" i="4" s="1"/>
  <c r="V530" i="4"/>
  <c r="R530" i="4"/>
  <c r="S530" i="4" s="1"/>
  <c r="O530" i="4"/>
  <c r="N530" i="4"/>
  <c r="K530" i="4"/>
  <c r="BF529" i="4"/>
  <c r="BB529" i="4"/>
  <c r="BC529" i="4" s="1"/>
  <c r="AY529" i="4"/>
  <c r="AX529" i="4"/>
  <c r="AT529" i="4"/>
  <c r="AU529" i="4" s="1"/>
  <c r="AQ529" i="4"/>
  <c r="AP529" i="4"/>
  <c r="AL529" i="4"/>
  <c r="AI529" i="4"/>
  <c r="AH529" i="4"/>
  <c r="AD529" i="4"/>
  <c r="Z529" i="4"/>
  <c r="AA529" i="4" s="1"/>
  <c r="W529" i="4"/>
  <c r="V529" i="4"/>
  <c r="R529" i="4"/>
  <c r="S529" i="4" s="1"/>
  <c r="N529" i="4"/>
  <c r="O529" i="4" s="1"/>
  <c r="K529" i="4"/>
  <c r="BG529" i="4" s="1"/>
  <c r="BF528" i="4"/>
  <c r="BB528" i="4"/>
  <c r="AY528" i="4"/>
  <c r="AX528" i="4"/>
  <c r="AT528" i="4"/>
  <c r="AP528" i="4"/>
  <c r="AL528" i="4"/>
  <c r="AH528" i="4"/>
  <c r="AD528" i="4"/>
  <c r="Z528" i="4"/>
  <c r="V528" i="4"/>
  <c r="R528" i="4"/>
  <c r="O528" i="4"/>
  <c r="N528" i="4"/>
  <c r="K528" i="4"/>
  <c r="BF527" i="4"/>
  <c r="BB527" i="4"/>
  <c r="AX527" i="4"/>
  <c r="AT527" i="4"/>
  <c r="AP527" i="4"/>
  <c r="AL527" i="4"/>
  <c r="AH527" i="4"/>
  <c r="AD527" i="4"/>
  <c r="Z527" i="4"/>
  <c r="V527" i="4"/>
  <c r="R527" i="4"/>
  <c r="N527" i="4"/>
  <c r="K527" i="4"/>
  <c r="BG526" i="4"/>
  <c r="BF526" i="4"/>
  <c r="BB526" i="4"/>
  <c r="AX526" i="4"/>
  <c r="AT526" i="4"/>
  <c r="AP526" i="4"/>
  <c r="AL526" i="4"/>
  <c r="AM526" i="4" s="1"/>
  <c r="AI526" i="4"/>
  <c r="AH526" i="4"/>
  <c r="AD526" i="4"/>
  <c r="AE526" i="4" s="1"/>
  <c r="Z526" i="4"/>
  <c r="W526" i="4"/>
  <c r="V526" i="4"/>
  <c r="R526" i="4"/>
  <c r="N526" i="4"/>
  <c r="K526" i="4"/>
  <c r="BG525" i="4"/>
  <c r="BF525" i="4"/>
  <c r="BC525" i="4"/>
  <c r="BB525" i="4"/>
  <c r="AX525" i="4"/>
  <c r="AU525" i="4"/>
  <c r="AT525" i="4"/>
  <c r="AP525" i="4"/>
  <c r="AM525" i="4"/>
  <c r="AL525" i="4"/>
  <c r="AH525" i="4"/>
  <c r="AI525" i="4" s="1"/>
  <c r="AD525" i="4"/>
  <c r="AE525" i="4" s="1"/>
  <c r="AA525" i="4"/>
  <c r="Z525" i="4"/>
  <c r="V525" i="4"/>
  <c r="S525" i="4"/>
  <c r="R525" i="4"/>
  <c r="N525" i="4"/>
  <c r="K525" i="4"/>
  <c r="BG524" i="4"/>
  <c r="BF524" i="4"/>
  <c r="BB524" i="4"/>
  <c r="BC524" i="4" s="1"/>
  <c r="AY524" i="4"/>
  <c r="AX524" i="4"/>
  <c r="AT524" i="4"/>
  <c r="AU524" i="4" s="1"/>
  <c r="AP524" i="4"/>
  <c r="AQ524" i="4" s="1"/>
  <c r="AL524" i="4"/>
  <c r="AH524" i="4"/>
  <c r="AI524" i="4" s="1"/>
  <c r="AD524" i="4"/>
  <c r="AE524" i="4" s="1"/>
  <c r="Z524" i="4"/>
  <c r="AA524" i="4" s="1"/>
  <c r="V524" i="4"/>
  <c r="W524" i="4" s="1"/>
  <c r="S524" i="4"/>
  <c r="R524" i="4"/>
  <c r="O524" i="4"/>
  <c r="N524" i="4"/>
  <c r="K524" i="4"/>
  <c r="BG523" i="4"/>
  <c r="BF523" i="4"/>
  <c r="BB523" i="4"/>
  <c r="BC523" i="4" s="1"/>
  <c r="AY523" i="4"/>
  <c r="AX523" i="4"/>
  <c r="AU523" i="4"/>
  <c r="AT523" i="4"/>
  <c r="AP523" i="4"/>
  <c r="AQ523" i="4" s="1"/>
  <c r="AL523" i="4"/>
  <c r="AI523" i="4"/>
  <c r="AH523" i="4"/>
  <c r="AD523" i="4"/>
  <c r="AE523" i="4" s="1"/>
  <c r="AA523" i="4"/>
  <c r="Z523" i="4"/>
  <c r="W523" i="4"/>
  <c r="V523" i="4"/>
  <c r="S523" i="4"/>
  <c r="R523" i="4"/>
  <c r="N523" i="4"/>
  <c r="O523" i="4" s="1"/>
  <c r="K523" i="4"/>
  <c r="AM523" i="4" s="1"/>
  <c r="BF522" i="4"/>
  <c r="BG522" i="4" s="1"/>
  <c r="BC522" i="4"/>
  <c r="BB522" i="4"/>
  <c r="AX522" i="4"/>
  <c r="AY522" i="4" s="1"/>
  <c r="AU522" i="4"/>
  <c r="AT522" i="4"/>
  <c r="AQ522" i="4"/>
  <c r="AP522" i="4"/>
  <c r="AL522" i="4"/>
  <c r="AH522" i="4"/>
  <c r="AD522" i="4"/>
  <c r="Z522" i="4"/>
  <c r="AA522" i="4" s="1"/>
  <c r="V522" i="4"/>
  <c r="W522" i="4" s="1"/>
  <c r="S522" i="4"/>
  <c r="R522" i="4"/>
  <c r="O522" i="4"/>
  <c r="N522" i="4"/>
  <c r="K522" i="4"/>
  <c r="AI522" i="4" s="1"/>
  <c r="BG521" i="4"/>
  <c r="BF521" i="4"/>
  <c r="BB521" i="4"/>
  <c r="AX521" i="4"/>
  <c r="AT521" i="4"/>
  <c r="AP521" i="4"/>
  <c r="AM521" i="4"/>
  <c r="AL521" i="4"/>
  <c r="AH521" i="4"/>
  <c r="AE521" i="4"/>
  <c r="AD521" i="4"/>
  <c r="Z521" i="4"/>
  <c r="V521" i="4"/>
  <c r="W521" i="4" s="1"/>
  <c r="R521" i="4"/>
  <c r="N521" i="4"/>
  <c r="K521" i="4"/>
  <c r="BF520" i="4"/>
  <c r="BB520" i="4"/>
  <c r="AX520" i="4"/>
  <c r="AT520" i="4"/>
  <c r="AQ520" i="4"/>
  <c r="AP520" i="4"/>
  <c r="AL520" i="4"/>
  <c r="AH520" i="4"/>
  <c r="AD520" i="4"/>
  <c r="Z520" i="4"/>
  <c r="V520" i="4"/>
  <c r="R520" i="4"/>
  <c r="O520" i="4"/>
  <c r="N520" i="4"/>
  <c r="K520" i="4"/>
  <c r="BF519" i="4"/>
  <c r="BB519" i="4"/>
  <c r="AX519" i="4"/>
  <c r="AT519" i="4"/>
  <c r="AP519" i="4"/>
  <c r="AL519" i="4"/>
  <c r="AH519" i="4"/>
  <c r="AE519" i="4"/>
  <c r="AD519" i="4"/>
  <c r="Z519" i="4"/>
  <c r="V519" i="4"/>
  <c r="R519" i="4"/>
  <c r="O519" i="4"/>
  <c r="N519" i="4"/>
  <c r="K519" i="4"/>
  <c r="BG518" i="4"/>
  <c r="BF518" i="4"/>
  <c r="BB518" i="4"/>
  <c r="AX518" i="4"/>
  <c r="AT518" i="4"/>
  <c r="AP518" i="4"/>
  <c r="AL518" i="4"/>
  <c r="AH518" i="4"/>
  <c r="AD518" i="4"/>
  <c r="Z518" i="4"/>
  <c r="V518" i="4"/>
  <c r="R518" i="4"/>
  <c r="N518" i="4"/>
  <c r="K518" i="4"/>
  <c r="BF517" i="4"/>
  <c r="BG517" i="4" s="1"/>
  <c r="BC517" i="4"/>
  <c r="BB517" i="4"/>
  <c r="AY517" i="4"/>
  <c r="AX517" i="4"/>
  <c r="AU517" i="4"/>
  <c r="AT517" i="4"/>
  <c r="AQ517" i="4"/>
  <c r="AP517" i="4"/>
  <c r="AL517" i="4"/>
  <c r="AI517" i="4"/>
  <c r="AH517" i="4"/>
  <c r="AD517" i="4"/>
  <c r="AE517" i="4" s="1"/>
  <c r="AA517" i="4"/>
  <c r="Z517" i="4"/>
  <c r="W517" i="4"/>
  <c r="V517" i="4"/>
  <c r="S517" i="4"/>
  <c r="R517" i="4"/>
  <c r="O517" i="4"/>
  <c r="N517" i="4"/>
  <c r="K517" i="4"/>
  <c r="AM517" i="4" s="1"/>
  <c r="BF516" i="4"/>
  <c r="BG516" i="4" s="1"/>
  <c r="BB516" i="4"/>
  <c r="BC516" i="4" s="1"/>
  <c r="AX516" i="4"/>
  <c r="AU516" i="4"/>
  <c r="AT516" i="4"/>
  <c r="AQ516" i="4"/>
  <c r="AP516" i="4"/>
  <c r="AM516" i="4"/>
  <c r="AL516" i="4"/>
  <c r="AH516" i="4"/>
  <c r="AI516" i="4" s="1"/>
  <c r="AE516" i="4"/>
  <c r="AD516" i="4"/>
  <c r="Z516" i="4"/>
  <c r="AA516" i="4" s="1"/>
  <c r="V516" i="4"/>
  <c r="S516" i="4"/>
  <c r="R516" i="4"/>
  <c r="N516" i="4"/>
  <c r="O516" i="4" s="1"/>
  <c r="K516" i="4"/>
  <c r="BF515" i="4"/>
  <c r="BB515" i="4"/>
  <c r="AX515" i="4"/>
  <c r="AT515" i="4"/>
  <c r="AP515" i="4"/>
  <c r="AM515" i="4"/>
  <c r="AL515" i="4"/>
  <c r="AH515" i="4"/>
  <c r="AD515" i="4"/>
  <c r="Z515" i="4"/>
  <c r="V515" i="4"/>
  <c r="R515" i="4"/>
  <c r="N515" i="4"/>
  <c r="K515" i="4"/>
  <c r="AI515" i="4" s="1"/>
  <c r="BF514" i="4"/>
  <c r="BB514" i="4"/>
  <c r="AY514" i="4"/>
  <c r="AX514" i="4"/>
  <c r="AT514" i="4"/>
  <c r="AP514" i="4"/>
  <c r="AL514" i="4"/>
  <c r="AH514" i="4"/>
  <c r="AD514" i="4"/>
  <c r="Z514" i="4"/>
  <c r="V514" i="4"/>
  <c r="R514" i="4"/>
  <c r="N514" i="4"/>
  <c r="K514" i="4"/>
  <c r="BF513" i="4"/>
  <c r="BB513" i="4"/>
  <c r="AX513" i="4"/>
  <c r="AT513" i="4"/>
  <c r="AP513" i="4"/>
  <c r="AL513" i="4"/>
  <c r="AH513" i="4"/>
  <c r="AD513" i="4"/>
  <c r="Z513" i="4"/>
  <c r="V513" i="4"/>
  <c r="R513" i="4"/>
  <c r="N513" i="4"/>
  <c r="K513" i="4"/>
  <c r="BG512" i="4"/>
  <c r="BF512" i="4"/>
  <c r="BB512" i="4"/>
  <c r="AX512" i="4"/>
  <c r="AT512" i="4"/>
  <c r="AP512" i="4"/>
  <c r="AL512" i="4"/>
  <c r="AM512" i="4" s="1"/>
  <c r="AI512" i="4"/>
  <c r="AH512" i="4"/>
  <c r="AD512" i="4"/>
  <c r="AE512" i="4" s="1"/>
  <c r="Z512" i="4"/>
  <c r="W512" i="4"/>
  <c r="V512" i="4"/>
  <c r="R512" i="4"/>
  <c r="N512" i="4"/>
  <c r="K512" i="4"/>
  <c r="AA512" i="4" s="1"/>
  <c r="BF511" i="4"/>
  <c r="BB511" i="4"/>
  <c r="AX511" i="4"/>
  <c r="AU511" i="4"/>
  <c r="AT511" i="4"/>
  <c r="AP511" i="4"/>
  <c r="AL511" i="4"/>
  <c r="AH511" i="4"/>
  <c r="AE511" i="4"/>
  <c r="AD511" i="4"/>
  <c r="Z511" i="4"/>
  <c r="V511" i="4"/>
  <c r="R511" i="4"/>
  <c r="N511" i="4"/>
  <c r="K511" i="4"/>
  <c r="AA511" i="4" s="1"/>
  <c r="BF510" i="4"/>
  <c r="BG510" i="4" s="1"/>
  <c r="BC510" i="4"/>
  <c r="BB510" i="4"/>
  <c r="AY510" i="4"/>
  <c r="AX510" i="4"/>
  <c r="AT510" i="4"/>
  <c r="AU510" i="4" s="1"/>
  <c r="AP510" i="4"/>
  <c r="AQ510" i="4" s="1"/>
  <c r="AL510" i="4"/>
  <c r="AI510" i="4"/>
  <c r="AH510" i="4"/>
  <c r="AE510" i="4"/>
  <c r="AD510" i="4"/>
  <c r="Z510" i="4"/>
  <c r="AA510" i="4" s="1"/>
  <c r="V510" i="4"/>
  <c r="W510" i="4" s="1"/>
  <c r="S510" i="4"/>
  <c r="R510" i="4"/>
  <c r="O510" i="4"/>
  <c r="N510" i="4"/>
  <c r="K510" i="4"/>
  <c r="BF509" i="4"/>
  <c r="BG509" i="4" s="1"/>
  <c r="BB509" i="4"/>
  <c r="BC509" i="4" s="1"/>
  <c r="AX509" i="4"/>
  <c r="AY509" i="4" s="1"/>
  <c r="AU509" i="4"/>
  <c r="AT509" i="4"/>
  <c r="AP509" i="4"/>
  <c r="AQ509" i="4" s="1"/>
  <c r="AL509" i="4"/>
  <c r="AH509" i="4"/>
  <c r="AI509" i="4" s="1"/>
  <c r="AD509" i="4"/>
  <c r="AE509" i="4" s="1"/>
  <c r="Z509" i="4"/>
  <c r="AA509" i="4" s="1"/>
  <c r="V509" i="4"/>
  <c r="W509" i="4" s="1"/>
  <c r="R509" i="4"/>
  <c r="S509" i="4" s="1"/>
  <c r="N509" i="4"/>
  <c r="O509" i="4" s="1"/>
  <c r="BH509" i="4" s="1"/>
  <c r="BI509" i="4" s="1"/>
  <c r="K509" i="4"/>
  <c r="AM509" i="4" s="1"/>
  <c r="BG508" i="4"/>
  <c r="BF508" i="4"/>
  <c r="BB508" i="4"/>
  <c r="AX508" i="4"/>
  <c r="AU508" i="4"/>
  <c r="AT508" i="4"/>
  <c r="AP508" i="4"/>
  <c r="AL508" i="4"/>
  <c r="AH508" i="4"/>
  <c r="AD508" i="4"/>
  <c r="Z508" i="4"/>
  <c r="V508" i="4"/>
  <c r="S508" i="4"/>
  <c r="R508" i="4"/>
  <c r="N508" i="4"/>
  <c r="K508" i="4"/>
  <c r="BF507" i="4"/>
  <c r="BB507" i="4"/>
  <c r="AY507" i="4"/>
  <c r="AX507" i="4"/>
  <c r="AT507" i="4"/>
  <c r="AP507" i="4"/>
  <c r="AL507" i="4"/>
  <c r="AH507" i="4"/>
  <c r="AD507" i="4"/>
  <c r="Z507" i="4"/>
  <c r="V507" i="4"/>
  <c r="S507" i="4"/>
  <c r="R507" i="4"/>
  <c r="N507" i="4"/>
  <c r="K507" i="4"/>
  <c r="BF506" i="4"/>
  <c r="BC506" i="4"/>
  <c r="BB506" i="4"/>
  <c r="AX506" i="4"/>
  <c r="AT506" i="4"/>
  <c r="AP506" i="4"/>
  <c r="AQ506" i="4" s="1"/>
  <c r="AL506" i="4"/>
  <c r="AM506" i="4" s="1"/>
  <c r="AH506" i="4"/>
  <c r="AI506" i="4" s="1"/>
  <c r="AD506" i="4"/>
  <c r="Z506" i="4"/>
  <c r="V506" i="4"/>
  <c r="R506" i="4"/>
  <c r="S506" i="4" s="1"/>
  <c r="N506" i="4"/>
  <c r="K506" i="4"/>
  <c r="BG505" i="4"/>
  <c r="BF505" i="4"/>
  <c r="BB505" i="4"/>
  <c r="AY505" i="4"/>
  <c r="AX505" i="4"/>
  <c r="AT505" i="4"/>
  <c r="AQ505" i="4"/>
  <c r="AP505" i="4"/>
  <c r="AL505" i="4"/>
  <c r="AH505" i="4"/>
  <c r="AE505" i="4"/>
  <c r="AD505" i="4"/>
  <c r="Z505" i="4"/>
  <c r="W505" i="4"/>
  <c r="V505" i="4"/>
  <c r="R505" i="4"/>
  <c r="N505" i="4"/>
  <c r="O505" i="4" s="1"/>
  <c r="K505" i="4"/>
  <c r="BF504" i="4"/>
  <c r="BB504" i="4"/>
  <c r="AY504" i="4"/>
  <c r="AX504" i="4"/>
  <c r="AT504" i="4"/>
  <c r="AP504" i="4"/>
  <c r="AL504" i="4"/>
  <c r="AH504" i="4"/>
  <c r="AI504" i="4" s="1"/>
  <c r="AD504" i="4"/>
  <c r="Z504" i="4"/>
  <c r="W504" i="4"/>
  <c r="V504" i="4"/>
  <c r="R504" i="4"/>
  <c r="N504" i="4"/>
  <c r="K504" i="4"/>
  <c r="AM504" i="4" s="1"/>
  <c r="BF503" i="4"/>
  <c r="BG503" i="4" s="1"/>
  <c r="BC503" i="4"/>
  <c r="BB503" i="4"/>
  <c r="AX503" i="4"/>
  <c r="AY503" i="4" s="1"/>
  <c r="AU503" i="4"/>
  <c r="AT503" i="4"/>
  <c r="AQ503" i="4"/>
  <c r="AP503" i="4"/>
  <c r="AL503" i="4"/>
  <c r="AH503" i="4"/>
  <c r="AI503" i="4" s="1"/>
  <c r="AE503" i="4"/>
  <c r="AD503" i="4"/>
  <c r="AA503" i="4"/>
  <c r="Z503" i="4"/>
  <c r="W503" i="4"/>
  <c r="V503" i="4"/>
  <c r="S503" i="4"/>
  <c r="R503" i="4"/>
  <c r="O503" i="4"/>
  <c r="N503" i="4"/>
  <c r="K503" i="4"/>
  <c r="BG502" i="4"/>
  <c r="BF502" i="4"/>
  <c r="BB502" i="4"/>
  <c r="BC502" i="4" s="1"/>
  <c r="AX502" i="4"/>
  <c r="AU502" i="4"/>
  <c r="AT502" i="4"/>
  <c r="AQ502" i="4"/>
  <c r="AP502" i="4"/>
  <c r="AM502" i="4"/>
  <c r="AL502" i="4"/>
  <c r="AH502" i="4"/>
  <c r="AI502" i="4" s="1"/>
  <c r="AE502" i="4"/>
  <c r="AD502" i="4"/>
  <c r="AA502" i="4"/>
  <c r="Z502" i="4"/>
  <c r="V502" i="4"/>
  <c r="S502" i="4"/>
  <c r="R502" i="4"/>
  <c r="O502" i="4"/>
  <c r="N502" i="4"/>
  <c r="K502" i="4"/>
  <c r="BF501" i="4"/>
  <c r="BB501" i="4"/>
  <c r="AX501" i="4"/>
  <c r="AT501" i="4"/>
  <c r="AP501" i="4"/>
  <c r="AL501" i="4"/>
  <c r="AH501" i="4"/>
  <c r="AD501" i="4"/>
  <c r="AA501" i="4"/>
  <c r="Z501" i="4"/>
  <c r="W501" i="4"/>
  <c r="V501" i="4"/>
  <c r="R501" i="4"/>
  <c r="N501" i="4"/>
  <c r="K501" i="4"/>
  <c r="AU501" i="4" s="1"/>
  <c r="BF500" i="4"/>
  <c r="BB500" i="4"/>
  <c r="AX500" i="4"/>
  <c r="AT500" i="4"/>
  <c r="AP500" i="4"/>
  <c r="AL500" i="4"/>
  <c r="AI500" i="4"/>
  <c r="AH500" i="4"/>
  <c r="AD500" i="4"/>
  <c r="AA500" i="4"/>
  <c r="Z500" i="4"/>
  <c r="V500" i="4"/>
  <c r="R500" i="4"/>
  <c r="N500" i="4"/>
  <c r="K500" i="4"/>
  <c r="BF499" i="4"/>
  <c r="BB499" i="4"/>
  <c r="AX499" i="4"/>
  <c r="AT499" i="4"/>
  <c r="AP499" i="4"/>
  <c r="AM499" i="4"/>
  <c r="AL499" i="4"/>
  <c r="AH499" i="4"/>
  <c r="AE499" i="4"/>
  <c r="AD499" i="4"/>
  <c r="Z499" i="4"/>
  <c r="V499" i="4"/>
  <c r="R499" i="4"/>
  <c r="N499" i="4"/>
  <c r="K499" i="4"/>
  <c r="BG498" i="4"/>
  <c r="BF498" i="4"/>
  <c r="BB498" i="4"/>
  <c r="AX498" i="4"/>
  <c r="AT498" i="4"/>
  <c r="AU498" i="4" s="1"/>
  <c r="AP498" i="4"/>
  <c r="AL498" i="4"/>
  <c r="AM498" i="4" s="1"/>
  <c r="AI498" i="4"/>
  <c r="AH498" i="4"/>
  <c r="AD498" i="4"/>
  <c r="AE498" i="4" s="1"/>
  <c r="AA498" i="4"/>
  <c r="Z498" i="4"/>
  <c r="W498" i="4"/>
  <c r="V498" i="4"/>
  <c r="R498" i="4"/>
  <c r="S498" i="4" s="1"/>
  <c r="N498" i="4"/>
  <c r="K498" i="4"/>
  <c r="BF497" i="4"/>
  <c r="BB497" i="4"/>
  <c r="AX497" i="4"/>
  <c r="AT497" i="4"/>
  <c r="AP497" i="4"/>
  <c r="AL497" i="4"/>
  <c r="AH497" i="4"/>
  <c r="AD497" i="4"/>
  <c r="Z497" i="4"/>
  <c r="V497" i="4"/>
  <c r="R497" i="4"/>
  <c r="O497" i="4"/>
  <c r="N497" i="4"/>
  <c r="K497" i="4"/>
  <c r="BF496" i="4"/>
  <c r="BG496" i="4" s="1"/>
  <c r="BB496" i="4"/>
  <c r="BC496" i="4" s="1"/>
  <c r="AY496" i="4"/>
  <c r="AX496" i="4"/>
  <c r="AT496" i="4"/>
  <c r="AU496" i="4" s="1"/>
  <c r="AP496" i="4"/>
  <c r="AQ496" i="4" s="1"/>
  <c r="AL496" i="4"/>
  <c r="AI496" i="4"/>
  <c r="AH496" i="4"/>
  <c r="AE496" i="4"/>
  <c r="AD496" i="4"/>
  <c r="Z496" i="4"/>
  <c r="AA496" i="4" s="1"/>
  <c r="W496" i="4"/>
  <c r="V496" i="4"/>
  <c r="S496" i="4"/>
  <c r="R496" i="4"/>
  <c r="O496" i="4"/>
  <c r="N496" i="4"/>
  <c r="K496" i="4"/>
  <c r="AM496" i="4" s="1"/>
  <c r="BG495" i="4"/>
  <c r="BF495" i="4"/>
  <c r="BB495" i="4"/>
  <c r="BC495" i="4" s="1"/>
  <c r="AX495" i="4"/>
  <c r="AY495" i="4" s="1"/>
  <c r="AU495" i="4"/>
  <c r="AT495" i="4"/>
  <c r="AP495" i="4"/>
  <c r="AQ495" i="4" s="1"/>
  <c r="AL495" i="4"/>
  <c r="AH495" i="4"/>
  <c r="AI495" i="4" s="1"/>
  <c r="AD495" i="4"/>
  <c r="AE495" i="4" s="1"/>
  <c r="Z495" i="4"/>
  <c r="AA495" i="4" s="1"/>
  <c r="V495" i="4"/>
  <c r="W495" i="4" s="1"/>
  <c r="R495" i="4"/>
  <c r="S495" i="4" s="1"/>
  <c r="N495" i="4"/>
  <c r="O495" i="4" s="1"/>
  <c r="K495" i="4"/>
  <c r="AM495" i="4" s="1"/>
  <c r="BF494" i="4"/>
  <c r="BG494" i="4" s="1"/>
  <c r="BC494" i="4"/>
  <c r="BB494" i="4"/>
  <c r="AY494" i="4"/>
  <c r="AX494" i="4"/>
  <c r="AU494" i="4"/>
  <c r="AT494" i="4"/>
  <c r="AP494" i="4"/>
  <c r="AL494" i="4"/>
  <c r="AH494" i="4"/>
  <c r="AE494" i="4"/>
  <c r="AD494" i="4"/>
  <c r="Z494" i="4"/>
  <c r="AA494" i="4" s="1"/>
  <c r="W494" i="4"/>
  <c r="V494" i="4"/>
  <c r="R494" i="4"/>
  <c r="S494" i="4" s="1"/>
  <c r="O494" i="4"/>
  <c r="N494" i="4"/>
  <c r="K494" i="4"/>
  <c r="BF493" i="4"/>
  <c r="BB493" i="4"/>
  <c r="AY493" i="4"/>
  <c r="AX493" i="4"/>
  <c r="AT493" i="4"/>
  <c r="AP493" i="4"/>
  <c r="AM493" i="4"/>
  <c r="AL493" i="4"/>
  <c r="AH493" i="4"/>
  <c r="AD493" i="4"/>
  <c r="Z493" i="4"/>
  <c r="W493" i="4"/>
  <c r="V493" i="4"/>
  <c r="S493" i="4"/>
  <c r="R493" i="4"/>
  <c r="N493" i="4"/>
  <c r="K493" i="4"/>
  <c r="AA493" i="4" s="1"/>
  <c r="BF492" i="4"/>
  <c r="BB492" i="4"/>
  <c r="AY492" i="4"/>
  <c r="AX492" i="4"/>
  <c r="AU492" i="4"/>
  <c r="AT492" i="4"/>
  <c r="AP492" i="4"/>
  <c r="AQ492" i="4" s="1"/>
  <c r="AL492" i="4"/>
  <c r="AI492" i="4"/>
  <c r="AH492" i="4"/>
  <c r="AD492" i="4"/>
  <c r="Z492" i="4"/>
  <c r="V492" i="4"/>
  <c r="R492" i="4"/>
  <c r="S492" i="4" s="1"/>
  <c r="N492" i="4"/>
  <c r="O492" i="4" s="1"/>
  <c r="K492" i="4"/>
  <c r="AM492" i="4" s="1"/>
  <c r="BF491" i="4"/>
  <c r="BB491" i="4"/>
  <c r="AX491" i="4"/>
  <c r="AT491" i="4"/>
  <c r="AP491" i="4"/>
  <c r="AL491" i="4"/>
  <c r="AH491" i="4"/>
  <c r="AD491" i="4"/>
  <c r="Z491" i="4"/>
  <c r="V491" i="4"/>
  <c r="R491" i="4"/>
  <c r="N491" i="4"/>
  <c r="K491" i="4"/>
  <c r="BG490" i="4"/>
  <c r="BF490" i="4"/>
  <c r="BB490" i="4"/>
  <c r="AY490" i="4"/>
  <c r="AX490" i="4"/>
  <c r="AT490" i="4"/>
  <c r="AP490" i="4"/>
  <c r="AQ490" i="4" s="1"/>
  <c r="AM490" i="4"/>
  <c r="AL490" i="4"/>
  <c r="AI490" i="4"/>
  <c r="AH490" i="4"/>
  <c r="AD490" i="4"/>
  <c r="AE490" i="4" s="1"/>
  <c r="Z490" i="4"/>
  <c r="V490" i="4"/>
  <c r="W490" i="4" s="1"/>
  <c r="R490" i="4"/>
  <c r="N490" i="4"/>
  <c r="K490" i="4"/>
  <c r="BF489" i="4"/>
  <c r="BG489" i="4" s="1"/>
  <c r="BC489" i="4"/>
  <c r="BB489" i="4"/>
  <c r="AY489" i="4"/>
  <c r="AX489" i="4"/>
  <c r="AT489" i="4"/>
  <c r="AQ489" i="4"/>
  <c r="AP489" i="4"/>
  <c r="AL489" i="4"/>
  <c r="AH489" i="4"/>
  <c r="AI489" i="4" s="1"/>
  <c r="AD489" i="4"/>
  <c r="AE489" i="4" s="1"/>
  <c r="AA489" i="4"/>
  <c r="Z489" i="4"/>
  <c r="V489" i="4"/>
  <c r="W489" i="4" s="1"/>
  <c r="R489" i="4"/>
  <c r="O489" i="4"/>
  <c r="N489" i="4"/>
  <c r="K489" i="4"/>
  <c r="AM489" i="4" s="1"/>
  <c r="BG488" i="4"/>
  <c r="BF488" i="4"/>
  <c r="BB488" i="4"/>
  <c r="BC488" i="4" s="1"/>
  <c r="AX488" i="4"/>
  <c r="AT488" i="4"/>
  <c r="AU488" i="4" s="1"/>
  <c r="AQ488" i="4"/>
  <c r="AP488" i="4"/>
  <c r="AM488" i="4"/>
  <c r="AL488" i="4"/>
  <c r="AH488" i="4"/>
  <c r="AI488" i="4" s="1"/>
  <c r="AD488" i="4"/>
  <c r="AE488" i="4" s="1"/>
  <c r="AA488" i="4"/>
  <c r="Z488" i="4"/>
  <c r="V488" i="4"/>
  <c r="R488" i="4"/>
  <c r="S488" i="4" s="1"/>
  <c r="O488" i="4"/>
  <c r="N488" i="4"/>
  <c r="K488" i="4"/>
  <c r="BF487" i="4"/>
  <c r="BB487" i="4"/>
  <c r="AX487" i="4"/>
  <c r="AT487" i="4"/>
  <c r="AP487" i="4"/>
  <c r="AL487" i="4"/>
  <c r="AH487" i="4"/>
  <c r="AE487" i="4"/>
  <c r="AD487" i="4"/>
  <c r="Z487" i="4"/>
  <c r="W487" i="4"/>
  <c r="V487" i="4"/>
  <c r="R487" i="4"/>
  <c r="N487" i="4"/>
  <c r="K487" i="4"/>
  <c r="BF486" i="4"/>
  <c r="BB486" i="4"/>
  <c r="AX486" i="4"/>
  <c r="AT486" i="4"/>
  <c r="AP486" i="4"/>
  <c r="AL486" i="4"/>
  <c r="AH486" i="4"/>
  <c r="AD486" i="4"/>
  <c r="Z486" i="4"/>
  <c r="V486" i="4"/>
  <c r="R486" i="4"/>
  <c r="N486" i="4"/>
  <c r="K486" i="4"/>
  <c r="BF485" i="4"/>
  <c r="BC485" i="4"/>
  <c r="BB485" i="4"/>
  <c r="AX485" i="4"/>
  <c r="AT485" i="4"/>
  <c r="AP485" i="4"/>
  <c r="AL485" i="4"/>
  <c r="AI485" i="4"/>
  <c r="AH485" i="4"/>
  <c r="AD485" i="4"/>
  <c r="AA485" i="4"/>
  <c r="Z485" i="4"/>
  <c r="W485" i="4"/>
  <c r="V485" i="4"/>
  <c r="R485" i="4"/>
  <c r="N485" i="4"/>
  <c r="K485" i="4"/>
  <c r="BF484" i="4"/>
  <c r="BB484" i="4"/>
  <c r="AX484" i="4"/>
  <c r="AT484" i="4"/>
  <c r="AP484" i="4"/>
  <c r="AL484" i="4"/>
  <c r="AH484" i="4"/>
  <c r="AD484" i="4"/>
  <c r="AA484" i="4"/>
  <c r="Z484" i="4"/>
  <c r="V484" i="4"/>
  <c r="R484" i="4"/>
  <c r="N484" i="4"/>
  <c r="K484" i="4"/>
  <c r="AE484" i="4" s="1"/>
  <c r="BF483" i="4"/>
  <c r="BC483" i="4"/>
  <c r="BB483" i="4"/>
  <c r="AX483" i="4"/>
  <c r="AT483" i="4"/>
  <c r="AP483" i="4"/>
  <c r="AL483" i="4"/>
  <c r="AH483" i="4"/>
  <c r="AD483" i="4"/>
  <c r="Z483" i="4"/>
  <c r="V483" i="4"/>
  <c r="R483" i="4"/>
  <c r="N483" i="4"/>
  <c r="K483" i="4"/>
  <c r="BF482" i="4"/>
  <c r="BG482" i="4" s="1"/>
  <c r="BB482" i="4"/>
  <c r="BC482" i="4" s="1"/>
  <c r="AX482" i="4"/>
  <c r="AY482" i="4" s="1"/>
  <c r="AT482" i="4"/>
  <c r="AU482" i="4" s="1"/>
  <c r="AP482" i="4"/>
  <c r="AQ482" i="4" s="1"/>
  <c r="AL482" i="4"/>
  <c r="AI482" i="4"/>
  <c r="AH482" i="4"/>
  <c r="AE482" i="4"/>
  <c r="AD482" i="4"/>
  <c r="AA482" i="4"/>
  <c r="Z482" i="4"/>
  <c r="V482" i="4"/>
  <c r="W482" i="4" s="1"/>
  <c r="S482" i="4"/>
  <c r="R482" i="4"/>
  <c r="O482" i="4"/>
  <c r="N482" i="4"/>
  <c r="K482" i="4"/>
  <c r="BF481" i="4"/>
  <c r="BG481" i="4" s="1"/>
  <c r="BB481" i="4"/>
  <c r="BC481" i="4" s="1"/>
  <c r="AX481" i="4"/>
  <c r="AY481" i="4" s="1"/>
  <c r="AT481" i="4"/>
  <c r="AU481" i="4" s="1"/>
  <c r="AP481" i="4"/>
  <c r="AQ481" i="4" s="1"/>
  <c r="AL481" i="4"/>
  <c r="AI481" i="4"/>
  <c r="AH481" i="4"/>
  <c r="AD481" i="4"/>
  <c r="AE481" i="4" s="1"/>
  <c r="Z481" i="4"/>
  <c r="AA481" i="4" s="1"/>
  <c r="V481" i="4"/>
  <c r="W481" i="4" s="1"/>
  <c r="R481" i="4"/>
  <c r="S481" i="4" s="1"/>
  <c r="N481" i="4"/>
  <c r="O481" i="4" s="1"/>
  <c r="K481" i="4"/>
  <c r="AM481" i="4" s="1"/>
  <c r="BG480" i="4"/>
  <c r="BF480" i="4"/>
  <c r="BB480" i="4"/>
  <c r="AX480" i="4"/>
  <c r="AT480" i="4"/>
  <c r="AQ480" i="4"/>
  <c r="AP480" i="4"/>
  <c r="AL480" i="4"/>
  <c r="AH480" i="4"/>
  <c r="AD480" i="4"/>
  <c r="Z480" i="4"/>
  <c r="V480" i="4"/>
  <c r="R480" i="4"/>
  <c r="O480" i="4"/>
  <c r="N480" i="4"/>
  <c r="K480" i="4"/>
  <c r="BG479" i="4"/>
  <c r="BF479" i="4"/>
  <c r="BB479" i="4"/>
  <c r="BC479" i="4" s="1"/>
  <c r="AY479" i="4"/>
  <c r="AX479" i="4"/>
  <c r="AU479" i="4"/>
  <c r="AT479" i="4"/>
  <c r="AQ479" i="4"/>
  <c r="AP479" i="4"/>
  <c r="AL479" i="4"/>
  <c r="AI479" i="4"/>
  <c r="AH479" i="4"/>
  <c r="AE479" i="4"/>
  <c r="AD479" i="4"/>
  <c r="Z479" i="4"/>
  <c r="AA479" i="4" s="1"/>
  <c r="V479" i="4"/>
  <c r="W479" i="4" s="1"/>
  <c r="S479" i="4"/>
  <c r="R479" i="4"/>
  <c r="O479" i="4"/>
  <c r="N479" i="4"/>
  <c r="K479" i="4"/>
  <c r="AM479" i="4" s="1"/>
  <c r="BF478" i="4"/>
  <c r="BB478" i="4"/>
  <c r="AX478" i="4"/>
  <c r="AT478" i="4"/>
  <c r="AP478" i="4"/>
  <c r="AL478" i="4"/>
  <c r="AH478" i="4"/>
  <c r="AD478" i="4"/>
  <c r="Z478" i="4"/>
  <c r="V478" i="4"/>
  <c r="R478" i="4"/>
  <c r="N478" i="4"/>
  <c r="K478" i="4"/>
  <c r="BG477" i="4"/>
  <c r="BF477" i="4"/>
  <c r="BB477" i="4"/>
  <c r="AY477" i="4"/>
  <c r="AX477" i="4"/>
  <c r="AT477" i="4"/>
  <c r="AP477" i="4"/>
  <c r="AM477" i="4"/>
  <c r="AL477" i="4"/>
  <c r="AH477" i="4"/>
  <c r="AE477" i="4"/>
  <c r="AD477" i="4"/>
  <c r="Z477" i="4"/>
  <c r="W477" i="4"/>
  <c r="V477" i="4"/>
  <c r="R477" i="4"/>
  <c r="N477" i="4"/>
  <c r="K477" i="4"/>
  <c r="BF476" i="4"/>
  <c r="BB476" i="4"/>
  <c r="AX476" i="4"/>
  <c r="AU476" i="4"/>
  <c r="AT476" i="4"/>
  <c r="AP476" i="4"/>
  <c r="AL476" i="4"/>
  <c r="AI476" i="4"/>
  <c r="AH476" i="4"/>
  <c r="AE476" i="4"/>
  <c r="AD476" i="4"/>
  <c r="Z476" i="4"/>
  <c r="W476" i="4"/>
  <c r="V476" i="4"/>
  <c r="R476" i="4"/>
  <c r="N476" i="4"/>
  <c r="K476" i="4"/>
  <c r="BF475" i="4"/>
  <c r="BC475" i="4"/>
  <c r="BB475" i="4"/>
  <c r="AY475" i="4"/>
  <c r="AX475" i="4"/>
  <c r="AT475" i="4"/>
  <c r="AP475" i="4"/>
  <c r="AL475" i="4"/>
  <c r="AH475" i="4"/>
  <c r="AD475" i="4"/>
  <c r="AA475" i="4"/>
  <c r="Z475" i="4"/>
  <c r="W475" i="4"/>
  <c r="V475" i="4"/>
  <c r="S475" i="4"/>
  <c r="R475" i="4"/>
  <c r="N475" i="4"/>
  <c r="K475" i="4"/>
  <c r="AM475" i="4" s="1"/>
  <c r="BF474" i="4"/>
  <c r="BG474" i="4" s="1"/>
  <c r="BB474" i="4"/>
  <c r="BC474" i="4" s="1"/>
  <c r="AX474" i="4"/>
  <c r="AU474" i="4"/>
  <c r="AT474" i="4"/>
  <c r="AQ474" i="4"/>
  <c r="AP474" i="4"/>
  <c r="AM474" i="4"/>
  <c r="AL474" i="4"/>
  <c r="AI474" i="4"/>
  <c r="AH474" i="4"/>
  <c r="AD474" i="4"/>
  <c r="AE474" i="4" s="1"/>
  <c r="Z474" i="4"/>
  <c r="AA474" i="4" s="1"/>
  <c r="V474" i="4"/>
  <c r="R474" i="4"/>
  <c r="S474" i="4" s="1"/>
  <c r="N474" i="4"/>
  <c r="O474" i="4" s="1"/>
  <c r="K474" i="4"/>
  <c r="BG473" i="4"/>
  <c r="BF473" i="4"/>
  <c r="BC473" i="4"/>
  <c r="BB473" i="4"/>
  <c r="AX473" i="4"/>
  <c r="AT473" i="4"/>
  <c r="AU473" i="4" s="1"/>
  <c r="AP473" i="4"/>
  <c r="AQ473" i="4" s="1"/>
  <c r="AL473" i="4"/>
  <c r="AI473" i="4"/>
  <c r="AH473" i="4"/>
  <c r="AD473" i="4"/>
  <c r="AE473" i="4" s="1"/>
  <c r="AA473" i="4"/>
  <c r="Z473" i="4"/>
  <c r="V473" i="4"/>
  <c r="S473" i="4"/>
  <c r="R473" i="4"/>
  <c r="O473" i="4"/>
  <c r="N473" i="4"/>
  <c r="K473" i="4"/>
  <c r="AY473" i="4" s="1"/>
  <c r="BF472" i="4"/>
  <c r="BB472" i="4"/>
  <c r="AY472" i="4"/>
  <c r="AX472" i="4"/>
  <c r="AT472" i="4"/>
  <c r="AP472" i="4"/>
  <c r="AL472" i="4"/>
  <c r="AM472" i="4" s="1"/>
  <c r="AI472" i="4"/>
  <c r="AH472" i="4"/>
  <c r="AE472" i="4"/>
  <c r="AD472" i="4"/>
  <c r="AA472" i="4"/>
  <c r="Z472" i="4"/>
  <c r="W472" i="4"/>
  <c r="V472" i="4"/>
  <c r="R472" i="4"/>
  <c r="N472" i="4"/>
  <c r="K472" i="4"/>
  <c r="BC472" i="4" s="1"/>
  <c r="BG471" i="4"/>
  <c r="BF471" i="4"/>
  <c r="BC471" i="4"/>
  <c r="BB471" i="4"/>
  <c r="AY471" i="4"/>
  <c r="AX471" i="4"/>
  <c r="AU471" i="4"/>
  <c r="AT471" i="4"/>
  <c r="AQ471" i="4"/>
  <c r="AP471" i="4"/>
  <c r="AL471" i="4"/>
  <c r="AI471" i="4"/>
  <c r="AH471" i="4"/>
  <c r="AE471" i="4"/>
  <c r="AD471" i="4"/>
  <c r="AA471" i="4"/>
  <c r="Z471" i="4"/>
  <c r="W471" i="4"/>
  <c r="V471" i="4"/>
  <c r="S471" i="4"/>
  <c r="R471" i="4"/>
  <c r="O471" i="4"/>
  <c r="N471" i="4"/>
  <c r="K471" i="4"/>
  <c r="AM471" i="4" s="1"/>
  <c r="BG470" i="4"/>
  <c r="BF470" i="4"/>
  <c r="BB470" i="4"/>
  <c r="AX470" i="4"/>
  <c r="AU470" i="4"/>
  <c r="AT470" i="4"/>
  <c r="AP470" i="4"/>
  <c r="AM470" i="4"/>
  <c r="AL470" i="4"/>
  <c r="AI470" i="4"/>
  <c r="AH470" i="4"/>
  <c r="AD470" i="4"/>
  <c r="AE470" i="4" s="1"/>
  <c r="AA470" i="4"/>
  <c r="Z470" i="4"/>
  <c r="W470" i="4"/>
  <c r="V470" i="4"/>
  <c r="R470" i="4"/>
  <c r="S470" i="4" s="1"/>
  <c r="N470" i="4"/>
  <c r="K470" i="4"/>
  <c r="BG469" i="4"/>
  <c r="BF469" i="4"/>
  <c r="BB469" i="4"/>
  <c r="AY469" i="4"/>
  <c r="AX469" i="4"/>
  <c r="AU469" i="4"/>
  <c r="AT469" i="4"/>
  <c r="AP469" i="4"/>
  <c r="AL469" i="4"/>
  <c r="AH469" i="4"/>
  <c r="AI469" i="4" s="1"/>
  <c r="AE469" i="4"/>
  <c r="AD469" i="4"/>
  <c r="Z469" i="4"/>
  <c r="V469" i="4"/>
  <c r="S469" i="4"/>
  <c r="R469" i="4"/>
  <c r="N469" i="4"/>
  <c r="K469" i="4"/>
  <c r="BG468" i="4"/>
  <c r="BF468" i="4"/>
  <c r="BB468" i="4"/>
  <c r="BC468" i="4" s="1"/>
  <c r="AX468" i="4"/>
  <c r="AY468" i="4" s="1"/>
  <c r="AT468" i="4"/>
  <c r="AU468" i="4" s="1"/>
  <c r="AP468" i="4"/>
  <c r="AQ468" i="4" s="1"/>
  <c r="AL468" i="4"/>
  <c r="AH468" i="4"/>
  <c r="AI468" i="4" s="1"/>
  <c r="AE468" i="4"/>
  <c r="AD468" i="4"/>
  <c r="Z468" i="4"/>
  <c r="AA468" i="4" s="1"/>
  <c r="W468" i="4"/>
  <c r="V468" i="4"/>
  <c r="S468" i="4"/>
  <c r="R468" i="4"/>
  <c r="O468" i="4"/>
  <c r="N468" i="4"/>
  <c r="K468" i="4"/>
  <c r="BG467" i="4"/>
  <c r="BF467" i="4"/>
  <c r="BB467" i="4"/>
  <c r="BC467" i="4" s="1"/>
  <c r="AY467" i="4"/>
  <c r="AX467" i="4"/>
  <c r="AT467" i="4"/>
  <c r="AU467" i="4" s="1"/>
  <c r="AP467" i="4"/>
  <c r="AQ467" i="4" s="1"/>
  <c r="AL467" i="4"/>
  <c r="AI467" i="4"/>
  <c r="AH467" i="4"/>
  <c r="AE467" i="4"/>
  <c r="AD467" i="4"/>
  <c r="Z467" i="4"/>
  <c r="AA467" i="4" s="1"/>
  <c r="V467" i="4"/>
  <c r="W467" i="4" s="1"/>
  <c r="R467" i="4"/>
  <c r="S467" i="4" s="1"/>
  <c r="N467" i="4"/>
  <c r="O467" i="4" s="1"/>
  <c r="K467" i="4"/>
  <c r="AM467" i="4" s="1"/>
  <c r="BG466" i="4"/>
  <c r="BF466" i="4"/>
  <c r="BC466" i="4"/>
  <c r="BB466" i="4"/>
  <c r="AX466" i="4"/>
  <c r="AT466" i="4"/>
  <c r="AQ466" i="4"/>
  <c r="AP466" i="4"/>
  <c r="AL466" i="4"/>
  <c r="AH466" i="4"/>
  <c r="AD466" i="4"/>
  <c r="AA466" i="4"/>
  <c r="Z466" i="4"/>
  <c r="W466" i="4"/>
  <c r="V466" i="4"/>
  <c r="R466" i="4"/>
  <c r="N466" i="4"/>
  <c r="K466" i="4"/>
  <c r="BF465" i="4"/>
  <c r="BB465" i="4"/>
  <c r="AX465" i="4"/>
  <c r="AT465" i="4"/>
  <c r="AP465" i="4"/>
  <c r="AM465" i="4"/>
  <c r="AL465" i="4"/>
  <c r="AH465" i="4"/>
  <c r="AD465" i="4"/>
  <c r="Z465" i="4"/>
  <c r="V465" i="4"/>
  <c r="S465" i="4"/>
  <c r="R465" i="4"/>
  <c r="O465" i="4"/>
  <c r="N465" i="4"/>
  <c r="K465" i="4"/>
  <c r="AQ465" i="4" s="1"/>
  <c r="BF464" i="4"/>
  <c r="BC464" i="4"/>
  <c r="BB464" i="4"/>
  <c r="AX464" i="4"/>
  <c r="AT464" i="4"/>
  <c r="AP464" i="4"/>
  <c r="AM464" i="4"/>
  <c r="AL464" i="4"/>
  <c r="AH464" i="4"/>
  <c r="AD464" i="4"/>
  <c r="Z464" i="4"/>
  <c r="V464" i="4"/>
  <c r="R464" i="4"/>
  <c r="N464" i="4"/>
  <c r="K464" i="4"/>
  <c r="BG463" i="4"/>
  <c r="BF463" i="4"/>
  <c r="BC463" i="4"/>
  <c r="BB463" i="4"/>
  <c r="AX463" i="4"/>
  <c r="AT463" i="4"/>
  <c r="AU463" i="4" s="1"/>
  <c r="AP463" i="4"/>
  <c r="AL463" i="4"/>
  <c r="AI463" i="4"/>
  <c r="AH463" i="4"/>
  <c r="AE463" i="4"/>
  <c r="AD463" i="4"/>
  <c r="AA463" i="4"/>
  <c r="Z463" i="4"/>
  <c r="V463" i="4"/>
  <c r="S463" i="4"/>
  <c r="R463" i="4"/>
  <c r="N463" i="4"/>
  <c r="K463" i="4"/>
  <c r="AQ463" i="4" s="1"/>
  <c r="BF462" i="4"/>
  <c r="BB462" i="4"/>
  <c r="AY462" i="4"/>
  <c r="AX462" i="4"/>
  <c r="AT462" i="4"/>
  <c r="AP462" i="4"/>
  <c r="AL462" i="4"/>
  <c r="AH462" i="4"/>
  <c r="AE462" i="4"/>
  <c r="AD462" i="4"/>
  <c r="Z462" i="4"/>
  <c r="V462" i="4"/>
  <c r="R462" i="4"/>
  <c r="N462" i="4"/>
  <c r="K462" i="4"/>
  <c r="BF461" i="4"/>
  <c r="BC461" i="4"/>
  <c r="BB461" i="4"/>
  <c r="AY461" i="4"/>
  <c r="AX461" i="4"/>
  <c r="AT461" i="4"/>
  <c r="AP461" i="4"/>
  <c r="AM461" i="4"/>
  <c r="AL461" i="4"/>
  <c r="AI461" i="4"/>
  <c r="AH461" i="4"/>
  <c r="AD461" i="4"/>
  <c r="Z461" i="4"/>
  <c r="V461" i="4"/>
  <c r="W461" i="4" s="1"/>
  <c r="R461" i="4"/>
  <c r="O461" i="4"/>
  <c r="N461" i="4"/>
  <c r="K461" i="4"/>
  <c r="BF460" i="4"/>
  <c r="BB460" i="4"/>
  <c r="AX460" i="4"/>
  <c r="AU460" i="4"/>
  <c r="AT460" i="4"/>
  <c r="AP460" i="4"/>
  <c r="AM460" i="4"/>
  <c r="AL460" i="4"/>
  <c r="AH460" i="4"/>
  <c r="AI460" i="4" s="1"/>
  <c r="AE460" i="4"/>
  <c r="AD460" i="4"/>
  <c r="Z460" i="4"/>
  <c r="V460" i="4"/>
  <c r="R460" i="4"/>
  <c r="O460" i="4"/>
  <c r="N460" i="4"/>
  <c r="K460" i="4"/>
  <c r="S460" i="4" s="1"/>
  <c r="BF459" i="4"/>
  <c r="BB459" i="4"/>
  <c r="BC459" i="4" s="1"/>
  <c r="AX459" i="4"/>
  <c r="AU459" i="4"/>
  <c r="AT459" i="4"/>
  <c r="AQ459" i="4"/>
  <c r="AP459" i="4"/>
  <c r="AL459" i="4"/>
  <c r="AH459" i="4"/>
  <c r="AD459" i="4"/>
  <c r="Z459" i="4"/>
  <c r="V459" i="4"/>
  <c r="R459" i="4"/>
  <c r="S459" i="4" s="1"/>
  <c r="O459" i="4"/>
  <c r="N459" i="4"/>
  <c r="K459" i="4"/>
  <c r="BF458" i="4"/>
  <c r="BB458" i="4"/>
  <c r="AX458" i="4"/>
  <c r="AT458" i="4"/>
  <c r="AP458" i="4"/>
  <c r="AL458" i="4"/>
  <c r="AI458" i="4"/>
  <c r="AH458" i="4"/>
  <c r="AD458" i="4"/>
  <c r="Z458" i="4"/>
  <c r="W458" i="4"/>
  <c r="V458" i="4"/>
  <c r="R458" i="4"/>
  <c r="N458" i="4"/>
  <c r="K458" i="4"/>
  <c r="BF457" i="4"/>
  <c r="BG457" i="4" s="1"/>
  <c r="BC457" i="4"/>
  <c r="BB457" i="4"/>
  <c r="AY457" i="4"/>
  <c r="AX457" i="4"/>
  <c r="AU457" i="4"/>
  <c r="AT457" i="4"/>
  <c r="AQ457" i="4"/>
  <c r="AP457" i="4"/>
  <c r="AL457" i="4"/>
  <c r="AI457" i="4"/>
  <c r="AH457" i="4"/>
  <c r="AD457" i="4"/>
  <c r="AE457" i="4" s="1"/>
  <c r="AA457" i="4"/>
  <c r="Z457" i="4"/>
  <c r="W457" i="4"/>
  <c r="V457" i="4"/>
  <c r="S457" i="4"/>
  <c r="R457" i="4"/>
  <c r="O457" i="4"/>
  <c r="N457" i="4"/>
  <c r="K457" i="4"/>
  <c r="AM457" i="4" s="1"/>
  <c r="BF456" i="4"/>
  <c r="BB456" i="4"/>
  <c r="AX456" i="4"/>
  <c r="AT456" i="4"/>
  <c r="AP456" i="4"/>
  <c r="AL456" i="4"/>
  <c r="AH456" i="4"/>
  <c r="AD456" i="4"/>
  <c r="Z456" i="4"/>
  <c r="V456" i="4"/>
  <c r="R456" i="4"/>
  <c r="N456" i="4"/>
  <c r="K456" i="4"/>
  <c r="BF455" i="4"/>
  <c r="BG455" i="4" s="1"/>
  <c r="BB455" i="4"/>
  <c r="BC455" i="4" s="1"/>
  <c r="AX455" i="4"/>
  <c r="AY455" i="4" s="1"/>
  <c r="AU455" i="4"/>
  <c r="AT455" i="4"/>
  <c r="AQ455" i="4"/>
  <c r="AP455" i="4"/>
  <c r="AL455" i="4"/>
  <c r="AH455" i="4"/>
  <c r="AI455" i="4" s="1"/>
  <c r="AD455" i="4"/>
  <c r="AE455" i="4" s="1"/>
  <c r="Z455" i="4"/>
  <c r="AA455" i="4" s="1"/>
  <c r="V455" i="4"/>
  <c r="W455" i="4" s="1"/>
  <c r="S455" i="4"/>
  <c r="R455" i="4"/>
  <c r="O455" i="4"/>
  <c r="N455" i="4"/>
  <c r="K455" i="4"/>
  <c r="BG454" i="4"/>
  <c r="BF454" i="4"/>
  <c r="BB454" i="4"/>
  <c r="BC454" i="4" s="1"/>
  <c r="AY454" i="4"/>
  <c r="AX454" i="4"/>
  <c r="AT454" i="4"/>
  <c r="AU454" i="4" s="1"/>
  <c r="AP454" i="4"/>
  <c r="AQ454" i="4" s="1"/>
  <c r="AL454" i="4"/>
  <c r="AI454" i="4"/>
  <c r="AH454" i="4"/>
  <c r="AD454" i="4"/>
  <c r="AE454" i="4" s="1"/>
  <c r="AA454" i="4"/>
  <c r="Z454" i="4"/>
  <c r="V454" i="4"/>
  <c r="W454" i="4" s="1"/>
  <c r="R454" i="4"/>
  <c r="S454" i="4" s="1"/>
  <c r="O454" i="4"/>
  <c r="N454" i="4"/>
  <c r="K454" i="4"/>
  <c r="BF453" i="4"/>
  <c r="BG453" i="4" s="1"/>
  <c r="BB453" i="4"/>
  <c r="BC453" i="4" s="1"/>
  <c r="AX453" i="4"/>
  <c r="AY453" i="4" s="1"/>
  <c r="AT453" i="4"/>
  <c r="AU453" i="4" s="1"/>
  <c r="AQ453" i="4"/>
  <c r="AP453" i="4"/>
  <c r="AL453" i="4"/>
  <c r="AH453" i="4"/>
  <c r="AI453" i="4" s="1"/>
  <c r="AE453" i="4"/>
  <c r="AD453" i="4"/>
  <c r="Z453" i="4"/>
  <c r="AA453" i="4" s="1"/>
  <c r="W453" i="4"/>
  <c r="V453" i="4"/>
  <c r="R453" i="4"/>
  <c r="S453" i="4" s="1"/>
  <c r="N453" i="4"/>
  <c r="O453" i="4" s="1"/>
  <c r="BH453" i="4" s="1"/>
  <c r="BI453" i="4" s="1"/>
  <c r="K453" i="4"/>
  <c r="AM453" i="4" s="1"/>
  <c r="BF452" i="4"/>
  <c r="BB452" i="4"/>
  <c r="AX452" i="4"/>
  <c r="AT452" i="4"/>
  <c r="AQ452" i="4"/>
  <c r="AP452" i="4"/>
  <c r="AL452" i="4"/>
  <c r="AI452" i="4"/>
  <c r="AH452" i="4"/>
  <c r="AD452" i="4"/>
  <c r="AE452" i="4" s="1"/>
  <c r="Z452" i="4"/>
  <c r="V452" i="4"/>
  <c r="W452" i="4" s="1"/>
  <c r="R452" i="4"/>
  <c r="O452" i="4"/>
  <c r="N452" i="4"/>
  <c r="K452" i="4"/>
  <c r="BG451" i="4"/>
  <c r="BF451" i="4"/>
  <c r="BB451" i="4"/>
  <c r="BC451" i="4" s="1"/>
  <c r="AX451" i="4"/>
  <c r="AU451" i="4"/>
  <c r="AT451" i="4"/>
  <c r="AP451" i="4"/>
  <c r="AM451" i="4"/>
  <c r="AL451" i="4"/>
  <c r="AH451" i="4"/>
  <c r="AD451" i="4"/>
  <c r="AE451" i="4" s="1"/>
  <c r="Z451" i="4"/>
  <c r="AA451" i="4" s="1"/>
  <c r="W451" i="4"/>
  <c r="V451" i="4"/>
  <c r="R451" i="4"/>
  <c r="S451" i="4" s="1"/>
  <c r="O451" i="4"/>
  <c r="N451" i="4"/>
  <c r="K451" i="4"/>
  <c r="BG450" i="4"/>
  <c r="BF450" i="4"/>
  <c r="BC450" i="4"/>
  <c r="BB450" i="4"/>
  <c r="AX450" i="4"/>
  <c r="AT450" i="4"/>
  <c r="AP450" i="4"/>
  <c r="AM450" i="4"/>
  <c r="AL450" i="4"/>
  <c r="AH450" i="4"/>
  <c r="AD450" i="4"/>
  <c r="AA450" i="4"/>
  <c r="Z450" i="4"/>
  <c r="V450" i="4"/>
  <c r="R450" i="4"/>
  <c r="N450" i="4"/>
  <c r="K450" i="4"/>
  <c r="AE450" i="4" s="1"/>
  <c r="BF449" i="4"/>
  <c r="BC449" i="4"/>
  <c r="BB449" i="4"/>
  <c r="AY449" i="4"/>
  <c r="AX449" i="4"/>
  <c r="AT449" i="4"/>
  <c r="AU449" i="4" s="1"/>
  <c r="AQ449" i="4"/>
  <c r="AP449" i="4"/>
  <c r="AM449" i="4"/>
  <c r="AL449" i="4"/>
  <c r="AI449" i="4"/>
  <c r="AH449" i="4"/>
  <c r="AD449" i="4"/>
  <c r="Z449" i="4"/>
  <c r="AA449" i="4" s="1"/>
  <c r="W449" i="4"/>
  <c r="V449" i="4"/>
  <c r="S449" i="4"/>
  <c r="R449" i="4"/>
  <c r="O449" i="4"/>
  <c r="N449" i="4"/>
  <c r="K449" i="4"/>
  <c r="BF448" i="4"/>
  <c r="BB448" i="4"/>
  <c r="AX448" i="4"/>
  <c r="AT448" i="4"/>
  <c r="AP448" i="4"/>
  <c r="AL448" i="4"/>
  <c r="AH448" i="4"/>
  <c r="AD448" i="4"/>
  <c r="Z448" i="4"/>
  <c r="V448" i="4"/>
  <c r="R448" i="4"/>
  <c r="N448" i="4"/>
  <c r="K448" i="4"/>
  <c r="BF447" i="4"/>
  <c r="BB447" i="4"/>
  <c r="AX447" i="4"/>
  <c r="AU447" i="4"/>
  <c r="AT447" i="4"/>
  <c r="AQ447" i="4"/>
  <c r="AP447" i="4"/>
  <c r="AL447" i="4"/>
  <c r="AI447" i="4"/>
  <c r="AH447" i="4"/>
  <c r="AD447" i="4"/>
  <c r="AE447" i="4" s="1"/>
  <c r="Z447" i="4"/>
  <c r="V447" i="4"/>
  <c r="S447" i="4"/>
  <c r="R447" i="4"/>
  <c r="N447" i="4"/>
  <c r="K447" i="4"/>
  <c r="BF446" i="4"/>
  <c r="BC446" i="4"/>
  <c r="BB446" i="4"/>
  <c r="AY446" i="4"/>
  <c r="AX446" i="4"/>
  <c r="AT446" i="4"/>
  <c r="AP446" i="4"/>
  <c r="AM446" i="4"/>
  <c r="AL446" i="4"/>
  <c r="AH446" i="4"/>
  <c r="AE446" i="4"/>
  <c r="AD446" i="4"/>
  <c r="Z446" i="4"/>
  <c r="W446" i="4"/>
  <c r="V446" i="4"/>
  <c r="R446" i="4"/>
  <c r="N446" i="4"/>
  <c r="O446" i="4" s="1"/>
  <c r="K446" i="4"/>
  <c r="BF445" i="4"/>
  <c r="BB445" i="4"/>
  <c r="AX445" i="4"/>
  <c r="AT445" i="4"/>
  <c r="AP445" i="4"/>
  <c r="AL445" i="4"/>
  <c r="AH445" i="4"/>
  <c r="AD445" i="4"/>
  <c r="Z445" i="4"/>
  <c r="V445" i="4"/>
  <c r="R445" i="4"/>
  <c r="N445" i="4"/>
  <c r="K445" i="4"/>
  <c r="BG444" i="4"/>
  <c r="BF444" i="4"/>
  <c r="BB444" i="4"/>
  <c r="BC444" i="4" s="1"/>
  <c r="AY444" i="4"/>
  <c r="AX444" i="4"/>
  <c r="AT444" i="4"/>
  <c r="AU444" i="4" s="1"/>
  <c r="AQ444" i="4"/>
  <c r="AP444" i="4"/>
  <c r="AL444" i="4"/>
  <c r="AH444" i="4"/>
  <c r="AI444" i="4" s="1"/>
  <c r="AE444" i="4"/>
  <c r="AD444" i="4"/>
  <c r="Z444" i="4"/>
  <c r="AA444" i="4" s="1"/>
  <c r="W444" i="4"/>
  <c r="V444" i="4"/>
  <c r="S444" i="4"/>
  <c r="R444" i="4"/>
  <c r="O444" i="4"/>
  <c r="N444" i="4"/>
  <c r="K444" i="4"/>
  <c r="AM444" i="4" s="1"/>
  <c r="BF443" i="4"/>
  <c r="BB443" i="4"/>
  <c r="AY443" i="4"/>
  <c r="AX443" i="4"/>
  <c r="AT443" i="4"/>
  <c r="AP443" i="4"/>
  <c r="AQ443" i="4" s="1"/>
  <c r="AL443" i="4"/>
  <c r="AH443" i="4"/>
  <c r="AD443" i="4"/>
  <c r="Z443" i="4"/>
  <c r="V443" i="4"/>
  <c r="R443" i="4"/>
  <c r="N443" i="4"/>
  <c r="K443" i="4"/>
  <c r="BF442" i="4"/>
  <c r="BB442" i="4"/>
  <c r="AX442" i="4"/>
  <c r="AT442" i="4"/>
  <c r="AQ442" i="4"/>
  <c r="AP442" i="4"/>
  <c r="AM442" i="4"/>
  <c r="AL442" i="4"/>
  <c r="AH442" i="4"/>
  <c r="AD442" i="4"/>
  <c r="Z442" i="4"/>
  <c r="V442" i="4"/>
  <c r="R442" i="4"/>
  <c r="N442" i="4"/>
  <c r="K442" i="4"/>
  <c r="BF441" i="4"/>
  <c r="BB441" i="4"/>
  <c r="AX441" i="4"/>
  <c r="AU441" i="4"/>
  <c r="AT441" i="4"/>
  <c r="AP441" i="4"/>
  <c r="AL441" i="4"/>
  <c r="AH441" i="4"/>
  <c r="AD441" i="4"/>
  <c r="Z441" i="4"/>
  <c r="V441" i="4"/>
  <c r="S441" i="4"/>
  <c r="R441" i="4"/>
  <c r="N441" i="4"/>
  <c r="K441" i="4"/>
  <c r="BF440" i="4"/>
  <c r="BG440" i="4" s="1"/>
  <c r="BC440" i="4"/>
  <c r="BB440" i="4"/>
  <c r="AX440" i="4"/>
  <c r="AU440" i="4"/>
  <c r="AT440" i="4"/>
  <c r="AQ440" i="4"/>
  <c r="AP440" i="4"/>
  <c r="AL440" i="4"/>
  <c r="AI440" i="4"/>
  <c r="AH440" i="4"/>
  <c r="AE440" i="4"/>
  <c r="AD440" i="4"/>
  <c r="AA440" i="4"/>
  <c r="Z440" i="4"/>
  <c r="V440" i="4"/>
  <c r="S440" i="4"/>
  <c r="R440" i="4"/>
  <c r="O440" i="4"/>
  <c r="N440" i="4"/>
  <c r="K440" i="4"/>
  <c r="BF439" i="4"/>
  <c r="BG439" i="4" s="1"/>
  <c r="BB439" i="4"/>
  <c r="BC439" i="4" s="1"/>
  <c r="AX439" i="4"/>
  <c r="AY439" i="4" s="1"/>
  <c r="AT439" i="4"/>
  <c r="AU439" i="4" s="1"/>
  <c r="AP439" i="4"/>
  <c r="AQ439" i="4" s="1"/>
  <c r="AL439" i="4"/>
  <c r="AH439" i="4"/>
  <c r="AI439" i="4" s="1"/>
  <c r="AE439" i="4"/>
  <c r="AD439" i="4"/>
  <c r="Z439" i="4"/>
  <c r="AA439" i="4" s="1"/>
  <c r="W439" i="4"/>
  <c r="V439" i="4"/>
  <c r="R439" i="4"/>
  <c r="S439" i="4" s="1"/>
  <c r="N439" i="4"/>
  <c r="O439" i="4" s="1"/>
  <c r="K439" i="4"/>
  <c r="AM439" i="4" s="1"/>
  <c r="BF438" i="4"/>
  <c r="BB438" i="4"/>
  <c r="AX438" i="4"/>
  <c r="AT438" i="4"/>
  <c r="AP438" i="4"/>
  <c r="AL438" i="4"/>
  <c r="AH438" i="4"/>
  <c r="AD438" i="4"/>
  <c r="Z438" i="4"/>
  <c r="V438" i="4"/>
  <c r="R438" i="4"/>
  <c r="N438" i="4"/>
  <c r="K438" i="4"/>
  <c r="BG438" i="4" s="1"/>
  <c r="BG437" i="4"/>
  <c r="BF437" i="4"/>
  <c r="BB437" i="4"/>
  <c r="BC437" i="4" s="1"/>
  <c r="AX437" i="4"/>
  <c r="AT437" i="4"/>
  <c r="AU437" i="4" s="1"/>
  <c r="AP437" i="4"/>
  <c r="AM437" i="4"/>
  <c r="AL437" i="4"/>
  <c r="AH437" i="4"/>
  <c r="AE437" i="4"/>
  <c r="AD437" i="4"/>
  <c r="Z437" i="4"/>
  <c r="AA437" i="4" s="1"/>
  <c r="W437" i="4"/>
  <c r="V437" i="4"/>
  <c r="R437" i="4"/>
  <c r="S437" i="4" s="1"/>
  <c r="O437" i="4"/>
  <c r="N437" i="4"/>
  <c r="K437" i="4"/>
  <c r="AY437" i="4" s="1"/>
  <c r="BF436" i="4"/>
  <c r="BB436" i="4"/>
  <c r="AX436" i="4"/>
  <c r="AT436" i="4"/>
  <c r="AP436" i="4"/>
  <c r="AL436" i="4"/>
  <c r="AH436" i="4"/>
  <c r="AD436" i="4"/>
  <c r="AA436" i="4"/>
  <c r="Z436" i="4"/>
  <c r="V436" i="4"/>
  <c r="S436" i="4"/>
  <c r="R436" i="4"/>
  <c r="N436" i="4"/>
  <c r="K436" i="4"/>
  <c r="BF435" i="4"/>
  <c r="BC435" i="4"/>
  <c r="BB435" i="4"/>
  <c r="AX435" i="4"/>
  <c r="AY435" i="4" s="1"/>
  <c r="AT435" i="4"/>
  <c r="AU435" i="4" s="1"/>
  <c r="AQ435" i="4"/>
  <c r="AP435" i="4"/>
  <c r="AL435" i="4"/>
  <c r="AM435" i="4" s="1"/>
  <c r="AI435" i="4"/>
  <c r="AH435" i="4"/>
  <c r="AD435" i="4"/>
  <c r="AA435" i="4"/>
  <c r="Z435" i="4"/>
  <c r="W435" i="4"/>
  <c r="V435" i="4"/>
  <c r="S435" i="4"/>
  <c r="R435" i="4"/>
  <c r="N435" i="4"/>
  <c r="O435" i="4" s="1"/>
  <c r="K435" i="4"/>
  <c r="BF434" i="4"/>
  <c r="BB434" i="4"/>
  <c r="AX434" i="4"/>
  <c r="AT434" i="4"/>
  <c r="AP434" i="4"/>
  <c r="AL434" i="4"/>
  <c r="AH434" i="4"/>
  <c r="AD434" i="4"/>
  <c r="Z434" i="4"/>
  <c r="V434" i="4"/>
  <c r="R434" i="4"/>
  <c r="N434" i="4"/>
  <c r="K434" i="4"/>
  <c r="BG433" i="4"/>
  <c r="BF433" i="4"/>
  <c r="BB433" i="4"/>
  <c r="AX433" i="4"/>
  <c r="AT433" i="4"/>
  <c r="AQ433" i="4"/>
  <c r="AP433" i="4"/>
  <c r="AL433" i="4"/>
  <c r="AI433" i="4"/>
  <c r="AH433" i="4"/>
  <c r="AD433" i="4"/>
  <c r="AE433" i="4" s="1"/>
  <c r="Z433" i="4"/>
  <c r="V433" i="4"/>
  <c r="R433" i="4"/>
  <c r="N433" i="4"/>
  <c r="K433" i="4"/>
  <c r="BG432" i="4"/>
  <c r="BF432" i="4"/>
  <c r="BB432" i="4"/>
  <c r="AX432" i="4"/>
  <c r="AT432" i="4"/>
  <c r="AQ432" i="4"/>
  <c r="AP432" i="4"/>
  <c r="AM432" i="4"/>
  <c r="AL432" i="4"/>
  <c r="AH432" i="4"/>
  <c r="AE432" i="4"/>
  <c r="AD432" i="4"/>
  <c r="AA432" i="4"/>
  <c r="Z432" i="4"/>
  <c r="V432" i="4"/>
  <c r="R432" i="4"/>
  <c r="N432" i="4"/>
  <c r="K432" i="4"/>
  <c r="BF431" i="4"/>
  <c r="BB431" i="4"/>
  <c r="AX431" i="4"/>
  <c r="AU431" i="4"/>
  <c r="AT431" i="4"/>
  <c r="AP431" i="4"/>
  <c r="AM431" i="4"/>
  <c r="AL431" i="4"/>
  <c r="AH431" i="4"/>
  <c r="AD431" i="4"/>
  <c r="AA431" i="4"/>
  <c r="Z431" i="4"/>
  <c r="V431" i="4"/>
  <c r="R431" i="4"/>
  <c r="N431" i="4"/>
  <c r="K431" i="4"/>
  <c r="BG430" i="4"/>
  <c r="BF430" i="4"/>
  <c r="BB430" i="4"/>
  <c r="BC430" i="4" s="1"/>
  <c r="AY430" i="4"/>
  <c r="AX430" i="4"/>
  <c r="AU430" i="4"/>
  <c r="AT430" i="4"/>
  <c r="AQ430" i="4"/>
  <c r="AP430" i="4"/>
  <c r="AL430" i="4"/>
  <c r="AI430" i="4"/>
  <c r="AH430" i="4"/>
  <c r="AD430" i="4"/>
  <c r="AE430" i="4" s="1"/>
  <c r="BH430" i="4" s="1"/>
  <c r="BI430" i="4" s="1"/>
  <c r="Z430" i="4"/>
  <c r="AA430" i="4" s="1"/>
  <c r="W430" i="4"/>
  <c r="V430" i="4"/>
  <c r="S430" i="4"/>
  <c r="R430" i="4"/>
  <c r="O430" i="4"/>
  <c r="N430" i="4"/>
  <c r="K430" i="4"/>
  <c r="AM430" i="4" s="1"/>
  <c r="BF429" i="4"/>
  <c r="BC429" i="4"/>
  <c r="BB429" i="4"/>
  <c r="AX429" i="4"/>
  <c r="AT429" i="4"/>
  <c r="AQ429" i="4"/>
  <c r="AP429" i="4"/>
  <c r="AL429" i="4"/>
  <c r="AH429" i="4"/>
  <c r="AD429" i="4"/>
  <c r="Z429" i="4"/>
  <c r="V429" i="4"/>
  <c r="R429" i="4"/>
  <c r="N429" i="4"/>
  <c r="K429" i="4"/>
  <c r="AY429" i="4" s="1"/>
  <c r="BF428" i="4"/>
  <c r="BB428" i="4"/>
  <c r="AX428" i="4"/>
  <c r="AT428" i="4"/>
  <c r="AQ428" i="4"/>
  <c r="AP428" i="4"/>
  <c r="AL428" i="4"/>
  <c r="AH428" i="4"/>
  <c r="AD428" i="4"/>
  <c r="Z428" i="4"/>
  <c r="V428" i="4"/>
  <c r="R428" i="4"/>
  <c r="N428" i="4"/>
  <c r="K428" i="4"/>
  <c r="BF427" i="4"/>
  <c r="BB427" i="4"/>
  <c r="AX427" i="4"/>
  <c r="AT427" i="4"/>
  <c r="AP427" i="4"/>
  <c r="AL427" i="4"/>
  <c r="AI427" i="4"/>
  <c r="AH427" i="4"/>
  <c r="AD427" i="4"/>
  <c r="Z427" i="4"/>
  <c r="W427" i="4"/>
  <c r="V427" i="4"/>
  <c r="R427" i="4"/>
  <c r="N427" i="4"/>
  <c r="K427" i="4"/>
  <c r="BF426" i="4"/>
  <c r="BB426" i="4"/>
  <c r="AX426" i="4"/>
  <c r="AT426" i="4"/>
  <c r="AP426" i="4"/>
  <c r="AL426" i="4"/>
  <c r="AH426" i="4"/>
  <c r="AD426" i="4"/>
  <c r="Z426" i="4"/>
  <c r="V426" i="4"/>
  <c r="R426" i="4"/>
  <c r="N426" i="4"/>
  <c r="K426" i="4"/>
  <c r="BF425" i="4"/>
  <c r="BG425" i="4" s="1"/>
  <c r="BC425" i="4"/>
  <c r="BB425" i="4"/>
  <c r="AX425" i="4"/>
  <c r="AY425" i="4" s="1"/>
  <c r="AU425" i="4"/>
  <c r="AT425" i="4"/>
  <c r="AQ425" i="4"/>
  <c r="AP425" i="4"/>
  <c r="AL425" i="4"/>
  <c r="AH425" i="4"/>
  <c r="AI425" i="4" s="1"/>
  <c r="AE425" i="4"/>
  <c r="AD425" i="4"/>
  <c r="AA425" i="4"/>
  <c r="Z425" i="4"/>
  <c r="W425" i="4"/>
  <c r="BH425" i="4" s="1"/>
  <c r="BI425" i="4" s="1"/>
  <c r="V425" i="4"/>
  <c r="R425" i="4"/>
  <c r="S425" i="4" s="1"/>
  <c r="N425" i="4"/>
  <c r="O425" i="4" s="1"/>
  <c r="K425" i="4"/>
  <c r="AM425" i="4" s="1"/>
  <c r="BF424" i="4"/>
  <c r="BB424" i="4"/>
  <c r="AX424" i="4"/>
  <c r="AT424" i="4"/>
  <c r="AQ424" i="4"/>
  <c r="AP424" i="4"/>
  <c r="AL424" i="4"/>
  <c r="AH424" i="4"/>
  <c r="AE424" i="4"/>
  <c r="AD424" i="4"/>
  <c r="Z424" i="4"/>
  <c r="W424" i="4"/>
  <c r="V424" i="4"/>
  <c r="R424" i="4"/>
  <c r="N424" i="4"/>
  <c r="K424" i="4"/>
  <c r="BF423" i="4"/>
  <c r="BG423" i="4" s="1"/>
  <c r="BC423" i="4"/>
  <c r="BB423" i="4"/>
  <c r="AX423" i="4"/>
  <c r="AU423" i="4"/>
  <c r="AT423" i="4"/>
  <c r="AP423" i="4"/>
  <c r="AM423" i="4"/>
  <c r="AL423" i="4"/>
  <c r="AH423" i="4"/>
  <c r="AD423" i="4"/>
  <c r="AE423" i="4" s="1"/>
  <c r="AA423" i="4"/>
  <c r="Z423" i="4"/>
  <c r="W423" i="4"/>
  <c r="V423" i="4"/>
  <c r="S423" i="4"/>
  <c r="R423" i="4"/>
  <c r="O423" i="4"/>
  <c r="N423" i="4"/>
  <c r="K423" i="4"/>
  <c r="AY423" i="4" s="1"/>
  <c r="BF422" i="4"/>
  <c r="BB422" i="4"/>
  <c r="AX422" i="4"/>
  <c r="AU422" i="4"/>
  <c r="AT422" i="4"/>
  <c r="AQ422" i="4"/>
  <c r="AP422" i="4"/>
  <c r="AM422" i="4"/>
  <c r="AL422" i="4"/>
  <c r="AH422" i="4"/>
  <c r="AD422" i="4"/>
  <c r="AA422" i="4"/>
  <c r="Z422" i="4"/>
  <c r="W422" i="4"/>
  <c r="V422" i="4"/>
  <c r="R422" i="4"/>
  <c r="O422" i="4"/>
  <c r="N422" i="4"/>
  <c r="K422" i="4"/>
  <c r="BF421" i="4"/>
  <c r="BB421" i="4"/>
  <c r="BC421" i="4" s="1"/>
  <c r="AX421" i="4"/>
  <c r="AY421" i="4" s="1"/>
  <c r="AT421" i="4"/>
  <c r="AU421" i="4" s="1"/>
  <c r="AQ421" i="4"/>
  <c r="AP421" i="4"/>
  <c r="AL421" i="4"/>
  <c r="AM421" i="4" s="1"/>
  <c r="AI421" i="4"/>
  <c r="AH421" i="4"/>
  <c r="AD421" i="4"/>
  <c r="Z421" i="4"/>
  <c r="AA421" i="4" s="1"/>
  <c r="W421" i="4"/>
  <c r="V421" i="4"/>
  <c r="R421" i="4"/>
  <c r="S421" i="4" s="1"/>
  <c r="O421" i="4"/>
  <c r="N421" i="4"/>
  <c r="K421" i="4"/>
  <c r="BF420" i="4"/>
  <c r="BB420" i="4"/>
  <c r="AX420" i="4"/>
  <c r="AT420" i="4"/>
  <c r="AP420" i="4"/>
  <c r="AM420" i="4"/>
  <c r="AL420" i="4"/>
  <c r="AH420" i="4"/>
  <c r="AE420" i="4"/>
  <c r="AD420" i="4"/>
  <c r="Z420" i="4"/>
  <c r="W420" i="4"/>
  <c r="V420" i="4"/>
  <c r="R420" i="4"/>
  <c r="N420" i="4"/>
  <c r="K420" i="4"/>
  <c r="BF419" i="4"/>
  <c r="BB419" i="4"/>
  <c r="AX419" i="4"/>
  <c r="AU419" i="4"/>
  <c r="AT419" i="4"/>
  <c r="AQ419" i="4"/>
  <c r="AP419" i="4"/>
  <c r="AL419" i="4"/>
  <c r="AM419" i="4" s="1"/>
  <c r="AH419" i="4"/>
  <c r="AE419" i="4"/>
  <c r="AD419" i="4"/>
  <c r="Z419" i="4"/>
  <c r="V419" i="4"/>
  <c r="R419" i="4"/>
  <c r="S419" i="4" s="1"/>
  <c r="N419" i="4"/>
  <c r="O419" i="4" s="1"/>
  <c r="K419" i="4"/>
  <c r="AI419" i="4" s="1"/>
  <c r="BF418" i="4"/>
  <c r="BC418" i="4"/>
  <c r="BB418" i="4"/>
  <c r="AX418" i="4"/>
  <c r="AT418" i="4"/>
  <c r="AP418" i="4"/>
  <c r="AL418" i="4"/>
  <c r="AM418" i="4" s="1"/>
  <c r="AH418" i="4"/>
  <c r="AE418" i="4"/>
  <c r="AD418" i="4"/>
  <c r="AA418" i="4"/>
  <c r="Z418" i="4"/>
  <c r="W418" i="4"/>
  <c r="V418" i="4"/>
  <c r="R418" i="4"/>
  <c r="O418" i="4"/>
  <c r="N418" i="4"/>
  <c r="K418" i="4"/>
  <c r="BF417" i="4"/>
  <c r="BB417" i="4"/>
  <c r="AX417" i="4"/>
  <c r="AT417" i="4"/>
  <c r="AU417" i="4" s="1"/>
  <c r="AP417" i="4"/>
  <c r="AL417" i="4"/>
  <c r="AH417" i="4"/>
  <c r="AI417" i="4" s="1"/>
  <c r="AD417" i="4"/>
  <c r="Z417" i="4"/>
  <c r="V417" i="4"/>
  <c r="R417" i="4"/>
  <c r="O417" i="4"/>
  <c r="N417" i="4"/>
  <c r="K417" i="4"/>
  <c r="BG416" i="4"/>
  <c r="BF416" i="4"/>
  <c r="BB416" i="4"/>
  <c r="BC416" i="4" s="1"/>
  <c r="AY416" i="4"/>
  <c r="AX416" i="4"/>
  <c r="AT416" i="4"/>
  <c r="AU416" i="4" s="1"/>
  <c r="AP416" i="4"/>
  <c r="AQ416" i="4" s="1"/>
  <c r="AL416" i="4"/>
  <c r="AI416" i="4"/>
  <c r="AH416" i="4"/>
  <c r="AD416" i="4"/>
  <c r="AE416" i="4" s="1"/>
  <c r="AA416" i="4"/>
  <c r="Z416" i="4"/>
  <c r="W416" i="4"/>
  <c r="V416" i="4"/>
  <c r="R416" i="4"/>
  <c r="S416" i="4" s="1"/>
  <c r="O416" i="4"/>
  <c r="N416" i="4"/>
  <c r="K416" i="4"/>
  <c r="BF415" i="4"/>
  <c r="BB415" i="4"/>
  <c r="AX415" i="4"/>
  <c r="AT415" i="4"/>
  <c r="AP415" i="4"/>
  <c r="AL415" i="4"/>
  <c r="AH415" i="4"/>
  <c r="AD415" i="4"/>
  <c r="Z415" i="4"/>
  <c r="V415" i="4"/>
  <c r="R415" i="4"/>
  <c r="N415" i="4"/>
  <c r="K415" i="4"/>
  <c r="BF414" i="4"/>
  <c r="BB414" i="4"/>
  <c r="AX414" i="4"/>
  <c r="AT414" i="4"/>
  <c r="AP414" i="4"/>
  <c r="AL414" i="4"/>
  <c r="AI414" i="4"/>
  <c r="AH414" i="4"/>
  <c r="AD414" i="4"/>
  <c r="AA414" i="4"/>
  <c r="Z414" i="4"/>
  <c r="V414" i="4"/>
  <c r="W414" i="4" s="1"/>
  <c r="R414" i="4"/>
  <c r="N414" i="4"/>
  <c r="K414" i="4"/>
  <c r="AM414" i="4" s="1"/>
  <c r="BG413" i="4"/>
  <c r="BF413" i="4"/>
  <c r="BB413" i="4"/>
  <c r="AX413" i="4"/>
  <c r="AT413" i="4"/>
  <c r="AP413" i="4"/>
  <c r="AL413" i="4"/>
  <c r="AH413" i="4"/>
  <c r="AE413" i="4"/>
  <c r="AD413" i="4"/>
  <c r="Z413" i="4"/>
  <c r="V413" i="4"/>
  <c r="R413" i="4"/>
  <c r="N413" i="4"/>
  <c r="K413" i="4"/>
  <c r="BF412" i="4"/>
  <c r="BB412" i="4"/>
  <c r="BC412" i="4" s="1"/>
  <c r="AX412" i="4"/>
  <c r="AT412" i="4"/>
  <c r="AQ412" i="4"/>
  <c r="AP412" i="4"/>
  <c r="AL412" i="4"/>
  <c r="AH412" i="4"/>
  <c r="AD412" i="4"/>
  <c r="Z412" i="4"/>
  <c r="AA412" i="4" s="1"/>
  <c r="V412" i="4"/>
  <c r="S412" i="4"/>
  <c r="R412" i="4"/>
  <c r="N412" i="4"/>
  <c r="K412" i="4"/>
  <c r="BF411" i="4"/>
  <c r="BG411" i="4" s="1"/>
  <c r="BC411" i="4"/>
  <c r="BB411" i="4"/>
  <c r="AY411" i="4"/>
  <c r="AX411" i="4"/>
  <c r="AT411" i="4"/>
  <c r="AU411" i="4" s="1"/>
  <c r="AP411" i="4"/>
  <c r="AQ411" i="4" s="1"/>
  <c r="AL411" i="4"/>
  <c r="AH411" i="4"/>
  <c r="AI411" i="4" s="1"/>
  <c r="AE411" i="4"/>
  <c r="AD411" i="4"/>
  <c r="Z411" i="4"/>
  <c r="AA411" i="4" s="1"/>
  <c r="W411" i="4"/>
  <c r="V411" i="4"/>
  <c r="R411" i="4"/>
  <c r="S411" i="4" s="1"/>
  <c r="N411" i="4"/>
  <c r="O411" i="4" s="1"/>
  <c r="BH411" i="4" s="1"/>
  <c r="BI411" i="4" s="1"/>
  <c r="K411" i="4"/>
  <c r="AM411" i="4" s="1"/>
  <c r="BG410" i="4"/>
  <c r="BF410" i="4"/>
  <c r="BB410" i="4"/>
  <c r="AX410" i="4"/>
  <c r="AY410" i="4" s="1"/>
  <c r="AT410" i="4"/>
  <c r="AP410" i="4"/>
  <c r="AL410" i="4"/>
  <c r="AH410" i="4"/>
  <c r="AD410" i="4"/>
  <c r="Z410" i="4"/>
  <c r="V410" i="4"/>
  <c r="S410" i="4"/>
  <c r="R410" i="4"/>
  <c r="N410" i="4"/>
  <c r="K410" i="4"/>
  <c r="BF409" i="4"/>
  <c r="BG409" i="4" s="1"/>
  <c r="BC409" i="4"/>
  <c r="BB409" i="4"/>
  <c r="AX409" i="4"/>
  <c r="AU409" i="4"/>
  <c r="AT409" i="4"/>
  <c r="AQ409" i="4"/>
  <c r="AP409" i="4"/>
  <c r="AM409" i="4"/>
  <c r="AL409" i="4"/>
  <c r="AH409" i="4"/>
  <c r="AE409" i="4"/>
  <c r="AD409" i="4"/>
  <c r="Z409" i="4"/>
  <c r="AA409" i="4" s="1"/>
  <c r="W409" i="4"/>
  <c r="V409" i="4"/>
  <c r="R409" i="4"/>
  <c r="S409" i="4" s="1"/>
  <c r="N409" i="4"/>
  <c r="O409" i="4" s="1"/>
  <c r="K409" i="4"/>
  <c r="AY409" i="4" s="1"/>
  <c r="BF408" i="4"/>
  <c r="BC408" i="4"/>
  <c r="BB408" i="4"/>
  <c r="AX408" i="4"/>
  <c r="AU408" i="4"/>
  <c r="AT408" i="4"/>
  <c r="AP408" i="4"/>
  <c r="AL408" i="4"/>
  <c r="AH408" i="4"/>
  <c r="AD408" i="4"/>
  <c r="Z408" i="4"/>
  <c r="V408" i="4"/>
  <c r="R408" i="4"/>
  <c r="N408" i="4"/>
  <c r="K408" i="4"/>
  <c r="BF407" i="4"/>
  <c r="BC407" i="4"/>
  <c r="BB407" i="4"/>
  <c r="AY407" i="4"/>
  <c r="AX407" i="4"/>
  <c r="AT407" i="4"/>
  <c r="AU407" i="4" s="1"/>
  <c r="AQ407" i="4"/>
  <c r="AP407" i="4"/>
  <c r="AM407" i="4"/>
  <c r="AL407" i="4"/>
  <c r="AH407" i="4"/>
  <c r="AI407" i="4" s="1"/>
  <c r="AD407" i="4"/>
  <c r="Z407" i="4"/>
  <c r="AA407" i="4" s="1"/>
  <c r="W407" i="4"/>
  <c r="V407" i="4"/>
  <c r="R407" i="4"/>
  <c r="S407" i="4" s="1"/>
  <c r="N407" i="4"/>
  <c r="O407" i="4" s="1"/>
  <c r="K407" i="4"/>
  <c r="BF406" i="4"/>
  <c r="BB406" i="4"/>
  <c r="AX406" i="4"/>
  <c r="AT406" i="4"/>
  <c r="AP406" i="4"/>
  <c r="AL406" i="4"/>
  <c r="AH406" i="4"/>
  <c r="AD406" i="4"/>
  <c r="Z406" i="4"/>
  <c r="V406" i="4"/>
  <c r="R406" i="4"/>
  <c r="N406" i="4"/>
  <c r="K406" i="4"/>
  <c r="BF405" i="4"/>
  <c r="BB405" i="4"/>
  <c r="AX405" i="4"/>
  <c r="AT405" i="4"/>
  <c r="AP405" i="4"/>
  <c r="AL405" i="4"/>
  <c r="AM405" i="4" s="1"/>
  <c r="AH405" i="4"/>
  <c r="AE405" i="4"/>
  <c r="AD405" i="4"/>
  <c r="Z405" i="4"/>
  <c r="W405" i="4"/>
  <c r="V405" i="4"/>
  <c r="R405" i="4"/>
  <c r="N405" i="4"/>
  <c r="K405" i="4"/>
  <c r="AU405" i="4" s="1"/>
  <c r="BF404" i="4"/>
  <c r="BB404" i="4"/>
  <c r="AY404" i="4"/>
  <c r="AX404" i="4"/>
  <c r="AT404" i="4"/>
  <c r="AP404" i="4"/>
  <c r="AM404" i="4"/>
  <c r="AL404" i="4"/>
  <c r="AH404" i="4"/>
  <c r="AD404" i="4"/>
  <c r="Z404" i="4"/>
  <c r="V404" i="4"/>
  <c r="R404" i="4"/>
  <c r="N404" i="4"/>
  <c r="K404" i="4"/>
  <c r="AE404" i="4" s="1"/>
  <c r="BF403" i="4"/>
  <c r="BB403" i="4"/>
  <c r="AX403" i="4"/>
  <c r="AT403" i="4"/>
  <c r="AP403" i="4"/>
  <c r="AL403" i="4"/>
  <c r="AH403" i="4"/>
  <c r="AD403" i="4"/>
  <c r="Z403" i="4"/>
  <c r="V403" i="4"/>
  <c r="R403" i="4"/>
  <c r="N403" i="4"/>
  <c r="K403" i="4"/>
  <c r="BG402" i="4"/>
  <c r="BF402" i="4"/>
  <c r="BC402" i="4"/>
  <c r="BB402" i="4"/>
  <c r="AY402" i="4"/>
  <c r="AX402" i="4"/>
  <c r="AU402" i="4"/>
  <c r="AT402" i="4"/>
  <c r="AQ402" i="4"/>
  <c r="AP402" i="4"/>
  <c r="AL402" i="4"/>
  <c r="AH402" i="4"/>
  <c r="AI402" i="4" s="1"/>
  <c r="AE402" i="4"/>
  <c r="AD402" i="4"/>
  <c r="Z402" i="4"/>
  <c r="AA402" i="4" s="1"/>
  <c r="W402" i="4"/>
  <c r="V402" i="4"/>
  <c r="R402" i="4"/>
  <c r="S402" i="4" s="1"/>
  <c r="O402" i="4"/>
  <c r="N402" i="4"/>
  <c r="K402" i="4"/>
  <c r="BF401" i="4"/>
  <c r="BG401" i="4" s="1"/>
  <c r="BC401" i="4"/>
  <c r="BB401" i="4"/>
  <c r="AY401" i="4"/>
  <c r="AX401" i="4"/>
  <c r="AT401" i="4"/>
  <c r="AP401" i="4"/>
  <c r="AQ401" i="4" s="1"/>
  <c r="AM401" i="4"/>
  <c r="AL401" i="4"/>
  <c r="AH401" i="4"/>
  <c r="AE401" i="4"/>
  <c r="AD401" i="4"/>
  <c r="Z401" i="4"/>
  <c r="AA401" i="4" s="1"/>
  <c r="W401" i="4"/>
  <c r="V401" i="4"/>
  <c r="R401" i="4"/>
  <c r="N401" i="4"/>
  <c r="K401" i="4"/>
  <c r="BF400" i="4"/>
  <c r="BB400" i="4"/>
  <c r="AY400" i="4"/>
  <c r="AX400" i="4"/>
  <c r="AU400" i="4"/>
  <c r="AT400" i="4"/>
  <c r="AQ400" i="4"/>
  <c r="AP400" i="4"/>
  <c r="AM400" i="4"/>
  <c r="AL400" i="4"/>
  <c r="AH400" i="4"/>
  <c r="AD400" i="4"/>
  <c r="AA400" i="4"/>
  <c r="Z400" i="4"/>
  <c r="V400" i="4"/>
  <c r="S400" i="4"/>
  <c r="R400" i="4"/>
  <c r="O400" i="4"/>
  <c r="N400" i="4"/>
  <c r="K400" i="4"/>
  <c r="AI400" i="4" s="1"/>
  <c r="BF399" i="4"/>
  <c r="BC399" i="4"/>
  <c r="BB399" i="4"/>
  <c r="AX399" i="4"/>
  <c r="AT399" i="4"/>
  <c r="AU399" i="4" s="1"/>
  <c r="AP399" i="4"/>
  <c r="AM399" i="4"/>
  <c r="AL399" i="4"/>
  <c r="AH399" i="4"/>
  <c r="AD399" i="4"/>
  <c r="Z399" i="4"/>
  <c r="W399" i="4"/>
  <c r="V399" i="4"/>
  <c r="R399" i="4"/>
  <c r="N399" i="4"/>
  <c r="K399" i="4"/>
  <c r="BF398" i="4"/>
  <c r="BG398" i="4" s="1"/>
  <c r="BB398" i="4"/>
  <c r="AX398" i="4"/>
  <c r="AT398" i="4"/>
  <c r="AP398" i="4"/>
  <c r="AL398" i="4"/>
  <c r="AI398" i="4"/>
  <c r="AH398" i="4"/>
  <c r="AE398" i="4"/>
  <c r="AD398" i="4"/>
  <c r="AA398" i="4"/>
  <c r="Z398" i="4"/>
  <c r="V398" i="4"/>
  <c r="S398" i="4"/>
  <c r="R398" i="4"/>
  <c r="O398" i="4"/>
  <c r="N398" i="4"/>
  <c r="K398" i="4"/>
  <c r="BF397" i="4"/>
  <c r="BG397" i="4" s="1"/>
  <c r="BC397" i="4"/>
  <c r="BB397" i="4"/>
  <c r="AY397" i="4"/>
  <c r="AX397" i="4"/>
  <c r="AT397" i="4"/>
  <c r="AU397" i="4" s="1"/>
  <c r="AQ397" i="4"/>
  <c r="AP397" i="4"/>
  <c r="AL397" i="4"/>
  <c r="AH397" i="4"/>
  <c r="AI397" i="4" s="1"/>
  <c r="AE397" i="4"/>
  <c r="AD397" i="4"/>
  <c r="Z397" i="4"/>
  <c r="AA397" i="4" s="1"/>
  <c r="V397" i="4"/>
  <c r="W397" i="4" s="1"/>
  <c r="R397" i="4"/>
  <c r="S397" i="4" s="1"/>
  <c r="N397" i="4"/>
  <c r="O397" i="4" s="1"/>
  <c r="K397" i="4"/>
  <c r="AM397" i="4" s="1"/>
  <c r="BF396" i="4"/>
  <c r="BB396" i="4"/>
  <c r="AX396" i="4"/>
  <c r="AT396" i="4"/>
  <c r="AP396" i="4"/>
  <c r="AL396" i="4"/>
  <c r="AI396" i="4"/>
  <c r="AH396" i="4"/>
  <c r="AD396" i="4"/>
  <c r="Z396" i="4"/>
  <c r="V396" i="4"/>
  <c r="R396" i="4"/>
  <c r="O396" i="4"/>
  <c r="N396" i="4"/>
  <c r="K396" i="4"/>
  <c r="AE396" i="4" s="1"/>
  <c r="BF395" i="4"/>
  <c r="BG395" i="4" s="1"/>
  <c r="BB395" i="4"/>
  <c r="BC395" i="4" s="1"/>
  <c r="AX395" i="4"/>
  <c r="AU395" i="4"/>
  <c r="AT395" i="4"/>
  <c r="AQ395" i="4"/>
  <c r="AP395" i="4"/>
  <c r="AM395" i="4"/>
  <c r="AL395" i="4"/>
  <c r="AH395" i="4"/>
  <c r="AE395" i="4"/>
  <c r="AD395" i="4"/>
  <c r="AA395" i="4"/>
  <c r="Z395" i="4"/>
  <c r="W395" i="4"/>
  <c r="V395" i="4"/>
  <c r="S395" i="4"/>
  <c r="R395" i="4"/>
  <c r="O395" i="4"/>
  <c r="N395" i="4"/>
  <c r="K395" i="4"/>
  <c r="AY395" i="4" s="1"/>
  <c r="BF394" i="4"/>
  <c r="BB394" i="4"/>
  <c r="AX394" i="4"/>
  <c r="AT394" i="4"/>
  <c r="AP394" i="4"/>
  <c r="AL394" i="4"/>
  <c r="AH394" i="4"/>
  <c r="AD394" i="4"/>
  <c r="Z394" i="4"/>
  <c r="V394" i="4"/>
  <c r="R394" i="4"/>
  <c r="N394" i="4"/>
  <c r="K394" i="4"/>
  <c r="BF393" i="4"/>
  <c r="BC393" i="4"/>
  <c r="BB393" i="4"/>
  <c r="AY393" i="4"/>
  <c r="AX393" i="4"/>
  <c r="AU393" i="4"/>
  <c r="AT393" i="4"/>
  <c r="AQ393" i="4"/>
  <c r="AP393" i="4"/>
  <c r="AL393" i="4"/>
  <c r="AM393" i="4" s="1"/>
  <c r="AI393" i="4"/>
  <c r="AH393" i="4"/>
  <c r="AD393" i="4"/>
  <c r="Z393" i="4"/>
  <c r="AA393" i="4" s="1"/>
  <c r="V393" i="4"/>
  <c r="W393" i="4" s="1"/>
  <c r="S393" i="4"/>
  <c r="R393" i="4"/>
  <c r="N393" i="4"/>
  <c r="O393" i="4" s="1"/>
  <c r="K393" i="4"/>
  <c r="BG392" i="4"/>
  <c r="BF392" i="4"/>
  <c r="BB392" i="4"/>
  <c r="AX392" i="4"/>
  <c r="AU392" i="4"/>
  <c r="AT392" i="4"/>
  <c r="AP392" i="4"/>
  <c r="AQ392" i="4" s="1"/>
  <c r="AL392" i="4"/>
  <c r="AI392" i="4"/>
  <c r="AH392" i="4"/>
  <c r="AE392" i="4"/>
  <c r="AD392" i="4"/>
  <c r="Z392" i="4"/>
  <c r="V392" i="4"/>
  <c r="S392" i="4"/>
  <c r="R392" i="4"/>
  <c r="O392" i="4"/>
  <c r="N392" i="4"/>
  <c r="K392" i="4"/>
  <c r="BF391" i="4"/>
  <c r="BG391" i="4" s="1"/>
  <c r="BB391" i="4"/>
  <c r="AX391" i="4"/>
  <c r="AU391" i="4"/>
  <c r="AT391" i="4"/>
  <c r="AQ391" i="4"/>
  <c r="AP391" i="4"/>
  <c r="AM391" i="4"/>
  <c r="AL391" i="4"/>
  <c r="AI391" i="4"/>
  <c r="AH391" i="4"/>
  <c r="AE391" i="4"/>
  <c r="AD391" i="4"/>
  <c r="Z391" i="4"/>
  <c r="W391" i="4"/>
  <c r="V391" i="4"/>
  <c r="S391" i="4"/>
  <c r="R391" i="4"/>
  <c r="O391" i="4"/>
  <c r="N391" i="4"/>
  <c r="K391" i="4"/>
  <c r="BF390" i="4"/>
  <c r="BB390" i="4"/>
  <c r="AX390" i="4"/>
  <c r="AT390" i="4"/>
  <c r="AQ390" i="4"/>
  <c r="AP390" i="4"/>
  <c r="AL390" i="4"/>
  <c r="AH390" i="4"/>
  <c r="AD390" i="4"/>
  <c r="Z390" i="4"/>
  <c r="V390" i="4"/>
  <c r="R390" i="4"/>
  <c r="N390" i="4"/>
  <c r="K390" i="4"/>
  <c r="AY390" i="4" s="1"/>
  <c r="BF389" i="4"/>
  <c r="BB389" i="4"/>
  <c r="AX389" i="4"/>
  <c r="AU389" i="4"/>
  <c r="AT389" i="4"/>
  <c r="AP389" i="4"/>
  <c r="AM389" i="4"/>
  <c r="AL389" i="4"/>
  <c r="AH389" i="4"/>
  <c r="AE389" i="4"/>
  <c r="AD389" i="4"/>
  <c r="AA389" i="4"/>
  <c r="Z389" i="4"/>
  <c r="V389" i="4"/>
  <c r="R389" i="4"/>
  <c r="S389" i="4" s="1"/>
  <c r="O389" i="4"/>
  <c r="N389" i="4"/>
  <c r="K389" i="4"/>
  <c r="AI389" i="4" s="1"/>
  <c r="BF388" i="4"/>
  <c r="BG388" i="4" s="1"/>
  <c r="BC388" i="4"/>
  <c r="BB388" i="4"/>
  <c r="AY388" i="4"/>
  <c r="AX388" i="4"/>
  <c r="AU388" i="4"/>
  <c r="AT388" i="4"/>
  <c r="AQ388" i="4"/>
  <c r="AP388" i="4"/>
  <c r="AL388" i="4"/>
  <c r="AH388" i="4"/>
  <c r="AI388" i="4" s="1"/>
  <c r="AE388" i="4"/>
  <c r="AD388" i="4"/>
  <c r="AA388" i="4"/>
  <c r="Z388" i="4"/>
  <c r="W388" i="4"/>
  <c r="V388" i="4"/>
  <c r="R388" i="4"/>
  <c r="S388" i="4" s="1"/>
  <c r="N388" i="4"/>
  <c r="O388" i="4" s="1"/>
  <c r="K388" i="4"/>
  <c r="AM388" i="4" s="1"/>
  <c r="BG387" i="4"/>
  <c r="BF387" i="4"/>
  <c r="BB387" i="4"/>
  <c r="AY387" i="4"/>
  <c r="AX387" i="4"/>
  <c r="AT387" i="4"/>
  <c r="AP387" i="4"/>
  <c r="AM387" i="4"/>
  <c r="AL387" i="4"/>
  <c r="AH387" i="4"/>
  <c r="AE387" i="4"/>
  <c r="AD387" i="4"/>
  <c r="AA387" i="4"/>
  <c r="Z387" i="4"/>
  <c r="V387" i="4"/>
  <c r="R387" i="4"/>
  <c r="N387" i="4"/>
  <c r="K387" i="4"/>
  <c r="AQ387" i="4" s="1"/>
  <c r="BF386" i="4"/>
  <c r="BB386" i="4"/>
  <c r="AX386" i="4"/>
  <c r="AU386" i="4"/>
  <c r="AT386" i="4"/>
  <c r="AP386" i="4"/>
  <c r="AM386" i="4"/>
  <c r="AL386" i="4"/>
  <c r="AH386" i="4"/>
  <c r="AD386" i="4"/>
  <c r="Z386" i="4"/>
  <c r="V386" i="4"/>
  <c r="R386" i="4"/>
  <c r="N386" i="4"/>
  <c r="K386" i="4"/>
  <c r="BF385" i="4"/>
  <c r="BC385" i="4"/>
  <c r="BB385" i="4"/>
  <c r="AY385" i="4"/>
  <c r="AX385" i="4"/>
  <c r="AU385" i="4"/>
  <c r="AT385" i="4"/>
  <c r="AP385" i="4"/>
  <c r="AM385" i="4"/>
  <c r="AL385" i="4"/>
  <c r="AH385" i="4"/>
  <c r="AI385" i="4" s="1"/>
  <c r="AE385" i="4"/>
  <c r="AD385" i="4"/>
  <c r="Z385" i="4"/>
  <c r="W385" i="4"/>
  <c r="V385" i="4"/>
  <c r="R385" i="4"/>
  <c r="S385" i="4" s="1"/>
  <c r="N385" i="4"/>
  <c r="K385" i="4"/>
  <c r="BF384" i="4"/>
  <c r="BB384" i="4"/>
  <c r="AX384" i="4"/>
  <c r="AT384" i="4"/>
  <c r="AQ384" i="4"/>
  <c r="AP384" i="4"/>
  <c r="AM384" i="4"/>
  <c r="AL384" i="4"/>
  <c r="AH384" i="4"/>
  <c r="AE384" i="4"/>
  <c r="AD384" i="4"/>
  <c r="Z384" i="4"/>
  <c r="V384" i="4"/>
  <c r="R384" i="4"/>
  <c r="N384" i="4"/>
  <c r="K384" i="4"/>
  <c r="AI384" i="4" s="1"/>
  <c r="BF383" i="4"/>
  <c r="BG383" i="4" s="1"/>
  <c r="BB383" i="4"/>
  <c r="BC383" i="4" s="1"/>
  <c r="AY383" i="4"/>
  <c r="AX383" i="4"/>
  <c r="AU383" i="4"/>
  <c r="AT383" i="4"/>
  <c r="AQ383" i="4"/>
  <c r="AP383" i="4"/>
  <c r="AL383" i="4"/>
  <c r="AI383" i="4"/>
  <c r="AH383" i="4"/>
  <c r="AE383" i="4"/>
  <c r="AD383" i="4"/>
  <c r="AA383" i="4"/>
  <c r="BH383" i="4" s="1"/>
  <c r="BI383" i="4" s="1"/>
  <c r="Z383" i="4"/>
  <c r="V383" i="4"/>
  <c r="W383" i="4" s="1"/>
  <c r="R383" i="4"/>
  <c r="S383" i="4" s="1"/>
  <c r="O383" i="4"/>
  <c r="N383" i="4"/>
  <c r="K383" i="4"/>
  <c r="AM383" i="4" s="1"/>
  <c r="BG382" i="4"/>
  <c r="BF382" i="4"/>
  <c r="BB382" i="4"/>
  <c r="AX382" i="4"/>
  <c r="AY382" i="4" s="1"/>
  <c r="AU382" i="4"/>
  <c r="AT382" i="4"/>
  <c r="AQ382" i="4"/>
  <c r="AP382" i="4"/>
  <c r="AM382" i="4"/>
  <c r="AL382" i="4"/>
  <c r="AI382" i="4"/>
  <c r="AH382" i="4"/>
  <c r="AD382" i="4"/>
  <c r="Z382" i="4"/>
  <c r="V382" i="4"/>
  <c r="W382" i="4" s="1"/>
  <c r="S382" i="4"/>
  <c r="R382" i="4"/>
  <c r="N382" i="4"/>
  <c r="O382" i="4" s="1"/>
  <c r="K382" i="4"/>
  <c r="BF381" i="4"/>
  <c r="BG381" i="4" s="1"/>
  <c r="BC381" i="4"/>
  <c r="BB381" i="4"/>
  <c r="AX381" i="4"/>
  <c r="AU381" i="4"/>
  <c r="AT381" i="4"/>
  <c r="AQ381" i="4"/>
  <c r="AP381" i="4"/>
  <c r="AL381" i="4"/>
  <c r="AM381" i="4" s="1"/>
  <c r="AH381" i="4"/>
  <c r="AD381" i="4"/>
  <c r="AE381" i="4" s="1"/>
  <c r="Z381" i="4"/>
  <c r="AA381" i="4" s="1"/>
  <c r="W381" i="4"/>
  <c r="V381" i="4"/>
  <c r="R381" i="4"/>
  <c r="S381" i="4" s="1"/>
  <c r="O381" i="4"/>
  <c r="N381" i="4"/>
  <c r="K381" i="4"/>
  <c r="BF380" i="4"/>
  <c r="BB380" i="4"/>
  <c r="AX380" i="4"/>
  <c r="AT380" i="4"/>
  <c r="AP380" i="4"/>
  <c r="AL380" i="4"/>
  <c r="AH380" i="4"/>
  <c r="AD380" i="4"/>
  <c r="Z380" i="4"/>
  <c r="V380" i="4"/>
  <c r="R380" i="4"/>
  <c r="N380" i="4"/>
  <c r="K380" i="4"/>
  <c r="BF379" i="4"/>
  <c r="BC379" i="4"/>
  <c r="BB379" i="4"/>
  <c r="AY379" i="4"/>
  <c r="AX379" i="4"/>
  <c r="AT379" i="4"/>
  <c r="AU379" i="4" s="1"/>
  <c r="AQ379" i="4"/>
  <c r="AP379" i="4"/>
  <c r="AM379" i="4"/>
  <c r="AL379" i="4"/>
  <c r="AH379" i="4"/>
  <c r="AI379" i="4" s="1"/>
  <c r="AD379" i="4"/>
  <c r="AA379" i="4"/>
  <c r="Z379" i="4"/>
  <c r="V379" i="4"/>
  <c r="W379" i="4" s="1"/>
  <c r="S379" i="4"/>
  <c r="R379" i="4"/>
  <c r="O379" i="4"/>
  <c r="N379" i="4"/>
  <c r="K379" i="4"/>
  <c r="BG378" i="4"/>
  <c r="BF378" i="4"/>
  <c r="BB378" i="4"/>
  <c r="AX378" i="4"/>
  <c r="AY378" i="4" s="1"/>
  <c r="AT378" i="4"/>
  <c r="AU378" i="4" s="1"/>
  <c r="AQ378" i="4"/>
  <c r="AP378" i="4"/>
  <c r="AM378" i="4"/>
  <c r="AL378" i="4"/>
  <c r="AI378" i="4"/>
  <c r="AH378" i="4"/>
  <c r="AD378" i="4"/>
  <c r="Z378" i="4"/>
  <c r="V378" i="4"/>
  <c r="W378" i="4" s="1"/>
  <c r="S378" i="4"/>
  <c r="R378" i="4"/>
  <c r="N378" i="4"/>
  <c r="O378" i="4" s="1"/>
  <c r="K378" i="4"/>
  <c r="BG377" i="4"/>
  <c r="BF377" i="4"/>
  <c r="BB377" i="4"/>
  <c r="AX377" i="4"/>
  <c r="AU377" i="4"/>
  <c r="AT377" i="4"/>
  <c r="AP377" i="4"/>
  <c r="AQ377" i="4" s="1"/>
  <c r="AM377" i="4"/>
  <c r="AL377" i="4"/>
  <c r="AI377" i="4"/>
  <c r="AH377" i="4"/>
  <c r="AD377" i="4"/>
  <c r="Z377" i="4"/>
  <c r="W377" i="4"/>
  <c r="V377" i="4"/>
  <c r="R377" i="4"/>
  <c r="O377" i="4"/>
  <c r="N377" i="4"/>
  <c r="K377" i="4"/>
  <c r="BF376" i="4"/>
  <c r="BB376" i="4"/>
  <c r="AX376" i="4"/>
  <c r="AT376" i="4"/>
  <c r="AP376" i="4"/>
  <c r="AL376" i="4"/>
  <c r="AH376" i="4"/>
  <c r="AD376" i="4"/>
  <c r="Z376" i="4"/>
  <c r="V376" i="4"/>
  <c r="R376" i="4"/>
  <c r="N376" i="4"/>
  <c r="K376" i="4"/>
  <c r="BF375" i="4"/>
  <c r="BB375" i="4"/>
  <c r="AX375" i="4"/>
  <c r="AT375" i="4"/>
  <c r="AU375" i="4" s="1"/>
  <c r="AQ375" i="4"/>
  <c r="AP375" i="4"/>
  <c r="AL375" i="4"/>
  <c r="AH375" i="4"/>
  <c r="AI375" i="4" s="1"/>
  <c r="AD375" i="4"/>
  <c r="AE375" i="4" s="1"/>
  <c r="Z375" i="4"/>
  <c r="V375" i="4"/>
  <c r="R375" i="4"/>
  <c r="N375" i="4"/>
  <c r="O375" i="4" s="1"/>
  <c r="K375" i="4"/>
  <c r="BF374" i="4"/>
  <c r="BB374" i="4"/>
  <c r="AX374" i="4"/>
  <c r="AU374" i="4"/>
  <c r="AT374" i="4"/>
  <c r="AP374" i="4"/>
  <c r="AL374" i="4"/>
  <c r="AH374" i="4"/>
  <c r="AD374" i="4"/>
  <c r="Z374" i="4"/>
  <c r="V374" i="4"/>
  <c r="S374" i="4"/>
  <c r="R374" i="4"/>
  <c r="N374" i="4"/>
  <c r="K374" i="4"/>
  <c r="BG373" i="4"/>
  <c r="BF373" i="4"/>
  <c r="BB373" i="4"/>
  <c r="AX373" i="4"/>
  <c r="AT373" i="4"/>
  <c r="AP373" i="4"/>
  <c r="AL373" i="4"/>
  <c r="AH373" i="4"/>
  <c r="AD373" i="4"/>
  <c r="AA373" i="4"/>
  <c r="Z373" i="4"/>
  <c r="V373" i="4"/>
  <c r="R373" i="4"/>
  <c r="N373" i="4"/>
  <c r="K373" i="4"/>
  <c r="W373" i="4" s="1"/>
  <c r="BF372" i="4"/>
  <c r="BB372" i="4"/>
  <c r="AX372" i="4"/>
  <c r="AU372" i="4"/>
  <c r="AT372" i="4"/>
  <c r="AQ372" i="4"/>
  <c r="AP372" i="4"/>
  <c r="AM372" i="4"/>
  <c r="AL372" i="4"/>
  <c r="AH372" i="4"/>
  <c r="AE372" i="4"/>
  <c r="AD372" i="4"/>
  <c r="Z372" i="4"/>
  <c r="V372" i="4"/>
  <c r="R372" i="4"/>
  <c r="N372" i="4"/>
  <c r="K372" i="4"/>
  <c r="BG371" i="4"/>
  <c r="BF371" i="4"/>
  <c r="BC371" i="4"/>
  <c r="BB371" i="4"/>
  <c r="AX371" i="4"/>
  <c r="AT371" i="4"/>
  <c r="AP371" i="4"/>
  <c r="AM371" i="4"/>
  <c r="AL371" i="4"/>
  <c r="AH371" i="4"/>
  <c r="AI371" i="4" s="1"/>
  <c r="AD371" i="4"/>
  <c r="Z371" i="4"/>
  <c r="AA371" i="4" s="1"/>
  <c r="V371" i="4"/>
  <c r="R371" i="4"/>
  <c r="S371" i="4" s="1"/>
  <c r="N371" i="4"/>
  <c r="K371" i="4"/>
  <c r="BF370" i="4"/>
  <c r="BB370" i="4"/>
  <c r="AX370" i="4"/>
  <c r="AT370" i="4"/>
  <c r="AP370" i="4"/>
  <c r="AL370" i="4"/>
  <c r="AI370" i="4"/>
  <c r="AH370" i="4"/>
  <c r="AD370" i="4"/>
  <c r="Z370" i="4"/>
  <c r="W370" i="4"/>
  <c r="V370" i="4"/>
  <c r="R370" i="4"/>
  <c r="N370" i="4"/>
  <c r="K370" i="4"/>
  <c r="AU370" i="4" s="1"/>
  <c r="BF369" i="4"/>
  <c r="BG369" i="4" s="1"/>
  <c r="BB369" i="4"/>
  <c r="BC369" i="4" s="1"/>
  <c r="AY369" i="4"/>
  <c r="AX369" i="4"/>
  <c r="AU369" i="4"/>
  <c r="AT369" i="4"/>
  <c r="AQ369" i="4"/>
  <c r="AP369" i="4"/>
  <c r="AL369" i="4"/>
  <c r="AH369" i="4"/>
  <c r="AI369" i="4" s="1"/>
  <c r="AE369" i="4"/>
  <c r="AD369" i="4"/>
  <c r="AA369" i="4"/>
  <c r="Z369" i="4"/>
  <c r="V369" i="4"/>
  <c r="W369" i="4" s="1"/>
  <c r="R369" i="4"/>
  <c r="S369" i="4" s="1"/>
  <c r="O369" i="4"/>
  <c r="N369" i="4"/>
  <c r="K369" i="4"/>
  <c r="AM369" i="4" s="1"/>
  <c r="BF368" i="4"/>
  <c r="BG368" i="4" s="1"/>
  <c r="BB368" i="4"/>
  <c r="AY368" i="4"/>
  <c r="AX368" i="4"/>
  <c r="AT368" i="4"/>
  <c r="AP368" i="4"/>
  <c r="AM368" i="4"/>
  <c r="AL368" i="4"/>
  <c r="AH368" i="4"/>
  <c r="AE368" i="4"/>
  <c r="AD368" i="4"/>
  <c r="Z368" i="4"/>
  <c r="W368" i="4"/>
  <c r="V368" i="4"/>
  <c r="R368" i="4"/>
  <c r="O368" i="4"/>
  <c r="N368" i="4"/>
  <c r="K368" i="4"/>
  <c r="BG367" i="4"/>
  <c r="BF367" i="4"/>
  <c r="BB367" i="4"/>
  <c r="AX367" i="4"/>
  <c r="AU367" i="4"/>
  <c r="AT367" i="4"/>
  <c r="AQ367" i="4"/>
  <c r="AP367" i="4"/>
  <c r="AL367" i="4"/>
  <c r="AM367" i="4" s="1"/>
  <c r="AH367" i="4"/>
  <c r="AE367" i="4"/>
  <c r="AD367" i="4"/>
  <c r="AA367" i="4"/>
  <c r="Z367" i="4"/>
  <c r="V367" i="4"/>
  <c r="S367" i="4"/>
  <c r="R367" i="4"/>
  <c r="O367" i="4"/>
  <c r="N367" i="4"/>
  <c r="K367" i="4"/>
  <c r="BF366" i="4"/>
  <c r="BB366" i="4"/>
  <c r="AX366" i="4"/>
  <c r="AT366" i="4"/>
  <c r="AP366" i="4"/>
  <c r="AM366" i="4"/>
  <c r="AL366" i="4"/>
  <c r="AH366" i="4"/>
  <c r="AD366" i="4"/>
  <c r="Z366" i="4"/>
  <c r="V366" i="4"/>
  <c r="R366" i="4"/>
  <c r="N366" i="4"/>
  <c r="O366" i="4" s="1"/>
  <c r="K366" i="4"/>
  <c r="BF365" i="4"/>
  <c r="BC365" i="4"/>
  <c r="BB365" i="4"/>
  <c r="AY365" i="4"/>
  <c r="AX365" i="4"/>
  <c r="AU365" i="4"/>
  <c r="AT365" i="4"/>
  <c r="AQ365" i="4"/>
  <c r="AP365" i="4"/>
  <c r="AL365" i="4"/>
  <c r="AM365" i="4" s="1"/>
  <c r="AI365" i="4"/>
  <c r="AH365" i="4"/>
  <c r="AD365" i="4"/>
  <c r="Z365" i="4"/>
  <c r="AA365" i="4" s="1"/>
  <c r="V365" i="4"/>
  <c r="W365" i="4" s="1"/>
  <c r="S365" i="4"/>
  <c r="R365" i="4"/>
  <c r="O365" i="4"/>
  <c r="N365" i="4"/>
  <c r="K365" i="4"/>
  <c r="BG364" i="4"/>
  <c r="BF364" i="4"/>
  <c r="BB364" i="4"/>
  <c r="BC364" i="4" s="1"/>
  <c r="AY364" i="4"/>
  <c r="AX364" i="4"/>
  <c r="AT364" i="4"/>
  <c r="AU364" i="4" s="1"/>
  <c r="AQ364" i="4"/>
  <c r="AP364" i="4"/>
  <c r="AL364" i="4"/>
  <c r="AH364" i="4"/>
  <c r="AI364" i="4" s="1"/>
  <c r="AE364" i="4"/>
  <c r="AD364" i="4"/>
  <c r="Z364" i="4"/>
  <c r="AA364" i="4" s="1"/>
  <c r="W364" i="4"/>
  <c r="V364" i="4"/>
  <c r="R364" i="4"/>
  <c r="S364" i="4" s="1"/>
  <c r="O364" i="4"/>
  <c r="N364" i="4"/>
  <c r="K364" i="4"/>
  <c r="AM364" i="4" s="1"/>
  <c r="BF363" i="4"/>
  <c r="BB363" i="4"/>
  <c r="AX363" i="4"/>
  <c r="AT363" i="4"/>
  <c r="AP363" i="4"/>
  <c r="AL363" i="4"/>
  <c r="AH363" i="4"/>
  <c r="AD363" i="4"/>
  <c r="Z363" i="4"/>
  <c r="V363" i="4"/>
  <c r="R363" i="4"/>
  <c r="N363" i="4"/>
  <c r="K363" i="4"/>
  <c r="BG362" i="4"/>
  <c r="BF362" i="4"/>
  <c r="BC362" i="4"/>
  <c r="BB362" i="4"/>
  <c r="AY362" i="4"/>
  <c r="AX362" i="4"/>
  <c r="AU362" i="4"/>
  <c r="AT362" i="4"/>
  <c r="AQ362" i="4"/>
  <c r="AP362" i="4"/>
  <c r="AL362" i="4"/>
  <c r="AI362" i="4"/>
  <c r="AH362" i="4"/>
  <c r="AE362" i="4"/>
  <c r="AD362" i="4"/>
  <c r="AA362" i="4"/>
  <c r="Z362" i="4"/>
  <c r="W362" i="4"/>
  <c r="V362" i="4"/>
  <c r="S362" i="4"/>
  <c r="R362" i="4"/>
  <c r="N362" i="4"/>
  <c r="O362" i="4" s="1"/>
  <c r="K362" i="4"/>
  <c r="AM362" i="4" s="1"/>
  <c r="BG361" i="4"/>
  <c r="BF361" i="4"/>
  <c r="BB361" i="4"/>
  <c r="AX361" i="4"/>
  <c r="AT361" i="4"/>
  <c r="AQ361" i="4"/>
  <c r="AP361" i="4"/>
  <c r="AL361" i="4"/>
  <c r="AH361" i="4"/>
  <c r="AD361" i="4"/>
  <c r="Z361" i="4"/>
  <c r="V361" i="4"/>
  <c r="R361" i="4"/>
  <c r="S361" i="4" s="1"/>
  <c r="O361" i="4"/>
  <c r="N361" i="4"/>
  <c r="K361" i="4"/>
  <c r="BF360" i="4"/>
  <c r="BB360" i="4"/>
  <c r="AX360" i="4"/>
  <c r="AT360" i="4"/>
  <c r="AP360" i="4"/>
  <c r="AL360" i="4"/>
  <c r="AM360" i="4" s="1"/>
  <c r="AH360" i="4"/>
  <c r="AD360" i="4"/>
  <c r="AA360" i="4"/>
  <c r="Z360" i="4"/>
  <c r="V360" i="4"/>
  <c r="R360" i="4"/>
  <c r="N360" i="4"/>
  <c r="K360" i="4"/>
  <c r="AQ360" i="4" s="1"/>
  <c r="BF359" i="4"/>
  <c r="BG359" i="4" s="1"/>
  <c r="BB359" i="4"/>
  <c r="BC359" i="4" s="1"/>
  <c r="AX359" i="4"/>
  <c r="AY359" i="4" s="1"/>
  <c r="AT359" i="4"/>
  <c r="AP359" i="4"/>
  <c r="AM359" i="4"/>
  <c r="AL359" i="4"/>
  <c r="AH359" i="4"/>
  <c r="AI359" i="4" s="1"/>
  <c r="AD359" i="4"/>
  <c r="AE359" i="4" s="1"/>
  <c r="AA359" i="4"/>
  <c r="Z359" i="4"/>
  <c r="W359" i="4"/>
  <c r="V359" i="4"/>
  <c r="R359" i="4"/>
  <c r="N359" i="4"/>
  <c r="K359" i="4"/>
  <c r="BG358" i="4"/>
  <c r="BF358" i="4"/>
  <c r="BC358" i="4"/>
  <c r="BB358" i="4"/>
  <c r="AX358" i="4"/>
  <c r="AY358" i="4" s="1"/>
  <c r="AT358" i="4"/>
  <c r="AQ358" i="4"/>
  <c r="AP358" i="4"/>
  <c r="AL358" i="4"/>
  <c r="AI358" i="4"/>
  <c r="AH358" i="4"/>
  <c r="AD358" i="4"/>
  <c r="AE358" i="4" s="1"/>
  <c r="AA358" i="4"/>
  <c r="Z358" i="4"/>
  <c r="V358" i="4"/>
  <c r="W358" i="4" s="1"/>
  <c r="R358" i="4"/>
  <c r="O358" i="4"/>
  <c r="N358" i="4"/>
  <c r="K358" i="4"/>
  <c r="AM358" i="4" s="1"/>
  <c r="BG357" i="4"/>
  <c r="BF357" i="4"/>
  <c r="BC357" i="4"/>
  <c r="BB357" i="4"/>
  <c r="AX357" i="4"/>
  <c r="AU357" i="4"/>
  <c r="AT357" i="4"/>
  <c r="AP357" i="4"/>
  <c r="AL357" i="4"/>
  <c r="AH357" i="4"/>
  <c r="AD357" i="4"/>
  <c r="AE357" i="4" s="1"/>
  <c r="Z357" i="4"/>
  <c r="AA357" i="4" s="1"/>
  <c r="W357" i="4"/>
  <c r="V357" i="4"/>
  <c r="R357" i="4"/>
  <c r="N357" i="4"/>
  <c r="K357" i="4"/>
  <c r="AM357" i="4" s="1"/>
  <c r="BF356" i="4"/>
  <c r="BB356" i="4"/>
  <c r="AX356" i="4"/>
  <c r="AT356" i="4"/>
  <c r="AP356" i="4"/>
  <c r="AL356" i="4"/>
  <c r="AH356" i="4"/>
  <c r="AE356" i="4"/>
  <c r="AD356" i="4"/>
  <c r="Z356" i="4"/>
  <c r="V356" i="4"/>
  <c r="R356" i="4"/>
  <c r="N356" i="4"/>
  <c r="K356" i="4"/>
  <c r="BF355" i="4"/>
  <c r="BG355" i="4" s="1"/>
  <c r="BC355" i="4"/>
  <c r="BB355" i="4"/>
  <c r="AX355" i="4"/>
  <c r="AY355" i="4" s="1"/>
  <c r="AU355" i="4"/>
  <c r="AT355" i="4"/>
  <c r="AQ355" i="4"/>
  <c r="AP355" i="4"/>
  <c r="AL355" i="4"/>
  <c r="AH355" i="4"/>
  <c r="AI355" i="4" s="1"/>
  <c r="AE355" i="4"/>
  <c r="AD355" i="4"/>
  <c r="Z355" i="4"/>
  <c r="AA355" i="4" s="1"/>
  <c r="W355" i="4"/>
  <c r="V355" i="4"/>
  <c r="S355" i="4"/>
  <c r="BH355" i="4" s="1"/>
  <c r="BI355" i="4" s="1"/>
  <c r="R355" i="4"/>
  <c r="N355" i="4"/>
  <c r="O355" i="4" s="1"/>
  <c r="K355" i="4"/>
  <c r="AM355" i="4" s="1"/>
  <c r="BG354" i="4"/>
  <c r="BF354" i="4"/>
  <c r="BB354" i="4"/>
  <c r="AX354" i="4"/>
  <c r="AT354" i="4"/>
  <c r="AQ354" i="4"/>
  <c r="AP354" i="4"/>
  <c r="AL354" i="4"/>
  <c r="AH354" i="4"/>
  <c r="AD354" i="4"/>
  <c r="Z354" i="4"/>
  <c r="V354" i="4"/>
  <c r="R354" i="4"/>
  <c r="N354" i="4"/>
  <c r="K354" i="4"/>
  <c r="AY354" i="4" s="1"/>
  <c r="BF353" i="4"/>
  <c r="BB353" i="4"/>
  <c r="AX353" i="4"/>
  <c r="AT353" i="4"/>
  <c r="AP353" i="4"/>
  <c r="AL353" i="4"/>
  <c r="AH353" i="4"/>
  <c r="AD353" i="4"/>
  <c r="Z353" i="4"/>
  <c r="V353" i="4"/>
  <c r="R353" i="4"/>
  <c r="N353" i="4"/>
  <c r="K353" i="4"/>
  <c r="BF352" i="4"/>
  <c r="BB352" i="4"/>
  <c r="AX352" i="4"/>
  <c r="AT352" i="4"/>
  <c r="AP352" i="4"/>
  <c r="AL352" i="4"/>
  <c r="AH352" i="4"/>
  <c r="AD352" i="4"/>
  <c r="Z352" i="4"/>
  <c r="V352" i="4"/>
  <c r="R352" i="4"/>
  <c r="N352" i="4"/>
  <c r="K352" i="4"/>
  <c r="BF351" i="4"/>
  <c r="BB351" i="4"/>
  <c r="BC351" i="4" s="1"/>
  <c r="AX351" i="4"/>
  <c r="AY351" i="4" s="1"/>
  <c r="AU351" i="4"/>
  <c r="AT351" i="4"/>
  <c r="AQ351" i="4"/>
  <c r="AP351" i="4"/>
  <c r="AM351" i="4"/>
  <c r="AL351" i="4"/>
  <c r="AH351" i="4"/>
  <c r="AI351" i="4" s="1"/>
  <c r="AD351" i="4"/>
  <c r="AA351" i="4"/>
  <c r="Z351" i="4"/>
  <c r="W351" i="4"/>
  <c r="V351" i="4"/>
  <c r="R351" i="4"/>
  <c r="S351" i="4" s="1"/>
  <c r="O351" i="4"/>
  <c r="N351" i="4"/>
  <c r="K351" i="4"/>
  <c r="BG350" i="4"/>
  <c r="BF350" i="4"/>
  <c r="BC350" i="4"/>
  <c r="BB350" i="4"/>
  <c r="AX350" i="4"/>
  <c r="AT350" i="4"/>
  <c r="AU350" i="4" s="1"/>
  <c r="AP350" i="4"/>
  <c r="AQ350" i="4" s="1"/>
  <c r="AL350" i="4"/>
  <c r="AI350" i="4"/>
  <c r="AH350" i="4"/>
  <c r="AE350" i="4"/>
  <c r="AD350" i="4"/>
  <c r="AA350" i="4"/>
  <c r="Z350" i="4"/>
  <c r="V350" i="4"/>
  <c r="R350" i="4"/>
  <c r="S350" i="4" s="1"/>
  <c r="N350" i="4"/>
  <c r="O350" i="4" s="1"/>
  <c r="K350" i="4"/>
  <c r="BG349" i="4"/>
  <c r="BF349" i="4"/>
  <c r="BB349" i="4"/>
  <c r="AY349" i="4"/>
  <c r="AX349" i="4"/>
  <c r="AT349" i="4"/>
  <c r="AQ349" i="4"/>
  <c r="AP349" i="4"/>
  <c r="AL349" i="4"/>
  <c r="AM349" i="4" s="1"/>
  <c r="AI349" i="4"/>
  <c r="AH349" i="4"/>
  <c r="AD349" i="4"/>
  <c r="Z349" i="4"/>
  <c r="V349" i="4"/>
  <c r="W349" i="4" s="1"/>
  <c r="S349" i="4"/>
  <c r="R349" i="4"/>
  <c r="N349" i="4"/>
  <c r="K349" i="4"/>
  <c r="BF348" i="4"/>
  <c r="BC348" i="4"/>
  <c r="BB348" i="4"/>
  <c r="AX348" i="4"/>
  <c r="AU348" i="4"/>
  <c r="AT348" i="4"/>
  <c r="AP348" i="4"/>
  <c r="AM348" i="4"/>
  <c r="AL348" i="4"/>
  <c r="AH348" i="4"/>
  <c r="AE348" i="4"/>
  <c r="AD348" i="4"/>
  <c r="Z348" i="4"/>
  <c r="V348" i="4"/>
  <c r="R348" i="4"/>
  <c r="N348" i="4"/>
  <c r="K348" i="4"/>
  <c r="BF347" i="4"/>
  <c r="BB347" i="4"/>
  <c r="AX347" i="4"/>
  <c r="AU347" i="4"/>
  <c r="AT347" i="4"/>
  <c r="AP347" i="4"/>
  <c r="AL347" i="4"/>
  <c r="AH347" i="4"/>
  <c r="AE347" i="4"/>
  <c r="AD347" i="4"/>
  <c r="Z347" i="4"/>
  <c r="V347" i="4"/>
  <c r="R347" i="4"/>
  <c r="N347" i="4"/>
  <c r="K347" i="4"/>
  <c r="BF346" i="4"/>
  <c r="BB346" i="4"/>
  <c r="AX346" i="4"/>
  <c r="AT346" i="4"/>
  <c r="AP346" i="4"/>
  <c r="AL346" i="4"/>
  <c r="AH346" i="4"/>
  <c r="AD346" i="4"/>
  <c r="Z346" i="4"/>
  <c r="V346" i="4"/>
  <c r="R346" i="4"/>
  <c r="N346" i="4"/>
  <c r="K346" i="4"/>
  <c r="BG345" i="4"/>
  <c r="BF345" i="4"/>
  <c r="BC345" i="4"/>
  <c r="BB345" i="4"/>
  <c r="AX345" i="4"/>
  <c r="AY345" i="4" s="1"/>
  <c r="AT345" i="4"/>
  <c r="AP345" i="4"/>
  <c r="AM345" i="4"/>
  <c r="AL345" i="4"/>
  <c r="AI345" i="4"/>
  <c r="AH345" i="4"/>
  <c r="AE345" i="4"/>
  <c r="AD345" i="4"/>
  <c r="Z345" i="4"/>
  <c r="W345" i="4"/>
  <c r="V345" i="4"/>
  <c r="R345" i="4"/>
  <c r="N345" i="4"/>
  <c r="K345" i="4"/>
  <c r="BF344" i="4"/>
  <c r="BB344" i="4"/>
  <c r="BC344" i="4" s="1"/>
  <c r="AX344" i="4"/>
  <c r="AU344" i="4"/>
  <c r="AT344" i="4"/>
  <c r="AP344" i="4"/>
  <c r="AM344" i="4"/>
  <c r="AL344" i="4"/>
  <c r="AH344" i="4"/>
  <c r="AD344" i="4"/>
  <c r="Z344" i="4"/>
  <c r="AA344" i="4" s="1"/>
  <c r="V344" i="4"/>
  <c r="S344" i="4"/>
  <c r="R344" i="4"/>
  <c r="N344" i="4"/>
  <c r="O344" i="4" s="1"/>
  <c r="K344" i="4"/>
  <c r="BG343" i="4"/>
  <c r="BF343" i="4"/>
  <c r="BB343" i="4"/>
  <c r="AX343" i="4"/>
  <c r="AT343" i="4"/>
  <c r="AP343" i="4"/>
  <c r="AM343" i="4"/>
  <c r="AL343" i="4"/>
  <c r="AH343" i="4"/>
  <c r="AD343" i="4"/>
  <c r="Z343" i="4"/>
  <c r="W343" i="4"/>
  <c r="V343" i="4"/>
  <c r="R343" i="4"/>
  <c r="N343" i="4"/>
  <c r="K343" i="4"/>
  <c r="BG342" i="4"/>
  <c r="BF342" i="4"/>
  <c r="BC342" i="4"/>
  <c r="BB342" i="4"/>
  <c r="AX342" i="4"/>
  <c r="AT342" i="4"/>
  <c r="AP342" i="4"/>
  <c r="AM342" i="4"/>
  <c r="AL342" i="4"/>
  <c r="AH342" i="4"/>
  <c r="AE342" i="4"/>
  <c r="AD342" i="4"/>
  <c r="Z342" i="4"/>
  <c r="AA342" i="4" s="1"/>
  <c r="V342" i="4"/>
  <c r="R342" i="4"/>
  <c r="S342" i="4" s="1"/>
  <c r="N342" i="4"/>
  <c r="K342" i="4"/>
  <c r="BG341" i="4"/>
  <c r="BF341" i="4"/>
  <c r="BB341" i="4"/>
  <c r="BC341" i="4" s="1"/>
  <c r="AY341" i="4"/>
  <c r="AX341" i="4"/>
  <c r="AT341" i="4"/>
  <c r="AU341" i="4" s="1"/>
  <c r="AQ341" i="4"/>
  <c r="AP341" i="4"/>
  <c r="AL341" i="4"/>
  <c r="AI341" i="4"/>
  <c r="AH341" i="4"/>
  <c r="AE341" i="4"/>
  <c r="AD341" i="4"/>
  <c r="AA341" i="4"/>
  <c r="Z341" i="4"/>
  <c r="V341" i="4"/>
  <c r="W341" i="4" s="1"/>
  <c r="R341" i="4"/>
  <c r="S341" i="4" s="1"/>
  <c r="N341" i="4"/>
  <c r="O341" i="4" s="1"/>
  <c r="BH341" i="4" s="1"/>
  <c r="BI341" i="4" s="1"/>
  <c r="K341" i="4"/>
  <c r="AM341" i="4" s="1"/>
  <c r="BF340" i="4"/>
  <c r="BB340" i="4"/>
  <c r="AX340" i="4"/>
  <c r="AT340" i="4"/>
  <c r="AP340" i="4"/>
  <c r="AL340" i="4"/>
  <c r="AH340" i="4"/>
  <c r="AE340" i="4"/>
  <c r="AD340" i="4"/>
  <c r="Z340" i="4"/>
  <c r="V340" i="4"/>
  <c r="R340" i="4"/>
  <c r="N340" i="4"/>
  <c r="K340" i="4"/>
  <c r="BF339" i="4"/>
  <c r="BB339" i="4"/>
  <c r="BC339" i="4" s="1"/>
  <c r="AX339" i="4"/>
  <c r="AY339" i="4" s="1"/>
  <c r="AT339" i="4"/>
  <c r="AU339" i="4" s="1"/>
  <c r="AQ339" i="4"/>
  <c r="AP339" i="4"/>
  <c r="AL339" i="4"/>
  <c r="AM339" i="4" s="1"/>
  <c r="AH339" i="4"/>
  <c r="AE339" i="4"/>
  <c r="AD339" i="4"/>
  <c r="Z339" i="4"/>
  <c r="AA339" i="4" s="1"/>
  <c r="V339" i="4"/>
  <c r="W339" i="4" s="1"/>
  <c r="S339" i="4"/>
  <c r="R339" i="4"/>
  <c r="N339" i="4"/>
  <c r="O339" i="4" s="1"/>
  <c r="K339" i="4"/>
  <c r="BG338" i="4"/>
  <c r="BF338" i="4"/>
  <c r="BB338" i="4"/>
  <c r="AX338" i="4"/>
  <c r="AU338" i="4"/>
  <c r="AT338" i="4"/>
  <c r="AP338" i="4"/>
  <c r="AL338" i="4"/>
  <c r="AM338" i="4" s="1"/>
  <c r="AH338" i="4"/>
  <c r="AD338" i="4"/>
  <c r="Z338" i="4"/>
  <c r="V338" i="4"/>
  <c r="R338" i="4"/>
  <c r="N338" i="4"/>
  <c r="K338" i="4"/>
  <c r="W338" i="4" s="1"/>
  <c r="BF337" i="4"/>
  <c r="BC337" i="4"/>
  <c r="BB337" i="4"/>
  <c r="AX337" i="4"/>
  <c r="AU337" i="4"/>
  <c r="AT337" i="4"/>
  <c r="AP337" i="4"/>
  <c r="AL337" i="4"/>
  <c r="AH337" i="4"/>
  <c r="AD337" i="4"/>
  <c r="AA337" i="4"/>
  <c r="Z337" i="4"/>
  <c r="V337" i="4"/>
  <c r="R337" i="4"/>
  <c r="O337" i="4"/>
  <c r="N337" i="4"/>
  <c r="K337" i="4"/>
  <c r="BF336" i="4"/>
  <c r="BB336" i="4"/>
  <c r="AX336" i="4"/>
  <c r="AT336" i="4"/>
  <c r="AP336" i="4"/>
  <c r="AL336" i="4"/>
  <c r="AI336" i="4"/>
  <c r="AH336" i="4"/>
  <c r="AE336" i="4"/>
  <c r="AD336" i="4"/>
  <c r="Z336" i="4"/>
  <c r="W336" i="4"/>
  <c r="V336" i="4"/>
  <c r="R336" i="4"/>
  <c r="N336" i="4"/>
  <c r="K336" i="4"/>
  <c r="AQ336" i="4" s="1"/>
  <c r="BF335" i="4"/>
  <c r="BG335" i="4" s="1"/>
  <c r="BB335" i="4"/>
  <c r="AX335" i="4"/>
  <c r="AY335" i="4" s="1"/>
  <c r="AU335" i="4"/>
  <c r="AT335" i="4"/>
  <c r="AQ335" i="4"/>
  <c r="AP335" i="4"/>
  <c r="AM335" i="4"/>
  <c r="AL335" i="4"/>
  <c r="AH335" i="4"/>
  <c r="AI335" i="4" s="1"/>
  <c r="AE335" i="4"/>
  <c r="AD335" i="4"/>
  <c r="Z335" i="4"/>
  <c r="W335" i="4"/>
  <c r="V335" i="4"/>
  <c r="R335" i="4"/>
  <c r="S335" i="4" s="1"/>
  <c r="O335" i="4"/>
  <c r="N335" i="4"/>
  <c r="K335" i="4"/>
  <c r="BF334" i="4"/>
  <c r="BG334" i="4" s="1"/>
  <c r="BC334" i="4"/>
  <c r="BB334" i="4"/>
  <c r="AX334" i="4"/>
  <c r="AY334" i="4" s="1"/>
  <c r="AT334" i="4"/>
  <c r="AQ334" i="4"/>
  <c r="AP334" i="4"/>
  <c r="AL334" i="4"/>
  <c r="AH334" i="4"/>
  <c r="AI334" i="4" s="1"/>
  <c r="AD334" i="4"/>
  <c r="AE334" i="4" s="1"/>
  <c r="AA334" i="4"/>
  <c r="Z334" i="4"/>
  <c r="V334" i="4"/>
  <c r="W334" i="4" s="1"/>
  <c r="R334" i="4"/>
  <c r="N334" i="4"/>
  <c r="O334" i="4" s="1"/>
  <c r="K334" i="4"/>
  <c r="AM334" i="4" s="1"/>
  <c r="BG333" i="4"/>
  <c r="BF333" i="4"/>
  <c r="BB333" i="4"/>
  <c r="AX333" i="4"/>
  <c r="AT333" i="4"/>
  <c r="AP333" i="4"/>
  <c r="AM333" i="4"/>
  <c r="AL333" i="4"/>
  <c r="AH333" i="4"/>
  <c r="AD333" i="4"/>
  <c r="AE333" i="4" s="1"/>
  <c r="AA333" i="4"/>
  <c r="Z333" i="4"/>
  <c r="V333" i="4"/>
  <c r="R333" i="4"/>
  <c r="O333" i="4"/>
  <c r="N333" i="4"/>
  <c r="K333" i="4"/>
  <c r="BG332" i="4"/>
  <c r="BF332" i="4"/>
  <c r="BB332" i="4"/>
  <c r="BC332" i="4" s="1"/>
  <c r="AY332" i="4"/>
  <c r="AX332" i="4"/>
  <c r="AU332" i="4"/>
  <c r="AT332" i="4"/>
  <c r="AP332" i="4"/>
  <c r="AQ332" i="4" s="1"/>
  <c r="AL332" i="4"/>
  <c r="AI332" i="4"/>
  <c r="AH332" i="4"/>
  <c r="AE332" i="4"/>
  <c r="AD332" i="4"/>
  <c r="Z332" i="4"/>
  <c r="AA332" i="4" s="1"/>
  <c r="W332" i="4"/>
  <c r="V332" i="4"/>
  <c r="S332" i="4"/>
  <c r="R332" i="4"/>
  <c r="N332" i="4"/>
  <c r="O332" i="4" s="1"/>
  <c r="K332" i="4"/>
  <c r="BG331" i="4"/>
  <c r="BF331" i="4"/>
  <c r="BB331" i="4"/>
  <c r="AY331" i="4"/>
  <c r="AX331" i="4"/>
  <c r="AT331" i="4"/>
  <c r="AQ331" i="4"/>
  <c r="AP331" i="4"/>
  <c r="AM331" i="4"/>
  <c r="AL331" i="4"/>
  <c r="AH331" i="4"/>
  <c r="AD331" i="4"/>
  <c r="AE331" i="4" s="1"/>
  <c r="AA331" i="4"/>
  <c r="Z331" i="4"/>
  <c r="V331" i="4"/>
  <c r="W331" i="4" s="1"/>
  <c r="R331" i="4"/>
  <c r="N331" i="4"/>
  <c r="O331" i="4" s="1"/>
  <c r="K331" i="4"/>
  <c r="BF330" i="4"/>
  <c r="BB330" i="4"/>
  <c r="AY330" i="4"/>
  <c r="AX330" i="4"/>
  <c r="AT330" i="4"/>
  <c r="AP330" i="4"/>
  <c r="AL330" i="4"/>
  <c r="AH330" i="4"/>
  <c r="AD330" i="4"/>
  <c r="Z330" i="4"/>
  <c r="V330" i="4"/>
  <c r="R330" i="4"/>
  <c r="N330" i="4"/>
  <c r="K330" i="4"/>
  <c r="AI330" i="4" s="1"/>
  <c r="BF329" i="4"/>
  <c r="BB329" i="4"/>
  <c r="AX329" i="4"/>
  <c r="AT329" i="4"/>
  <c r="AP329" i="4"/>
  <c r="AL329" i="4"/>
  <c r="AH329" i="4"/>
  <c r="AD329" i="4"/>
  <c r="Z329" i="4"/>
  <c r="V329" i="4"/>
  <c r="S329" i="4"/>
  <c r="R329" i="4"/>
  <c r="N329" i="4"/>
  <c r="K329" i="4"/>
  <c r="BG328" i="4"/>
  <c r="BF328" i="4"/>
  <c r="BB328" i="4"/>
  <c r="AX328" i="4"/>
  <c r="AU328" i="4"/>
  <c r="AT328" i="4"/>
  <c r="AP328" i="4"/>
  <c r="AL328" i="4"/>
  <c r="AH328" i="4"/>
  <c r="AI328" i="4" s="1"/>
  <c r="AE328" i="4"/>
  <c r="AD328" i="4"/>
  <c r="Z328" i="4"/>
  <c r="AA328" i="4" s="1"/>
  <c r="V328" i="4"/>
  <c r="R328" i="4"/>
  <c r="O328" i="4"/>
  <c r="N328" i="4"/>
  <c r="K328" i="4"/>
  <c r="BG327" i="4"/>
  <c r="BF327" i="4"/>
  <c r="BB327" i="4"/>
  <c r="AY327" i="4"/>
  <c r="AX327" i="4"/>
  <c r="AT327" i="4"/>
  <c r="AP327" i="4"/>
  <c r="AL327" i="4"/>
  <c r="AH327" i="4"/>
  <c r="AD327" i="4"/>
  <c r="Z327" i="4"/>
  <c r="W327" i="4"/>
  <c r="V327" i="4"/>
  <c r="R327" i="4"/>
  <c r="N327" i="4"/>
  <c r="K327" i="4"/>
  <c r="BF326" i="4"/>
  <c r="BB326" i="4"/>
  <c r="AX326" i="4"/>
  <c r="AT326" i="4"/>
  <c r="AP326" i="4"/>
  <c r="AM326" i="4"/>
  <c r="AL326" i="4"/>
  <c r="AH326" i="4"/>
  <c r="AE326" i="4"/>
  <c r="AD326" i="4"/>
  <c r="Z326" i="4"/>
  <c r="V326" i="4"/>
  <c r="R326" i="4"/>
  <c r="N326" i="4"/>
  <c r="K326" i="4"/>
  <c r="BG325" i="4"/>
  <c r="BF325" i="4"/>
  <c r="BB325" i="4"/>
  <c r="BC325" i="4" s="1"/>
  <c r="AY325" i="4"/>
  <c r="AX325" i="4"/>
  <c r="AT325" i="4"/>
  <c r="AU325" i="4" s="1"/>
  <c r="AP325" i="4"/>
  <c r="AL325" i="4"/>
  <c r="AM325" i="4" s="1"/>
  <c r="AI325" i="4"/>
  <c r="AH325" i="4"/>
  <c r="AD325" i="4"/>
  <c r="AE325" i="4" s="1"/>
  <c r="AA325" i="4"/>
  <c r="Z325" i="4"/>
  <c r="W325" i="4"/>
  <c r="V325" i="4"/>
  <c r="S325" i="4"/>
  <c r="R325" i="4"/>
  <c r="N325" i="4"/>
  <c r="K325" i="4"/>
  <c r="BF324" i="4"/>
  <c r="BB324" i="4"/>
  <c r="BC324" i="4" s="1"/>
  <c r="AX324" i="4"/>
  <c r="AT324" i="4"/>
  <c r="AQ324" i="4"/>
  <c r="AP324" i="4"/>
  <c r="AL324" i="4"/>
  <c r="AH324" i="4"/>
  <c r="AD324" i="4"/>
  <c r="Z324" i="4"/>
  <c r="V324" i="4"/>
  <c r="W324" i="4" s="1"/>
  <c r="S324" i="4"/>
  <c r="R324" i="4"/>
  <c r="N324" i="4"/>
  <c r="K324" i="4"/>
  <c r="BG323" i="4"/>
  <c r="BF323" i="4"/>
  <c r="BB323" i="4"/>
  <c r="BC323" i="4" s="1"/>
  <c r="AY323" i="4"/>
  <c r="AX323" i="4"/>
  <c r="AT323" i="4"/>
  <c r="AU323" i="4" s="1"/>
  <c r="AQ323" i="4"/>
  <c r="AP323" i="4"/>
  <c r="AL323" i="4"/>
  <c r="AI323" i="4"/>
  <c r="AH323" i="4"/>
  <c r="AE323" i="4"/>
  <c r="AD323" i="4"/>
  <c r="AA323" i="4"/>
  <c r="Z323" i="4"/>
  <c r="V323" i="4"/>
  <c r="W323" i="4" s="1"/>
  <c r="S323" i="4"/>
  <c r="R323" i="4"/>
  <c r="N323" i="4"/>
  <c r="O323" i="4" s="1"/>
  <c r="K323" i="4"/>
  <c r="BF322" i="4"/>
  <c r="BB322" i="4"/>
  <c r="AY322" i="4"/>
  <c r="AX322" i="4"/>
  <c r="AT322" i="4"/>
  <c r="AQ322" i="4"/>
  <c r="AP322" i="4"/>
  <c r="AL322" i="4"/>
  <c r="AH322" i="4"/>
  <c r="AD322" i="4"/>
  <c r="Z322" i="4"/>
  <c r="V322" i="4"/>
  <c r="S322" i="4"/>
  <c r="R322" i="4"/>
  <c r="N322" i="4"/>
  <c r="K322" i="4"/>
  <c r="BF321" i="4"/>
  <c r="BG321" i="4" s="1"/>
  <c r="BB321" i="4"/>
  <c r="AY321" i="4"/>
  <c r="AX321" i="4"/>
  <c r="AT321" i="4"/>
  <c r="AP321" i="4"/>
  <c r="AQ321" i="4" s="1"/>
  <c r="AL321" i="4"/>
  <c r="AH321" i="4"/>
  <c r="AD321" i="4"/>
  <c r="AE321" i="4" s="1"/>
  <c r="AA321" i="4"/>
  <c r="Z321" i="4"/>
  <c r="V321" i="4"/>
  <c r="S321" i="4"/>
  <c r="R321" i="4"/>
  <c r="N321" i="4"/>
  <c r="K321" i="4"/>
  <c r="BF320" i="4"/>
  <c r="BB320" i="4"/>
  <c r="BC320" i="4" s="1"/>
  <c r="AX320" i="4"/>
  <c r="AU320" i="4"/>
  <c r="AT320" i="4"/>
  <c r="AQ320" i="4"/>
  <c r="AP320" i="4"/>
  <c r="AL320" i="4"/>
  <c r="AH320" i="4"/>
  <c r="AE320" i="4"/>
  <c r="AD320" i="4"/>
  <c r="Z320" i="4"/>
  <c r="V320" i="4"/>
  <c r="R320" i="4"/>
  <c r="O320" i="4"/>
  <c r="N320" i="4"/>
  <c r="K320" i="4"/>
  <c r="BF319" i="4"/>
  <c r="BC319" i="4"/>
  <c r="BB319" i="4"/>
  <c r="AX319" i="4"/>
  <c r="AU319" i="4"/>
  <c r="AT319" i="4"/>
  <c r="AP319" i="4"/>
  <c r="AL319" i="4"/>
  <c r="AH319" i="4"/>
  <c r="AE319" i="4"/>
  <c r="AD319" i="4"/>
  <c r="Z319" i="4"/>
  <c r="W319" i="4"/>
  <c r="V319" i="4"/>
  <c r="R319" i="4"/>
  <c r="O319" i="4"/>
  <c r="N319" i="4"/>
  <c r="K319" i="4"/>
  <c r="AQ319" i="4" s="1"/>
  <c r="BF318" i="4"/>
  <c r="BC318" i="4"/>
  <c r="BB318" i="4"/>
  <c r="AX318" i="4"/>
  <c r="AT318" i="4"/>
  <c r="AP318" i="4"/>
  <c r="AL318" i="4"/>
  <c r="AM318" i="4" s="1"/>
  <c r="AI318" i="4"/>
  <c r="AH318" i="4"/>
  <c r="AD318" i="4"/>
  <c r="Z318" i="4"/>
  <c r="W318" i="4"/>
  <c r="V318" i="4"/>
  <c r="R318" i="4"/>
  <c r="N318" i="4"/>
  <c r="O318" i="4" s="1"/>
  <c r="K318" i="4"/>
  <c r="BG318" i="4" s="1"/>
  <c r="BG317" i="4"/>
  <c r="BF317" i="4"/>
  <c r="BB317" i="4"/>
  <c r="AY317" i="4"/>
  <c r="AX317" i="4"/>
  <c r="AU317" i="4"/>
  <c r="AT317" i="4"/>
  <c r="AQ317" i="4"/>
  <c r="AP317" i="4"/>
  <c r="AL317" i="4"/>
  <c r="AM317" i="4" s="1"/>
  <c r="AH317" i="4"/>
  <c r="AI317" i="4" s="1"/>
  <c r="AE317" i="4"/>
  <c r="AD317" i="4"/>
  <c r="Z317" i="4"/>
  <c r="W317" i="4"/>
  <c r="V317" i="4"/>
  <c r="R317" i="4"/>
  <c r="O317" i="4"/>
  <c r="N317" i="4"/>
  <c r="K317" i="4"/>
  <c r="S317" i="4" s="1"/>
  <c r="BF316" i="4"/>
  <c r="BG316" i="4" s="1"/>
  <c r="BC316" i="4"/>
  <c r="BB316" i="4"/>
  <c r="AX316" i="4"/>
  <c r="AY316" i="4" s="1"/>
  <c r="AU316" i="4"/>
  <c r="AT316" i="4"/>
  <c r="AP316" i="4"/>
  <c r="AM316" i="4"/>
  <c r="AL316" i="4"/>
  <c r="AH316" i="4"/>
  <c r="AE316" i="4"/>
  <c r="AD316" i="4"/>
  <c r="AA316" i="4"/>
  <c r="Z316" i="4"/>
  <c r="V316" i="4"/>
  <c r="R316" i="4"/>
  <c r="S316" i="4" s="1"/>
  <c r="N316" i="4"/>
  <c r="K316" i="4"/>
  <c r="BF315" i="4"/>
  <c r="BB315" i="4"/>
  <c r="AX315" i="4"/>
  <c r="AT315" i="4"/>
  <c r="AP315" i="4"/>
  <c r="AL315" i="4"/>
  <c r="AH315" i="4"/>
  <c r="AE315" i="4"/>
  <c r="AD315" i="4"/>
  <c r="Z315" i="4"/>
  <c r="W315" i="4"/>
  <c r="V315" i="4"/>
  <c r="R315" i="4"/>
  <c r="O315" i="4"/>
  <c r="N315" i="4"/>
  <c r="K315" i="4"/>
  <c r="AQ315" i="4" s="1"/>
  <c r="BF314" i="4"/>
  <c r="BC314" i="4"/>
  <c r="BB314" i="4"/>
  <c r="AX314" i="4"/>
  <c r="AT314" i="4"/>
  <c r="AQ314" i="4"/>
  <c r="AP314" i="4"/>
  <c r="AL314" i="4"/>
  <c r="AI314" i="4"/>
  <c r="AH314" i="4"/>
  <c r="AD314" i="4"/>
  <c r="Z314" i="4"/>
  <c r="V314" i="4"/>
  <c r="R314" i="4"/>
  <c r="N314" i="4"/>
  <c r="K314" i="4"/>
  <c r="S314" i="4" s="1"/>
  <c r="BG313" i="4"/>
  <c r="BF313" i="4"/>
  <c r="BC313" i="4"/>
  <c r="BB313" i="4"/>
  <c r="AX313" i="4"/>
  <c r="AT313" i="4"/>
  <c r="AU313" i="4" s="1"/>
  <c r="AP313" i="4"/>
  <c r="AM313" i="4"/>
  <c r="AL313" i="4"/>
  <c r="AH313" i="4"/>
  <c r="AI313" i="4" s="1"/>
  <c r="AE313" i="4"/>
  <c r="AD313" i="4"/>
  <c r="Z313" i="4"/>
  <c r="W313" i="4"/>
  <c r="V313" i="4"/>
  <c r="R313" i="4"/>
  <c r="N313" i="4"/>
  <c r="K313" i="4"/>
  <c r="BG312" i="4"/>
  <c r="BF312" i="4"/>
  <c r="BB312" i="4"/>
  <c r="AX312" i="4"/>
  <c r="AT312" i="4"/>
  <c r="AP312" i="4"/>
  <c r="AL312" i="4"/>
  <c r="AH312" i="4"/>
  <c r="AD312" i="4"/>
  <c r="AA312" i="4"/>
  <c r="Z312" i="4"/>
  <c r="V312" i="4"/>
  <c r="R312" i="4"/>
  <c r="N312" i="4"/>
  <c r="K312" i="4"/>
  <c r="BG311" i="4"/>
  <c r="BF311" i="4"/>
  <c r="BB311" i="4"/>
  <c r="BC311" i="4" s="1"/>
  <c r="AY311" i="4"/>
  <c r="AX311" i="4"/>
  <c r="AU311" i="4"/>
  <c r="AT311" i="4"/>
  <c r="AQ311" i="4"/>
  <c r="AP311" i="4"/>
  <c r="AL311" i="4"/>
  <c r="AI311" i="4"/>
  <c r="AH311" i="4"/>
  <c r="AE311" i="4"/>
  <c r="AD311" i="4"/>
  <c r="AA311" i="4"/>
  <c r="Z311" i="4"/>
  <c r="V311" i="4"/>
  <c r="W311" i="4" s="1"/>
  <c r="R311" i="4"/>
  <c r="S311" i="4" s="1"/>
  <c r="O311" i="4"/>
  <c r="N311" i="4"/>
  <c r="K311" i="4"/>
  <c r="BF310" i="4"/>
  <c r="BG310" i="4" s="1"/>
  <c r="BC310" i="4"/>
  <c r="BB310" i="4"/>
  <c r="AY310" i="4"/>
  <c r="AX310" i="4"/>
  <c r="AU310" i="4"/>
  <c r="AT310" i="4"/>
  <c r="AP310" i="4"/>
  <c r="AQ310" i="4" s="1"/>
  <c r="AL310" i="4"/>
  <c r="AH310" i="4"/>
  <c r="AI310" i="4" s="1"/>
  <c r="AD310" i="4"/>
  <c r="AE310" i="4" s="1"/>
  <c r="AA310" i="4"/>
  <c r="Z310" i="4"/>
  <c r="W310" i="4"/>
  <c r="V310" i="4"/>
  <c r="S310" i="4"/>
  <c r="R310" i="4"/>
  <c r="N310" i="4"/>
  <c r="O310" i="4" s="1"/>
  <c r="K310" i="4"/>
  <c r="AM310" i="4" s="1"/>
  <c r="BF309" i="4"/>
  <c r="BG309" i="4" s="1"/>
  <c r="BB309" i="4"/>
  <c r="BC309" i="4" s="1"/>
  <c r="AX309" i="4"/>
  <c r="AY309" i="4" s="1"/>
  <c r="AU309" i="4"/>
  <c r="AT309" i="4"/>
  <c r="AQ309" i="4"/>
  <c r="AP309" i="4"/>
  <c r="AM309" i="4"/>
  <c r="AL309" i="4"/>
  <c r="AH309" i="4"/>
  <c r="AD309" i="4"/>
  <c r="AA309" i="4"/>
  <c r="Z309" i="4"/>
  <c r="W309" i="4"/>
  <c r="V309" i="4"/>
  <c r="R309" i="4"/>
  <c r="S309" i="4" s="1"/>
  <c r="O309" i="4"/>
  <c r="N309" i="4"/>
  <c r="K309" i="4"/>
  <c r="BF308" i="4"/>
  <c r="BB308" i="4"/>
  <c r="AX308" i="4"/>
  <c r="AT308" i="4"/>
  <c r="AP308" i="4"/>
  <c r="AQ308" i="4" s="1"/>
  <c r="AM308" i="4"/>
  <c r="AL308" i="4"/>
  <c r="AH308" i="4"/>
  <c r="AE308" i="4"/>
  <c r="AD308" i="4"/>
  <c r="Z308" i="4"/>
  <c r="V308" i="4"/>
  <c r="R308" i="4"/>
  <c r="N308" i="4"/>
  <c r="O308" i="4" s="1"/>
  <c r="K308" i="4"/>
  <c r="BF307" i="4"/>
  <c r="BC307" i="4"/>
  <c r="BB307" i="4"/>
  <c r="AX307" i="4"/>
  <c r="AU307" i="4"/>
  <c r="AT307" i="4"/>
  <c r="AP307" i="4"/>
  <c r="AL307" i="4"/>
  <c r="AI307" i="4"/>
  <c r="AH307" i="4"/>
  <c r="AD307" i="4"/>
  <c r="AA307" i="4"/>
  <c r="Z307" i="4"/>
  <c r="V307" i="4"/>
  <c r="R307" i="4"/>
  <c r="N307" i="4"/>
  <c r="K307" i="4"/>
  <c r="AQ307" i="4" s="1"/>
  <c r="BF306" i="4"/>
  <c r="BB306" i="4"/>
  <c r="AY306" i="4"/>
  <c r="AX306" i="4"/>
  <c r="AT306" i="4"/>
  <c r="AQ306" i="4"/>
  <c r="AP306" i="4"/>
  <c r="AL306" i="4"/>
  <c r="AI306" i="4"/>
  <c r="AH306" i="4"/>
  <c r="AD306" i="4"/>
  <c r="Z306" i="4"/>
  <c r="W306" i="4"/>
  <c r="V306" i="4"/>
  <c r="R306" i="4"/>
  <c r="O306" i="4"/>
  <c r="N306" i="4"/>
  <c r="K306" i="4"/>
  <c r="BG305" i="4"/>
  <c r="BF305" i="4"/>
  <c r="BB305" i="4"/>
  <c r="AX305" i="4"/>
  <c r="AT305" i="4"/>
  <c r="AP305" i="4"/>
  <c r="AM305" i="4"/>
  <c r="AL305" i="4"/>
  <c r="AI305" i="4"/>
  <c r="AH305" i="4"/>
  <c r="AE305" i="4"/>
  <c r="AD305" i="4"/>
  <c r="Z305" i="4"/>
  <c r="W305" i="4"/>
  <c r="V305" i="4"/>
  <c r="S305" i="4"/>
  <c r="R305" i="4"/>
  <c r="N305" i="4"/>
  <c r="K305" i="4"/>
  <c r="BG304" i="4"/>
  <c r="BF304" i="4"/>
  <c r="BC304" i="4"/>
  <c r="BB304" i="4"/>
  <c r="AY304" i="4"/>
  <c r="AX304" i="4"/>
  <c r="AT304" i="4"/>
  <c r="AQ304" i="4"/>
  <c r="AP304" i="4"/>
  <c r="AL304" i="4"/>
  <c r="AI304" i="4"/>
  <c r="AH304" i="4"/>
  <c r="AD304" i="4"/>
  <c r="AE304" i="4" s="1"/>
  <c r="AA304" i="4"/>
  <c r="Z304" i="4"/>
  <c r="V304" i="4"/>
  <c r="W304" i="4" s="1"/>
  <c r="R304" i="4"/>
  <c r="O304" i="4"/>
  <c r="N304" i="4"/>
  <c r="K304" i="4"/>
  <c r="AM304" i="4" s="1"/>
  <c r="BF303" i="4"/>
  <c r="BB303" i="4"/>
  <c r="AX303" i="4"/>
  <c r="AT303" i="4"/>
  <c r="AP303" i="4"/>
  <c r="AM303" i="4"/>
  <c r="AL303" i="4"/>
  <c r="AH303" i="4"/>
  <c r="AD303" i="4"/>
  <c r="AA303" i="4"/>
  <c r="Z303" i="4"/>
  <c r="V303" i="4"/>
  <c r="R303" i="4"/>
  <c r="O303" i="4"/>
  <c r="N303" i="4"/>
  <c r="K303" i="4"/>
  <c r="BF302" i="4"/>
  <c r="BC302" i="4"/>
  <c r="BB302" i="4"/>
  <c r="AY302" i="4"/>
  <c r="AX302" i="4"/>
  <c r="AU302" i="4"/>
  <c r="AT302" i="4"/>
  <c r="AQ302" i="4"/>
  <c r="AP302" i="4"/>
  <c r="AL302" i="4"/>
  <c r="AI302" i="4"/>
  <c r="AH302" i="4"/>
  <c r="AD302" i="4"/>
  <c r="AA302" i="4"/>
  <c r="Z302" i="4"/>
  <c r="W302" i="4"/>
  <c r="V302" i="4"/>
  <c r="R302" i="4"/>
  <c r="S302" i="4" s="1"/>
  <c r="O302" i="4"/>
  <c r="N302" i="4"/>
  <c r="K302" i="4"/>
  <c r="BF301" i="4"/>
  <c r="BC301" i="4"/>
  <c r="BB301" i="4"/>
  <c r="AX301" i="4"/>
  <c r="AT301" i="4"/>
  <c r="AP301" i="4"/>
  <c r="AL301" i="4"/>
  <c r="AH301" i="4"/>
  <c r="AD301" i="4"/>
  <c r="Z301" i="4"/>
  <c r="V301" i="4"/>
  <c r="R301" i="4"/>
  <c r="N301" i="4"/>
  <c r="K301" i="4"/>
  <c r="BF300" i="4"/>
  <c r="BC300" i="4"/>
  <c r="BB300" i="4"/>
  <c r="AX300" i="4"/>
  <c r="AU300" i="4"/>
  <c r="AT300" i="4"/>
  <c r="AP300" i="4"/>
  <c r="AL300" i="4"/>
  <c r="AM300" i="4" s="1"/>
  <c r="AH300" i="4"/>
  <c r="AI300" i="4" s="1"/>
  <c r="AD300" i="4"/>
  <c r="AA300" i="4"/>
  <c r="Z300" i="4"/>
  <c r="V300" i="4"/>
  <c r="S300" i="4"/>
  <c r="R300" i="4"/>
  <c r="O300" i="4"/>
  <c r="N300" i="4"/>
  <c r="K300" i="4"/>
  <c r="BG299" i="4"/>
  <c r="BF299" i="4"/>
  <c r="BB299" i="4"/>
  <c r="BC299" i="4" s="1"/>
  <c r="AX299" i="4"/>
  <c r="AT299" i="4"/>
  <c r="AU299" i="4" s="1"/>
  <c r="AP299" i="4"/>
  <c r="AM299" i="4"/>
  <c r="AL299" i="4"/>
  <c r="AH299" i="4"/>
  <c r="AI299" i="4" s="1"/>
  <c r="AE299" i="4"/>
  <c r="AD299" i="4"/>
  <c r="Z299" i="4"/>
  <c r="W299" i="4"/>
  <c r="V299" i="4"/>
  <c r="R299" i="4"/>
  <c r="N299" i="4"/>
  <c r="K299" i="4"/>
  <c r="BF298" i="4"/>
  <c r="BB298" i="4"/>
  <c r="AX298" i="4"/>
  <c r="AT298" i="4"/>
  <c r="AP298" i="4"/>
  <c r="AL298" i="4"/>
  <c r="AH298" i="4"/>
  <c r="AD298" i="4"/>
  <c r="Z298" i="4"/>
  <c r="V298" i="4"/>
  <c r="R298" i="4"/>
  <c r="N298" i="4"/>
  <c r="K298" i="4"/>
  <c r="BF297" i="4"/>
  <c r="BG297" i="4" s="1"/>
  <c r="BC297" i="4"/>
  <c r="BB297" i="4"/>
  <c r="AY297" i="4"/>
  <c r="AX297" i="4"/>
  <c r="AU297" i="4"/>
  <c r="AT297" i="4"/>
  <c r="AQ297" i="4"/>
  <c r="AP297" i="4"/>
  <c r="AL297" i="4"/>
  <c r="AI297" i="4"/>
  <c r="AH297" i="4"/>
  <c r="AD297" i="4"/>
  <c r="AE297" i="4" s="1"/>
  <c r="AA297" i="4"/>
  <c r="Z297" i="4"/>
  <c r="V297" i="4"/>
  <c r="W297" i="4" s="1"/>
  <c r="R297" i="4"/>
  <c r="S297" i="4" s="1"/>
  <c r="O297" i="4"/>
  <c r="N297" i="4"/>
  <c r="K297" i="4"/>
  <c r="BF296" i="4"/>
  <c r="BB296" i="4"/>
  <c r="BC296" i="4" s="1"/>
  <c r="AY296" i="4"/>
  <c r="AX296" i="4"/>
  <c r="AU296" i="4"/>
  <c r="AT296" i="4"/>
  <c r="AP296" i="4"/>
  <c r="AQ296" i="4" s="1"/>
  <c r="AL296" i="4"/>
  <c r="AH296" i="4"/>
  <c r="AI296" i="4" s="1"/>
  <c r="AD296" i="4"/>
  <c r="Z296" i="4"/>
  <c r="AA296" i="4" s="1"/>
  <c r="W296" i="4"/>
  <c r="V296" i="4"/>
  <c r="S296" i="4"/>
  <c r="R296" i="4"/>
  <c r="O296" i="4"/>
  <c r="N296" i="4"/>
  <c r="K296" i="4"/>
  <c r="AM296" i="4" s="1"/>
  <c r="BG295" i="4"/>
  <c r="BF295" i="4"/>
  <c r="BB295" i="4"/>
  <c r="BC295" i="4" s="1"/>
  <c r="AY295" i="4"/>
  <c r="AX295" i="4"/>
  <c r="AT295" i="4"/>
  <c r="AU295" i="4" s="1"/>
  <c r="AQ295" i="4"/>
  <c r="AP295" i="4"/>
  <c r="AM295" i="4"/>
  <c r="AL295" i="4"/>
  <c r="AH295" i="4"/>
  <c r="AD295" i="4"/>
  <c r="AA295" i="4"/>
  <c r="Z295" i="4"/>
  <c r="W295" i="4"/>
  <c r="V295" i="4"/>
  <c r="S295" i="4"/>
  <c r="R295" i="4"/>
  <c r="N295" i="4"/>
  <c r="O295" i="4" s="1"/>
  <c r="K295" i="4"/>
  <c r="BG294" i="4"/>
  <c r="BF294" i="4"/>
  <c r="BB294" i="4"/>
  <c r="AX294" i="4"/>
  <c r="AU294" i="4"/>
  <c r="AT294" i="4"/>
  <c r="AP294" i="4"/>
  <c r="AL294" i="4"/>
  <c r="AH294" i="4"/>
  <c r="AE294" i="4"/>
  <c r="AD294" i="4"/>
  <c r="Z294" i="4"/>
  <c r="W294" i="4"/>
  <c r="V294" i="4"/>
  <c r="R294" i="4"/>
  <c r="O294" i="4"/>
  <c r="N294" i="4"/>
  <c r="K294" i="4"/>
  <c r="BF293" i="4"/>
  <c r="BB293" i="4"/>
  <c r="AX293" i="4"/>
  <c r="AT293" i="4"/>
  <c r="AQ293" i="4"/>
  <c r="AP293" i="4"/>
  <c r="AL293" i="4"/>
  <c r="AI293" i="4"/>
  <c r="AH293" i="4"/>
  <c r="AD293" i="4"/>
  <c r="Z293" i="4"/>
  <c r="V293" i="4"/>
  <c r="R293" i="4"/>
  <c r="N293" i="4"/>
  <c r="K293" i="4"/>
  <c r="AA293" i="4" s="1"/>
  <c r="BG292" i="4"/>
  <c r="BF292" i="4"/>
  <c r="BB292" i="4"/>
  <c r="AY292" i="4"/>
  <c r="AX292" i="4"/>
  <c r="AT292" i="4"/>
  <c r="AP292" i="4"/>
  <c r="AM292" i="4"/>
  <c r="AL292" i="4"/>
  <c r="AI292" i="4"/>
  <c r="AH292" i="4"/>
  <c r="AE292" i="4"/>
  <c r="AD292" i="4"/>
  <c r="Z292" i="4"/>
  <c r="W292" i="4"/>
  <c r="V292" i="4"/>
  <c r="R292" i="4"/>
  <c r="O292" i="4"/>
  <c r="N292" i="4"/>
  <c r="K292" i="4"/>
  <c r="BF291" i="4"/>
  <c r="BG291" i="4" s="1"/>
  <c r="BB291" i="4"/>
  <c r="AX291" i="4"/>
  <c r="AU291" i="4"/>
  <c r="AT291" i="4"/>
  <c r="AP291" i="4"/>
  <c r="AM291" i="4"/>
  <c r="AL291" i="4"/>
  <c r="AH291" i="4"/>
  <c r="AD291" i="4"/>
  <c r="Z291" i="4"/>
  <c r="W291" i="4"/>
  <c r="V291" i="4"/>
  <c r="R291" i="4"/>
  <c r="S291" i="4" s="1"/>
  <c r="N291" i="4"/>
  <c r="K291" i="4"/>
  <c r="BG290" i="4"/>
  <c r="BF290" i="4"/>
  <c r="BC290" i="4"/>
  <c r="BB290" i="4"/>
  <c r="AX290" i="4"/>
  <c r="AY290" i="4" s="1"/>
  <c r="AT290" i="4"/>
  <c r="AQ290" i="4"/>
  <c r="AP290" i="4"/>
  <c r="AL290" i="4"/>
  <c r="AI290" i="4"/>
  <c r="AH290" i="4"/>
  <c r="AD290" i="4"/>
  <c r="AE290" i="4" s="1"/>
  <c r="AA290" i="4"/>
  <c r="Z290" i="4"/>
  <c r="V290" i="4"/>
  <c r="W290" i="4" s="1"/>
  <c r="R290" i="4"/>
  <c r="O290" i="4"/>
  <c r="N290" i="4"/>
  <c r="K290" i="4"/>
  <c r="AM290" i="4" s="1"/>
  <c r="BF289" i="4"/>
  <c r="BC289" i="4"/>
  <c r="BB289" i="4"/>
  <c r="AX289" i="4"/>
  <c r="AU289" i="4"/>
  <c r="AT289" i="4"/>
  <c r="AP289" i="4"/>
  <c r="AM289" i="4"/>
  <c r="AL289" i="4"/>
  <c r="AH289" i="4"/>
  <c r="AE289" i="4"/>
  <c r="AD289" i="4"/>
  <c r="AA289" i="4"/>
  <c r="Z289" i="4"/>
  <c r="V289" i="4"/>
  <c r="S289" i="4"/>
  <c r="R289" i="4"/>
  <c r="O289" i="4"/>
  <c r="N289" i="4"/>
  <c r="K289" i="4"/>
  <c r="BF288" i="4"/>
  <c r="BC288" i="4"/>
  <c r="BB288" i="4"/>
  <c r="AY288" i="4"/>
  <c r="AX288" i="4"/>
  <c r="AU288" i="4"/>
  <c r="AT288" i="4"/>
  <c r="AQ288" i="4"/>
  <c r="AP288" i="4"/>
  <c r="AL288" i="4"/>
  <c r="AI288" i="4"/>
  <c r="AH288" i="4"/>
  <c r="AD288" i="4"/>
  <c r="AA288" i="4"/>
  <c r="Z288" i="4"/>
  <c r="W288" i="4"/>
  <c r="V288" i="4"/>
  <c r="S288" i="4"/>
  <c r="R288" i="4"/>
  <c r="O288" i="4"/>
  <c r="N288" i="4"/>
  <c r="K288" i="4"/>
  <c r="BF287" i="4"/>
  <c r="BC287" i="4"/>
  <c r="BB287" i="4"/>
  <c r="AX287" i="4"/>
  <c r="AT287" i="4"/>
  <c r="AP287" i="4"/>
  <c r="AL287" i="4"/>
  <c r="AH287" i="4"/>
  <c r="AE287" i="4"/>
  <c r="AD287" i="4"/>
  <c r="Z287" i="4"/>
  <c r="V287" i="4"/>
  <c r="R287" i="4"/>
  <c r="N287" i="4"/>
  <c r="K287" i="4"/>
  <c r="BF286" i="4"/>
  <c r="BC286" i="4"/>
  <c r="BB286" i="4"/>
  <c r="AX286" i="4"/>
  <c r="AU286" i="4"/>
  <c r="AT286" i="4"/>
  <c r="AP286" i="4"/>
  <c r="AM286" i="4"/>
  <c r="AL286" i="4"/>
  <c r="AH286" i="4"/>
  <c r="AD286" i="4"/>
  <c r="AA286" i="4"/>
  <c r="Z286" i="4"/>
  <c r="V286" i="4"/>
  <c r="S286" i="4"/>
  <c r="R286" i="4"/>
  <c r="O286" i="4"/>
  <c r="N286" i="4"/>
  <c r="K286" i="4"/>
  <c r="BG285" i="4"/>
  <c r="BF285" i="4"/>
  <c r="BC285" i="4"/>
  <c r="BB285" i="4"/>
  <c r="AY285" i="4"/>
  <c r="AX285" i="4"/>
  <c r="AT285" i="4"/>
  <c r="AU285" i="4" s="1"/>
  <c r="AP285" i="4"/>
  <c r="AM285" i="4"/>
  <c r="AL285" i="4"/>
  <c r="AH285" i="4"/>
  <c r="AI285" i="4" s="1"/>
  <c r="AE285" i="4"/>
  <c r="AD285" i="4"/>
  <c r="Z285" i="4"/>
  <c r="W285" i="4"/>
  <c r="V285" i="4"/>
  <c r="R285" i="4"/>
  <c r="N285" i="4"/>
  <c r="K285" i="4"/>
  <c r="AA285" i="4" s="1"/>
  <c r="BG284" i="4"/>
  <c r="BF284" i="4"/>
  <c r="BB284" i="4"/>
  <c r="AX284" i="4"/>
  <c r="AT284" i="4"/>
  <c r="AP284" i="4"/>
  <c r="AL284" i="4"/>
  <c r="AH284" i="4"/>
  <c r="AI284" i="4" s="1"/>
  <c r="AE284" i="4"/>
  <c r="AD284" i="4"/>
  <c r="AA284" i="4"/>
  <c r="Z284" i="4"/>
  <c r="V284" i="4"/>
  <c r="S284" i="4"/>
  <c r="R284" i="4"/>
  <c r="N284" i="4"/>
  <c r="K284" i="4"/>
  <c r="AM284" i="4" s="1"/>
  <c r="BF283" i="4"/>
  <c r="BG283" i="4" s="1"/>
  <c r="BB283" i="4"/>
  <c r="BC283" i="4" s="1"/>
  <c r="AY283" i="4"/>
  <c r="AX283" i="4"/>
  <c r="AU283" i="4"/>
  <c r="AT283" i="4"/>
  <c r="AQ283" i="4"/>
  <c r="AP283" i="4"/>
  <c r="AL283" i="4"/>
  <c r="AI283" i="4"/>
  <c r="AH283" i="4"/>
  <c r="AE283" i="4"/>
  <c r="AD283" i="4"/>
  <c r="AA283" i="4"/>
  <c r="Z283" i="4"/>
  <c r="W283" i="4"/>
  <c r="V283" i="4"/>
  <c r="R283" i="4"/>
  <c r="S283" i="4" s="1"/>
  <c r="O283" i="4"/>
  <c r="N283" i="4"/>
  <c r="K283" i="4"/>
  <c r="BF282" i="4"/>
  <c r="BB282" i="4"/>
  <c r="BC282" i="4" s="1"/>
  <c r="AX282" i="4"/>
  <c r="AY282" i="4" s="1"/>
  <c r="AU282" i="4"/>
  <c r="AT282" i="4"/>
  <c r="AP282" i="4"/>
  <c r="AQ282" i="4" s="1"/>
  <c r="AL282" i="4"/>
  <c r="AI282" i="4"/>
  <c r="AH282" i="4"/>
  <c r="AD282" i="4"/>
  <c r="AA282" i="4"/>
  <c r="Z282" i="4"/>
  <c r="V282" i="4"/>
  <c r="W282" i="4" s="1"/>
  <c r="S282" i="4"/>
  <c r="R282" i="4"/>
  <c r="N282" i="4"/>
  <c r="O282" i="4" s="1"/>
  <c r="K282" i="4"/>
  <c r="AM282" i="4" s="1"/>
  <c r="BF281" i="4"/>
  <c r="BG281" i="4" s="1"/>
  <c r="BB281" i="4"/>
  <c r="BC281" i="4" s="1"/>
  <c r="AX281" i="4"/>
  <c r="AY281" i="4" s="1"/>
  <c r="AU281" i="4"/>
  <c r="AT281" i="4"/>
  <c r="AQ281" i="4"/>
  <c r="AP281" i="4"/>
  <c r="AL281" i="4"/>
  <c r="AM281" i="4" s="1"/>
  <c r="AH281" i="4"/>
  <c r="AD281" i="4"/>
  <c r="AA281" i="4"/>
  <c r="Z281" i="4"/>
  <c r="W281" i="4"/>
  <c r="V281" i="4"/>
  <c r="R281" i="4"/>
  <c r="S281" i="4" s="1"/>
  <c r="O281" i="4"/>
  <c r="N281" i="4"/>
  <c r="K281" i="4"/>
  <c r="BF280" i="4"/>
  <c r="BB280" i="4"/>
  <c r="AY280" i="4"/>
  <c r="AX280" i="4"/>
  <c r="AT280" i="4"/>
  <c r="AU280" i="4" s="1"/>
  <c r="AP280" i="4"/>
  <c r="AM280" i="4"/>
  <c r="AL280" i="4"/>
  <c r="AH280" i="4"/>
  <c r="AD280" i="4"/>
  <c r="Z280" i="4"/>
  <c r="W280" i="4"/>
  <c r="V280" i="4"/>
  <c r="R280" i="4"/>
  <c r="S280" i="4" s="1"/>
  <c r="N280" i="4"/>
  <c r="O280" i="4" s="1"/>
  <c r="K280" i="4"/>
  <c r="BF279" i="4"/>
  <c r="BC279" i="4"/>
  <c r="BB279" i="4"/>
  <c r="AX279" i="4"/>
  <c r="AU279" i="4"/>
  <c r="AT279" i="4"/>
  <c r="AP279" i="4"/>
  <c r="AQ279" i="4" s="1"/>
  <c r="AM279" i="4"/>
  <c r="AL279" i="4"/>
  <c r="AI279" i="4"/>
  <c r="AH279" i="4"/>
  <c r="AD279" i="4"/>
  <c r="Z279" i="4"/>
  <c r="AA279" i="4" s="1"/>
  <c r="V279" i="4"/>
  <c r="R279" i="4"/>
  <c r="S279" i="4" s="1"/>
  <c r="N279" i="4"/>
  <c r="K279" i="4"/>
  <c r="BF278" i="4"/>
  <c r="BB278" i="4"/>
  <c r="AX278" i="4"/>
  <c r="AT278" i="4"/>
  <c r="AQ278" i="4"/>
  <c r="AP278" i="4"/>
  <c r="AL278" i="4"/>
  <c r="AI278" i="4"/>
  <c r="AH278" i="4"/>
  <c r="AD278" i="4"/>
  <c r="Z278" i="4"/>
  <c r="V278" i="4"/>
  <c r="R278" i="4"/>
  <c r="N278" i="4"/>
  <c r="K278" i="4"/>
  <c r="AE278" i="4" s="1"/>
  <c r="BF277" i="4"/>
  <c r="BB277" i="4"/>
  <c r="AX277" i="4"/>
  <c r="AU277" i="4"/>
  <c r="AT277" i="4"/>
  <c r="AP277" i="4"/>
  <c r="AM277" i="4"/>
  <c r="AL277" i="4"/>
  <c r="AH277" i="4"/>
  <c r="AD277" i="4"/>
  <c r="Z277" i="4"/>
  <c r="V277" i="4"/>
  <c r="R277" i="4"/>
  <c r="N277" i="4"/>
  <c r="K277" i="4"/>
  <c r="BF276" i="4"/>
  <c r="BG276" i="4" s="1"/>
  <c r="BC276" i="4"/>
  <c r="BB276" i="4"/>
  <c r="AY276" i="4"/>
  <c r="AX276" i="4"/>
  <c r="AT276" i="4"/>
  <c r="AQ276" i="4"/>
  <c r="AP276" i="4"/>
  <c r="AL276" i="4"/>
  <c r="AI276" i="4"/>
  <c r="AH276" i="4"/>
  <c r="AD276" i="4"/>
  <c r="AE276" i="4" s="1"/>
  <c r="AA276" i="4"/>
  <c r="Z276" i="4"/>
  <c r="W276" i="4"/>
  <c r="V276" i="4"/>
  <c r="R276" i="4"/>
  <c r="O276" i="4"/>
  <c r="N276" i="4"/>
  <c r="K276" i="4"/>
  <c r="AM276" i="4" s="1"/>
  <c r="BF275" i="4"/>
  <c r="BB275" i="4"/>
  <c r="AX275" i="4"/>
  <c r="AT275" i="4"/>
  <c r="AU275" i="4" s="1"/>
  <c r="AP275" i="4"/>
  <c r="AL275" i="4"/>
  <c r="AH275" i="4"/>
  <c r="AD275" i="4"/>
  <c r="Z275" i="4"/>
  <c r="W275" i="4"/>
  <c r="V275" i="4"/>
  <c r="R275" i="4"/>
  <c r="N275" i="4"/>
  <c r="K275" i="4"/>
  <c r="AA275" i="4" s="1"/>
  <c r="BG274" i="4"/>
  <c r="BF274" i="4"/>
  <c r="BB274" i="4"/>
  <c r="AY274" i="4"/>
  <c r="AX274" i="4"/>
  <c r="AT274" i="4"/>
  <c r="AU274" i="4" s="1"/>
  <c r="AP274" i="4"/>
  <c r="AL274" i="4"/>
  <c r="AM274" i="4" s="1"/>
  <c r="AH274" i="4"/>
  <c r="AE274" i="4"/>
  <c r="AD274" i="4"/>
  <c r="Z274" i="4"/>
  <c r="V274" i="4"/>
  <c r="W274" i="4" s="1"/>
  <c r="S274" i="4"/>
  <c r="R274" i="4"/>
  <c r="O274" i="4"/>
  <c r="N274" i="4"/>
  <c r="K274" i="4"/>
  <c r="BF273" i="4"/>
  <c r="BC273" i="4"/>
  <c r="BB273" i="4"/>
  <c r="AX273" i="4"/>
  <c r="AY273" i="4" s="1"/>
  <c r="AU273" i="4"/>
  <c r="AT273" i="4"/>
  <c r="AP273" i="4"/>
  <c r="AQ273" i="4" s="1"/>
  <c r="AL273" i="4"/>
  <c r="AI273" i="4"/>
  <c r="AH273" i="4"/>
  <c r="AD273" i="4"/>
  <c r="AA273" i="4"/>
  <c r="Z273" i="4"/>
  <c r="V273" i="4"/>
  <c r="W273" i="4" s="1"/>
  <c r="R273" i="4"/>
  <c r="S273" i="4" s="1"/>
  <c r="O273" i="4"/>
  <c r="N273" i="4"/>
  <c r="K273" i="4"/>
  <c r="BG273" i="4" s="1"/>
  <c r="BF272" i="4"/>
  <c r="BB272" i="4"/>
  <c r="AX272" i="4"/>
  <c r="AU272" i="4"/>
  <c r="AT272" i="4"/>
  <c r="AP272" i="4"/>
  <c r="AL272" i="4"/>
  <c r="AH272" i="4"/>
  <c r="AD272" i="4"/>
  <c r="Z272" i="4"/>
  <c r="V272" i="4"/>
  <c r="R272" i="4"/>
  <c r="O272" i="4"/>
  <c r="N272" i="4"/>
  <c r="K272" i="4"/>
  <c r="BF271" i="4"/>
  <c r="BB271" i="4"/>
  <c r="AX271" i="4"/>
  <c r="AT271" i="4"/>
  <c r="AQ271" i="4"/>
  <c r="AP271" i="4"/>
  <c r="AL271" i="4"/>
  <c r="AM271" i="4" s="1"/>
  <c r="AH271" i="4"/>
  <c r="AD271" i="4"/>
  <c r="Z271" i="4"/>
  <c r="V271" i="4"/>
  <c r="R271" i="4"/>
  <c r="N271" i="4"/>
  <c r="K271" i="4"/>
  <c r="AE271" i="4" s="1"/>
  <c r="BF270" i="4"/>
  <c r="BG270" i="4" s="1"/>
  <c r="BB270" i="4"/>
  <c r="AX270" i="4"/>
  <c r="AY270" i="4" s="1"/>
  <c r="AT270" i="4"/>
  <c r="AP270" i="4"/>
  <c r="AL270" i="4"/>
  <c r="AM270" i="4" s="1"/>
  <c r="AH270" i="4"/>
  <c r="AE270" i="4"/>
  <c r="AD270" i="4"/>
  <c r="Z270" i="4"/>
  <c r="W270" i="4"/>
  <c r="V270" i="4"/>
  <c r="R270" i="4"/>
  <c r="N270" i="4"/>
  <c r="O270" i="4" s="1"/>
  <c r="K270" i="4"/>
  <c r="BF269" i="4"/>
  <c r="BB269" i="4"/>
  <c r="AX269" i="4"/>
  <c r="AT269" i="4"/>
  <c r="AP269" i="4"/>
  <c r="AL269" i="4"/>
  <c r="AH269" i="4"/>
  <c r="AD269" i="4"/>
  <c r="Z269" i="4"/>
  <c r="V269" i="4"/>
  <c r="R269" i="4"/>
  <c r="N269" i="4"/>
  <c r="K269" i="4"/>
  <c r="BG268" i="4"/>
  <c r="BF268" i="4"/>
  <c r="BC268" i="4"/>
  <c r="BB268" i="4"/>
  <c r="AX268" i="4"/>
  <c r="AU268" i="4"/>
  <c r="AT268" i="4"/>
  <c r="AP268" i="4"/>
  <c r="AM268" i="4"/>
  <c r="AL268" i="4"/>
  <c r="AI268" i="4"/>
  <c r="AH268" i="4"/>
  <c r="AE268" i="4"/>
  <c r="AD268" i="4"/>
  <c r="AA268" i="4"/>
  <c r="Z268" i="4"/>
  <c r="V268" i="4"/>
  <c r="R268" i="4"/>
  <c r="N268" i="4"/>
  <c r="K268" i="4"/>
  <c r="S268" i="4" s="1"/>
  <c r="BF267" i="4"/>
  <c r="BB267" i="4"/>
  <c r="AX267" i="4"/>
  <c r="AT267" i="4"/>
  <c r="AP267" i="4"/>
  <c r="AL267" i="4"/>
  <c r="AH267" i="4"/>
  <c r="AD267" i="4"/>
  <c r="Z267" i="4"/>
  <c r="V267" i="4"/>
  <c r="R267" i="4"/>
  <c r="N267" i="4"/>
  <c r="K267" i="4"/>
  <c r="BG266" i="4"/>
  <c r="BF266" i="4"/>
  <c r="BC266" i="4"/>
  <c r="BB266" i="4"/>
  <c r="AY266" i="4"/>
  <c r="AX266" i="4"/>
  <c r="AU266" i="4"/>
  <c r="AT266" i="4"/>
  <c r="AP266" i="4"/>
  <c r="AQ266" i="4" s="1"/>
  <c r="AL266" i="4"/>
  <c r="AI266" i="4"/>
  <c r="AH266" i="4"/>
  <c r="AD266" i="4"/>
  <c r="AE266" i="4" s="1"/>
  <c r="AA266" i="4"/>
  <c r="Z266" i="4"/>
  <c r="V266" i="4"/>
  <c r="W266" i="4" s="1"/>
  <c r="S266" i="4"/>
  <c r="R266" i="4"/>
  <c r="O266" i="4"/>
  <c r="N266" i="4"/>
  <c r="K266" i="4"/>
  <c r="BF265" i="4"/>
  <c r="BC265" i="4"/>
  <c r="BB265" i="4"/>
  <c r="AX265" i="4"/>
  <c r="AT265" i="4"/>
  <c r="AP265" i="4"/>
  <c r="AL265" i="4"/>
  <c r="AH265" i="4"/>
  <c r="AD265" i="4"/>
  <c r="Z265" i="4"/>
  <c r="V265" i="4"/>
  <c r="R265" i="4"/>
  <c r="N265" i="4"/>
  <c r="K265" i="4"/>
  <c r="BG264" i="4"/>
  <c r="BF264" i="4"/>
  <c r="BB264" i="4"/>
  <c r="BC264" i="4" s="1"/>
  <c r="AY264" i="4"/>
  <c r="AX264" i="4"/>
  <c r="AU264" i="4"/>
  <c r="AT264" i="4"/>
  <c r="AP264" i="4"/>
  <c r="AM264" i="4"/>
  <c r="AL264" i="4"/>
  <c r="AH264" i="4"/>
  <c r="AE264" i="4"/>
  <c r="AD264" i="4"/>
  <c r="AA264" i="4"/>
  <c r="Z264" i="4"/>
  <c r="W264" i="4"/>
  <c r="V264" i="4"/>
  <c r="R264" i="4"/>
  <c r="S264" i="4" s="1"/>
  <c r="N264" i="4"/>
  <c r="K264" i="4"/>
  <c r="BG263" i="4"/>
  <c r="BF263" i="4"/>
  <c r="BB263" i="4"/>
  <c r="BC263" i="4" s="1"/>
  <c r="AX263" i="4"/>
  <c r="AY263" i="4" s="1"/>
  <c r="AT263" i="4"/>
  <c r="AQ263" i="4"/>
  <c r="AP263" i="4"/>
  <c r="AL263" i="4"/>
  <c r="AI263" i="4"/>
  <c r="AH263" i="4"/>
  <c r="AD263" i="4"/>
  <c r="AE263" i="4" s="1"/>
  <c r="AA263" i="4"/>
  <c r="Z263" i="4"/>
  <c r="V263" i="4"/>
  <c r="W263" i="4" s="1"/>
  <c r="R263" i="4"/>
  <c r="O263" i="4"/>
  <c r="N263" i="4"/>
  <c r="K263" i="4"/>
  <c r="BF262" i="4"/>
  <c r="BC262" i="4"/>
  <c r="BB262" i="4"/>
  <c r="AX262" i="4"/>
  <c r="AY262" i="4" s="1"/>
  <c r="AU262" i="4"/>
  <c r="AT262" i="4"/>
  <c r="AQ262" i="4"/>
  <c r="AP262" i="4"/>
  <c r="AL262" i="4"/>
  <c r="AI262" i="4"/>
  <c r="AH262" i="4"/>
  <c r="AD262" i="4"/>
  <c r="AA262" i="4"/>
  <c r="Z262" i="4"/>
  <c r="W262" i="4"/>
  <c r="V262" i="4"/>
  <c r="S262" i="4"/>
  <c r="R262" i="4"/>
  <c r="N262" i="4"/>
  <c r="O262" i="4" s="1"/>
  <c r="K262" i="4"/>
  <c r="AM262" i="4" s="1"/>
  <c r="BG261" i="4"/>
  <c r="BF261" i="4"/>
  <c r="BB261" i="4"/>
  <c r="BC261" i="4" s="1"/>
  <c r="AX261" i="4"/>
  <c r="AY261" i="4" s="1"/>
  <c r="AU261" i="4"/>
  <c r="AT261" i="4"/>
  <c r="AP261" i="4"/>
  <c r="AM261" i="4"/>
  <c r="AL261" i="4"/>
  <c r="AH261" i="4"/>
  <c r="AE261" i="4"/>
  <c r="AD261" i="4"/>
  <c r="Z261" i="4"/>
  <c r="AA261" i="4" s="1"/>
  <c r="V261" i="4"/>
  <c r="W261" i="4" s="1"/>
  <c r="R261" i="4"/>
  <c r="S261" i="4" s="1"/>
  <c r="N261" i="4"/>
  <c r="K261" i="4"/>
  <c r="BF260" i="4"/>
  <c r="BB260" i="4"/>
  <c r="AY260" i="4"/>
  <c r="AX260" i="4"/>
  <c r="AT260" i="4"/>
  <c r="AQ260" i="4"/>
  <c r="AP260" i="4"/>
  <c r="AM260" i="4"/>
  <c r="AL260" i="4"/>
  <c r="AH260" i="4"/>
  <c r="AD260" i="4"/>
  <c r="Z260" i="4"/>
  <c r="V260" i="4"/>
  <c r="S260" i="4"/>
  <c r="R260" i="4"/>
  <c r="N260" i="4"/>
  <c r="K260" i="4"/>
  <c r="W260" i="4" s="1"/>
  <c r="BF259" i="4"/>
  <c r="BC259" i="4"/>
  <c r="BB259" i="4"/>
  <c r="AY259" i="4"/>
  <c r="AX259" i="4"/>
  <c r="AU259" i="4"/>
  <c r="AT259" i="4"/>
  <c r="AP259" i="4"/>
  <c r="AQ259" i="4" s="1"/>
  <c r="AL259" i="4"/>
  <c r="AI259" i="4"/>
  <c r="AH259" i="4"/>
  <c r="AD259" i="4"/>
  <c r="AA259" i="4"/>
  <c r="Z259" i="4"/>
  <c r="V259" i="4"/>
  <c r="W259" i="4" s="1"/>
  <c r="S259" i="4"/>
  <c r="R259" i="4"/>
  <c r="N259" i="4"/>
  <c r="O259" i="4" s="1"/>
  <c r="K259" i="4"/>
  <c r="BF258" i="4"/>
  <c r="BB258" i="4"/>
  <c r="AX258" i="4"/>
  <c r="AU258" i="4"/>
  <c r="AT258" i="4"/>
  <c r="AQ258" i="4"/>
  <c r="AP258" i="4"/>
  <c r="AL258" i="4"/>
  <c r="AH258" i="4"/>
  <c r="AD258" i="4"/>
  <c r="Z258" i="4"/>
  <c r="V258" i="4"/>
  <c r="R258" i="4"/>
  <c r="N258" i="4"/>
  <c r="K258" i="4"/>
  <c r="AI258" i="4" s="1"/>
  <c r="BF257" i="4"/>
  <c r="BB257" i="4"/>
  <c r="AX257" i="4"/>
  <c r="AT257" i="4"/>
  <c r="AP257" i="4"/>
  <c r="AL257" i="4"/>
  <c r="AH257" i="4"/>
  <c r="AD257" i="4"/>
  <c r="Z257" i="4"/>
  <c r="V257" i="4"/>
  <c r="R257" i="4"/>
  <c r="N257" i="4"/>
  <c r="K257" i="4"/>
  <c r="BF256" i="4"/>
  <c r="BB256" i="4"/>
  <c r="AX256" i="4"/>
  <c r="AT256" i="4"/>
  <c r="AQ256" i="4"/>
  <c r="AP256" i="4"/>
  <c r="AL256" i="4"/>
  <c r="AI256" i="4"/>
  <c r="AH256" i="4"/>
  <c r="AD256" i="4"/>
  <c r="Z256" i="4"/>
  <c r="V256" i="4"/>
  <c r="R256" i="4"/>
  <c r="N256" i="4"/>
  <c r="K256" i="4"/>
  <c r="BF255" i="4"/>
  <c r="BB255" i="4"/>
  <c r="AX255" i="4"/>
  <c r="AT255" i="4"/>
  <c r="AP255" i="4"/>
  <c r="AL255" i="4"/>
  <c r="AH255" i="4"/>
  <c r="AD255" i="4"/>
  <c r="Z255" i="4"/>
  <c r="V255" i="4"/>
  <c r="R255" i="4"/>
  <c r="N255" i="4"/>
  <c r="K255" i="4"/>
  <c r="BF254" i="4"/>
  <c r="BB254" i="4"/>
  <c r="AX254" i="4"/>
  <c r="AT254" i="4"/>
  <c r="AP254" i="4"/>
  <c r="AL254" i="4"/>
  <c r="AH254" i="4"/>
  <c r="AE254" i="4"/>
  <c r="AD254" i="4"/>
  <c r="Z254" i="4"/>
  <c r="V254" i="4"/>
  <c r="R254" i="4"/>
  <c r="N254" i="4"/>
  <c r="K254" i="4"/>
  <c r="AU254" i="4" s="1"/>
  <c r="BG253" i="4"/>
  <c r="BF253" i="4"/>
  <c r="BB253" i="4"/>
  <c r="AY253" i="4"/>
  <c r="AX253" i="4"/>
  <c r="AT253" i="4"/>
  <c r="AP253" i="4"/>
  <c r="AM253" i="4"/>
  <c r="AL253" i="4"/>
  <c r="AI253" i="4"/>
  <c r="AH253" i="4"/>
  <c r="AD253" i="4"/>
  <c r="Z253" i="4"/>
  <c r="W253" i="4"/>
  <c r="V253" i="4"/>
  <c r="R253" i="4"/>
  <c r="O253" i="4"/>
  <c r="N253" i="4"/>
  <c r="K253" i="4"/>
  <c r="BF252" i="4"/>
  <c r="BG252" i="4" s="1"/>
  <c r="BC252" i="4"/>
  <c r="BB252" i="4"/>
  <c r="AX252" i="4"/>
  <c r="AY252" i="4" s="1"/>
  <c r="AU252" i="4"/>
  <c r="AT252" i="4"/>
  <c r="AQ252" i="4"/>
  <c r="AP252" i="4"/>
  <c r="AL252" i="4"/>
  <c r="AH252" i="4"/>
  <c r="AI252" i="4" s="1"/>
  <c r="AE252" i="4"/>
  <c r="AD252" i="4"/>
  <c r="AA252" i="4"/>
  <c r="BH252" i="4" s="1"/>
  <c r="BI252" i="4" s="1"/>
  <c r="Z252" i="4"/>
  <c r="V252" i="4"/>
  <c r="W252" i="4" s="1"/>
  <c r="S252" i="4"/>
  <c r="R252" i="4"/>
  <c r="N252" i="4"/>
  <c r="O252" i="4" s="1"/>
  <c r="K252" i="4"/>
  <c r="AM252" i="4" s="1"/>
  <c r="BF251" i="4"/>
  <c r="BB251" i="4"/>
  <c r="AX251" i="4"/>
  <c r="AT251" i="4"/>
  <c r="AP251" i="4"/>
  <c r="AM251" i="4"/>
  <c r="AL251" i="4"/>
  <c r="AI251" i="4"/>
  <c r="AH251" i="4"/>
  <c r="AD251" i="4"/>
  <c r="Z251" i="4"/>
  <c r="V251" i="4"/>
  <c r="R251" i="4"/>
  <c r="N251" i="4"/>
  <c r="K251" i="4"/>
  <c r="BG250" i="4"/>
  <c r="BF250" i="4"/>
  <c r="BB250" i="4"/>
  <c r="AX250" i="4"/>
  <c r="AT250" i="4"/>
  <c r="AP250" i="4"/>
  <c r="AL250" i="4"/>
  <c r="AH250" i="4"/>
  <c r="AE250" i="4"/>
  <c r="AD250" i="4"/>
  <c r="Z250" i="4"/>
  <c r="AA250" i="4" s="1"/>
  <c r="W250" i="4"/>
  <c r="V250" i="4"/>
  <c r="R250" i="4"/>
  <c r="N250" i="4"/>
  <c r="K250" i="4"/>
  <c r="BF249" i="4"/>
  <c r="BG249" i="4" s="1"/>
  <c r="BB249" i="4"/>
  <c r="BC249" i="4" s="1"/>
  <c r="AY249" i="4"/>
  <c r="AX249" i="4"/>
  <c r="AT249" i="4"/>
  <c r="AQ249" i="4"/>
  <c r="AP249" i="4"/>
  <c r="AL249" i="4"/>
  <c r="AI249" i="4"/>
  <c r="AH249" i="4"/>
  <c r="AE249" i="4"/>
  <c r="AD249" i="4"/>
  <c r="Z249" i="4"/>
  <c r="AA249" i="4" s="1"/>
  <c r="V249" i="4"/>
  <c r="W249" i="4" s="1"/>
  <c r="R249" i="4"/>
  <c r="O249" i="4"/>
  <c r="N249" i="4"/>
  <c r="K249" i="4"/>
  <c r="AM249" i="4" s="1"/>
  <c r="BF248" i="4"/>
  <c r="BC248" i="4"/>
  <c r="BB248" i="4"/>
  <c r="AX248" i="4"/>
  <c r="AY248" i="4" s="1"/>
  <c r="AU248" i="4"/>
  <c r="AT248" i="4"/>
  <c r="AP248" i="4"/>
  <c r="AQ248" i="4" s="1"/>
  <c r="AL248" i="4"/>
  <c r="AH248" i="4"/>
  <c r="AI248" i="4" s="1"/>
  <c r="AD248" i="4"/>
  <c r="AA248" i="4"/>
  <c r="Z248" i="4"/>
  <c r="V248" i="4"/>
  <c r="W248" i="4" s="1"/>
  <c r="S248" i="4"/>
  <c r="R248" i="4"/>
  <c r="O248" i="4"/>
  <c r="N248" i="4"/>
  <c r="K248" i="4"/>
  <c r="AM248" i="4" s="1"/>
  <c r="BG247" i="4"/>
  <c r="BF247" i="4"/>
  <c r="BB247" i="4"/>
  <c r="AX247" i="4"/>
  <c r="AT247" i="4"/>
  <c r="AP247" i="4"/>
  <c r="AM247" i="4"/>
  <c r="AL247" i="4"/>
  <c r="AH247" i="4"/>
  <c r="AE247" i="4"/>
  <c r="AD247" i="4"/>
  <c r="Z247" i="4"/>
  <c r="V247" i="4"/>
  <c r="R247" i="4"/>
  <c r="N247" i="4"/>
  <c r="K247" i="4"/>
  <c r="BF246" i="4"/>
  <c r="BB246" i="4"/>
  <c r="AX246" i="4"/>
  <c r="AT246" i="4"/>
  <c r="AQ246" i="4"/>
  <c r="AP246" i="4"/>
  <c r="AL246" i="4"/>
  <c r="AH246" i="4"/>
  <c r="AD246" i="4"/>
  <c r="Z246" i="4"/>
  <c r="V246" i="4"/>
  <c r="R246" i="4"/>
  <c r="O246" i="4"/>
  <c r="N246" i="4"/>
  <c r="K246" i="4"/>
  <c r="BF245" i="4"/>
  <c r="BC245" i="4"/>
  <c r="BB245" i="4"/>
  <c r="AX245" i="4"/>
  <c r="AY245" i="4" s="1"/>
  <c r="AT245" i="4"/>
  <c r="AU245" i="4" s="1"/>
  <c r="AQ245" i="4"/>
  <c r="AP245" i="4"/>
  <c r="AL245" i="4"/>
  <c r="AI245" i="4"/>
  <c r="AH245" i="4"/>
  <c r="AD245" i="4"/>
  <c r="AA245" i="4"/>
  <c r="Z245" i="4"/>
  <c r="W245" i="4"/>
  <c r="V245" i="4"/>
  <c r="S245" i="4"/>
  <c r="R245" i="4"/>
  <c r="N245" i="4"/>
  <c r="O245" i="4" s="1"/>
  <c r="K245" i="4"/>
  <c r="BG245" i="4" s="1"/>
  <c r="BF244" i="4"/>
  <c r="BB244" i="4"/>
  <c r="BC244" i="4" s="1"/>
  <c r="AX244" i="4"/>
  <c r="AU244" i="4"/>
  <c r="AT244" i="4"/>
  <c r="AP244" i="4"/>
  <c r="AM244" i="4"/>
  <c r="AL244" i="4"/>
  <c r="AI244" i="4"/>
  <c r="AH244" i="4"/>
  <c r="AD244" i="4"/>
  <c r="Z244" i="4"/>
  <c r="AA244" i="4" s="1"/>
  <c r="V244" i="4"/>
  <c r="R244" i="4"/>
  <c r="S244" i="4" s="1"/>
  <c r="O244" i="4"/>
  <c r="N244" i="4"/>
  <c r="K244" i="4"/>
  <c r="BF243" i="4"/>
  <c r="BB243" i="4"/>
  <c r="AX243" i="4"/>
  <c r="AT243" i="4"/>
  <c r="AP243" i="4"/>
  <c r="AQ243" i="4" s="1"/>
  <c r="AL243" i="4"/>
  <c r="AM243" i="4" s="1"/>
  <c r="AH243" i="4"/>
  <c r="AD243" i="4"/>
  <c r="Z243" i="4"/>
  <c r="V243" i="4"/>
  <c r="R243" i="4"/>
  <c r="N243" i="4"/>
  <c r="K243" i="4"/>
  <c r="BG243" i="4" s="1"/>
  <c r="BF242" i="4"/>
  <c r="BG242" i="4" s="1"/>
  <c r="BB242" i="4"/>
  <c r="AX242" i="4"/>
  <c r="AY242" i="4" s="1"/>
  <c r="AT242" i="4"/>
  <c r="AP242" i="4"/>
  <c r="AM242" i="4"/>
  <c r="AL242" i="4"/>
  <c r="AI242" i="4"/>
  <c r="AH242" i="4"/>
  <c r="AD242" i="4"/>
  <c r="AE242" i="4" s="1"/>
  <c r="Z242" i="4"/>
  <c r="W242" i="4"/>
  <c r="V242" i="4"/>
  <c r="R242" i="4"/>
  <c r="N242" i="4"/>
  <c r="O242" i="4" s="1"/>
  <c r="K242" i="4"/>
  <c r="BF241" i="4"/>
  <c r="BB241" i="4"/>
  <c r="AX241" i="4"/>
  <c r="AU241" i="4"/>
  <c r="AT241" i="4"/>
  <c r="AQ241" i="4"/>
  <c r="AP241" i="4"/>
  <c r="AL241" i="4"/>
  <c r="AI241" i="4"/>
  <c r="AH241" i="4"/>
  <c r="AD241" i="4"/>
  <c r="AA241" i="4"/>
  <c r="Z241" i="4"/>
  <c r="V241" i="4"/>
  <c r="R241" i="4"/>
  <c r="N241" i="4"/>
  <c r="K241" i="4"/>
  <c r="BC241" i="4" s="1"/>
  <c r="BF240" i="4"/>
  <c r="BB240" i="4"/>
  <c r="AX240" i="4"/>
  <c r="AT240" i="4"/>
  <c r="AP240" i="4"/>
  <c r="AL240" i="4"/>
  <c r="AH240" i="4"/>
  <c r="AD240" i="4"/>
  <c r="Z240" i="4"/>
  <c r="V240" i="4"/>
  <c r="R240" i="4"/>
  <c r="N240" i="4"/>
  <c r="K240" i="4"/>
  <c r="BF239" i="4"/>
  <c r="BG239" i="4" s="1"/>
  <c r="BB239" i="4"/>
  <c r="AX239" i="4"/>
  <c r="AT239" i="4"/>
  <c r="AP239" i="4"/>
  <c r="AL239" i="4"/>
  <c r="AM239" i="4" s="1"/>
  <c r="AH239" i="4"/>
  <c r="AD239" i="4"/>
  <c r="AE239" i="4" s="1"/>
  <c r="Z239" i="4"/>
  <c r="V239" i="4"/>
  <c r="R239" i="4"/>
  <c r="N239" i="4"/>
  <c r="K239" i="4"/>
  <c r="BG238" i="4"/>
  <c r="BF238" i="4"/>
  <c r="BC238" i="4"/>
  <c r="BB238" i="4"/>
  <c r="AX238" i="4"/>
  <c r="AY238" i="4" s="1"/>
  <c r="AU238" i="4"/>
  <c r="AT238" i="4"/>
  <c r="AQ238" i="4"/>
  <c r="AP238" i="4"/>
  <c r="AL238" i="4"/>
  <c r="AI238" i="4"/>
  <c r="AH238" i="4"/>
  <c r="AE238" i="4"/>
  <c r="AD238" i="4"/>
  <c r="AA238" i="4"/>
  <c r="Z238" i="4"/>
  <c r="W238" i="4"/>
  <c r="V238" i="4"/>
  <c r="S238" i="4"/>
  <c r="R238" i="4"/>
  <c r="O238" i="4"/>
  <c r="N238" i="4"/>
  <c r="K238" i="4"/>
  <c r="BF237" i="4"/>
  <c r="BC237" i="4"/>
  <c r="BB237" i="4"/>
  <c r="AX237" i="4"/>
  <c r="AU237" i="4"/>
  <c r="AT237" i="4"/>
  <c r="AP237" i="4"/>
  <c r="AM237" i="4"/>
  <c r="AL237" i="4"/>
  <c r="AH237" i="4"/>
  <c r="AD237" i="4"/>
  <c r="AE237" i="4" s="1"/>
  <c r="Z237" i="4"/>
  <c r="V237" i="4"/>
  <c r="R237" i="4"/>
  <c r="N237" i="4"/>
  <c r="K237" i="4"/>
  <c r="BF236" i="4"/>
  <c r="BB236" i="4"/>
  <c r="AX236" i="4"/>
  <c r="AT236" i="4"/>
  <c r="AP236" i="4"/>
  <c r="AL236" i="4"/>
  <c r="AH236" i="4"/>
  <c r="AD236" i="4"/>
  <c r="AA236" i="4"/>
  <c r="Z236" i="4"/>
  <c r="V236" i="4"/>
  <c r="R236" i="4"/>
  <c r="N236" i="4"/>
  <c r="K236" i="4"/>
  <c r="AE236" i="4" s="1"/>
  <c r="BF235" i="4"/>
  <c r="BG235" i="4" s="1"/>
  <c r="BB235" i="4"/>
  <c r="BC235" i="4" s="1"/>
  <c r="AY235" i="4"/>
  <c r="AX235" i="4"/>
  <c r="AT235" i="4"/>
  <c r="AU235" i="4" s="1"/>
  <c r="AQ235" i="4"/>
  <c r="AP235" i="4"/>
  <c r="AL235" i="4"/>
  <c r="AI235" i="4"/>
  <c r="AH235" i="4"/>
  <c r="AD235" i="4"/>
  <c r="AE235" i="4" s="1"/>
  <c r="Z235" i="4"/>
  <c r="AA235" i="4" s="1"/>
  <c r="W235" i="4"/>
  <c r="V235" i="4"/>
  <c r="R235" i="4"/>
  <c r="S235" i="4" s="1"/>
  <c r="O235" i="4"/>
  <c r="N235" i="4"/>
  <c r="K235" i="4"/>
  <c r="BF234" i="4"/>
  <c r="BB234" i="4"/>
  <c r="BC234" i="4" s="1"/>
  <c r="AY234" i="4"/>
  <c r="AX234" i="4"/>
  <c r="AU234" i="4"/>
  <c r="AT234" i="4"/>
  <c r="AP234" i="4"/>
  <c r="AQ234" i="4" s="1"/>
  <c r="AL234" i="4"/>
  <c r="AI234" i="4"/>
  <c r="AH234" i="4"/>
  <c r="AD234" i="4"/>
  <c r="Z234" i="4"/>
  <c r="AA234" i="4" s="1"/>
  <c r="V234" i="4"/>
  <c r="W234" i="4" s="1"/>
  <c r="S234" i="4"/>
  <c r="R234" i="4"/>
  <c r="O234" i="4"/>
  <c r="N234" i="4"/>
  <c r="K234" i="4"/>
  <c r="AM234" i="4" s="1"/>
  <c r="BF233" i="4"/>
  <c r="BB233" i="4"/>
  <c r="AX233" i="4"/>
  <c r="AT233" i="4"/>
  <c r="AP233" i="4"/>
  <c r="AL233" i="4"/>
  <c r="AH233" i="4"/>
  <c r="AD233" i="4"/>
  <c r="Z233" i="4"/>
  <c r="V233" i="4"/>
  <c r="R233" i="4"/>
  <c r="N233" i="4"/>
  <c r="K233" i="4"/>
  <c r="BF232" i="4"/>
  <c r="BB232" i="4"/>
  <c r="AX232" i="4"/>
  <c r="AT232" i="4"/>
  <c r="AQ232" i="4"/>
  <c r="AP232" i="4"/>
  <c r="AL232" i="4"/>
  <c r="AH232" i="4"/>
  <c r="AD232" i="4"/>
  <c r="Z232" i="4"/>
  <c r="V232" i="4"/>
  <c r="R232" i="4"/>
  <c r="O232" i="4"/>
  <c r="N232" i="4"/>
  <c r="K232" i="4"/>
  <c r="AU232" i="4" s="1"/>
  <c r="BF231" i="4"/>
  <c r="BC231" i="4"/>
  <c r="BB231" i="4"/>
  <c r="AX231" i="4"/>
  <c r="AY231" i="4" s="1"/>
  <c r="AU231" i="4"/>
  <c r="AT231" i="4"/>
  <c r="AP231" i="4"/>
  <c r="AQ231" i="4" s="1"/>
  <c r="AL231" i="4"/>
  <c r="AI231" i="4"/>
  <c r="AH231" i="4"/>
  <c r="AD231" i="4"/>
  <c r="AA231" i="4"/>
  <c r="Z231" i="4"/>
  <c r="V231" i="4"/>
  <c r="W231" i="4" s="1"/>
  <c r="R231" i="4"/>
  <c r="S231" i="4" s="1"/>
  <c r="O231" i="4"/>
  <c r="N231" i="4"/>
  <c r="K231" i="4"/>
  <c r="BG231" i="4" s="1"/>
  <c r="BF230" i="4"/>
  <c r="BB230" i="4"/>
  <c r="AX230" i="4"/>
  <c r="AT230" i="4"/>
  <c r="AP230" i="4"/>
  <c r="AM230" i="4"/>
  <c r="AL230" i="4"/>
  <c r="AH230" i="4"/>
  <c r="AD230" i="4"/>
  <c r="Z230" i="4"/>
  <c r="V230" i="4"/>
  <c r="S230" i="4"/>
  <c r="R230" i="4"/>
  <c r="N230" i="4"/>
  <c r="K230" i="4"/>
  <c r="AA230" i="4" s="1"/>
  <c r="BF229" i="4"/>
  <c r="BB229" i="4"/>
  <c r="AY229" i="4"/>
  <c r="AX229" i="4"/>
  <c r="AT229" i="4"/>
  <c r="AQ229" i="4"/>
  <c r="AP229" i="4"/>
  <c r="AL229" i="4"/>
  <c r="AH229" i="4"/>
  <c r="AD229" i="4"/>
  <c r="Z229" i="4"/>
  <c r="V229" i="4"/>
  <c r="R229" i="4"/>
  <c r="N229" i="4"/>
  <c r="K229" i="4"/>
  <c r="BF228" i="4"/>
  <c r="BB228" i="4"/>
  <c r="AY228" i="4"/>
  <c r="AX228" i="4"/>
  <c r="AT228" i="4"/>
  <c r="AQ228" i="4"/>
  <c r="AP228" i="4"/>
  <c r="AM228" i="4"/>
  <c r="AL228" i="4"/>
  <c r="AI228" i="4"/>
  <c r="AH228" i="4"/>
  <c r="AD228" i="4"/>
  <c r="AE228" i="4" s="1"/>
  <c r="Z228" i="4"/>
  <c r="V228" i="4"/>
  <c r="R228" i="4"/>
  <c r="N228" i="4"/>
  <c r="K228" i="4"/>
  <c r="BF227" i="4"/>
  <c r="BC227" i="4"/>
  <c r="BB227" i="4"/>
  <c r="AX227" i="4"/>
  <c r="AU227" i="4"/>
  <c r="AT227" i="4"/>
  <c r="AP227" i="4"/>
  <c r="AM227" i="4"/>
  <c r="AL227" i="4"/>
  <c r="AH227" i="4"/>
  <c r="AI227" i="4" s="1"/>
  <c r="AD227" i="4"/>
  <c r="AA227" i="4"/>
  <c r="Z227" i="4"/>
  <c r="V227" i="4"/>
  <c r="S227" i="4"/>
  <c r="R227" i="4"/>
  <c r="O227" i="4"/>
  <c r="N227" i="4"/>
  <c r="K227" i="4"/>
  <c r="BF226" i="4"/>
  <c r="BB226" i="4"/>
  <c r="AX226" i="4"/>
  <c r="AT226" i="4"/>
  <c r="AP226" i="4"/>
  <c r="AL226" i="4"/>
  <c r="AH226" i="4"/>
  <c r="AD226" i="4"/>
  <c r="Z226" i="4"/>
  <c r="V226" i="4"/>
  <c r="R226" i="4"/>
  <c r="N226" i="4"/>
  <c r="K226" i="4"/>
  <c r="BF225" i="4"/>
  <c r="BB225" i="4"/>
  <c r="AY225" i="4"/>
  <c r="AX225" i="4"/>
  <c r="AT225" i="4"/>
  <c r="AQ225" i="4"/>
  <c r="AP225" i="4"/>
  <c r="AL225" i="4"/>
  <c r="AI225" i="4"/>
  <c r="AH225" i="4"/>
  <c r="AD225" i="4"/>
  <c r="AE225" i="4" s="1"/>
  <c r="Z225" i="4"/>
  <c r="V225" i="4"/>
  <c r="R225" i="4"/>
  <c r="N225" i="4"/>
  <c r="K225" i="4"/>
  <c r="BG225" i="4" s="1"/>
  <c r="BF224" i="4"/>
  <c r="BG224" i="4" s="1"/>
  <c r="BC224" i="4"/>
  <c r="BB224" i="4"/>
  <c r="AX224" i="4"/>
  <c r="AY224" i="4" s="1"/>
  <c r="AU224" i="4"/>
  <c r="AT224" i="4"/>
  <c r="AP224" i="4"/>
  <c r="AQ224" i="4" s="1"/>
  <c r="AL224" i="4"/>
  <c r="AI224" i="4"/>
  <c r="AH224" i="4"/>
  <c r="AD224" i="4"/>
  <c r="AE224" i="4" s="1"/>
  <c r="AA224" i="4"/>
  <c r="Z224" i="4"/>
  <c r="V224" i="4"/>
  <c r="W224" i="4" s="1"/>
  <c r="S224" i="4"/>
  <c r="R224" i="4"/>
  <c r="N224" i="4"/>
  <c r="O224" i="4" s="1"/>
  <c r="K224" i="4"/>
  <c r="AM224" i="4" s="1"/>
  <c r="BF223" i="4"/>
  <c r="BB223" i="4"/>
  <c r="AX223" i="4"/>
  <c r="AT223" i="4"/>
  <c r="AP223" i="4"/>
  <c r="AL223" i="4"/>
  <c r="AH223" i="4"/>
  <c r="AD223" i="4"/>
  <c r="Z223" i="4"/>
  <c r="V223" i="4"/>
  <c r="R223" i="4"/>
  <c r="N223" i="4"/>
  <c r="K223" i="4"/>
  <c r="BG222" i="4"/>
  <c r="BF222" i="4"/>
  <c r="BC222" i="4"/>
  <c r="BB222" i="4"/>
  <c r="AY222" i="4"/>
  <c r="AX222" i="4"/>
  <c r="AU222" i="4"/>
  <c r="AT222" i="4"/>
  <c r="AP222" i="4"/>
  <c r="AL222" i="4"/>
  <c r="AM222" i="4" s="1"/>
  <c r="AH222" i="4"/>
  <c r="AE222" i="4"/>
  <c r="AD222" i="4"/>
  <c r="AA222" i="4"/>
  <c r="Z222" i="4"/>
  <c r="W222" i="4"/>
  <c r="V222" i="4"/>
  <c r="R222" i="4"/>
  <c r="S222" i="4" s="1"/>
  <c r="N222" i="4"/>
  <c r="K222" i="4"/>
  <c r="BG221" i="4"/>
  <c r="BF221" i="4"/>
  <c r="BC221" i="4"/>
  <c r="BB221" i="4"/>
  <c r="AY221" i="4"/>
  <c r="AX221" i="4"/>
  <c r="AT221" i="4"/>
  <c r="AQ221" i="4"/>
  <c r="AP221" i="4"/>
  <c r="AL221" i="4"/>
  <c r="AI221" i="4"/>
  <c r="AH221" i="4"/>
  <c r="AD221" i="4"/>
  <c r="AE221" i="4" s="1"/>
  <c r="Z221" i="4"/>
  <c r="AA221" i="4" s="1"/>
  <c r="V221" i="4"/>
  <c r="W221" i="4" s="1"/>
  <c r="R221" i="4"/>
  <c r="O221" i="4"/>
  <c r="N221" i="4"/>
  <c r="K221" i="4"/>
  <c r="AM221" i="4" s="1"/>
  <c r="BF220" i="4"/>
  <c r="BC220" i="4"/>
  <c r="BB220" i="4"/>
  <c r="AY220" i="4"/>
  <c r="AX220" i="4"/>
  <c r="AU220" i="4"/>
  <c r="AT220" i="4"/>
  <c r="AP220" i="4"/>
  <c r="AQ220" i="4" s="1"/>
  <c r="AL220" i="4"/>
  <c r="AH220" i="4"/>
  <c r="AI220" i="4" s="1"/>
  <c r="AD220" i="4"/>
  <c r="Z220" i="4"/>
  <c r="AA220" i="4" s="1"/>
  <c r="W220" i="4"/>
  <c r="V220" i="4"/>
  <c r="S220" i="4"/>
  <c r="R220" i="4"/>
  <c r="O220" i="4"/>
  <c r="N220" i="4"/>
  <c r="K220" i="4"/>
  <c r="AM220" i="4" s="1"/>
  <c r="BG219" i="4"/>
  <c r="BF219" i="4"/>
  <c r="BB219" i="4"/>
  <c r="BC219" i="4" s="1"/>
  <c r="AX219" i="4"/>
  <c r="AY219" i="4" s="1"/>
  <c r="AU219" i="4"/>
  <c r="AT219" i="4"/>
  <c r="AP219" i="4"/>
  <c r="AM219" i="4"/>
  <c r="AL219" i="4"/>
  <c r="AH219" i="4"/>
  <c r="AE219" i="4"/>
  <c r="AD219" i="4"/>
  <c r="AA219" i="4"/>
  <c r="Z219" i="4"/>
  <c r="W219" i="4"/>
  <c r="V219" i="4"/>
  <c r="R219" i="4"/>
  <c r="S219" i="4" s="1"/>
  <c r="N219" i="4"/>
  <c r="K219" i="4"/>
  <c r="BF218" i="4"/>
  <c r="BG218" i="4" s="1"/>
  <c r="BB218" i="4"/>
  <c r="AX218" i="4"/>
  <c r="AY218" i="4" s="1"/>
  <c r="AU218" i="4"/>
  <c r="AT218" i="4"/>
  <c r="AP218" i="4"/>
  <c r="AM218" i="4"/>
  <c r="AL218" i="4"/>
  <c r="AH218" i="4"/>
  <c r="AE218" i="4"/>
  <c r="AD218" i="4"/>
  <c r="Z218" i="4"/>
  <c r="V218" i="4"/>
  <c r="W218" i="4" s="1"/>
  <c r="R218" i="4"/>
  <c r="S218" i="4" s="1"/>
  <c r="O218" i="4"/>
  <c r="N218" i="4"/>
  <c r="K218" i="4"/>
  <c r="BF217" i="4"/>
  <c r="BC217" i="4"/>
  <c r="BB217" i="4"/>
  <c r="AY217" i="4"/>
  <c r="AX217" i="4"/>
  <c r="AT217" i="4"/>
  <c r="AU217" i="4" s="1"/>
  <c r="AQ217" i="4"/>
  <c r="AP217" i="4"/>
  <c r="AL217" i="4"/>
  <c r="AI217" i="4"/>
  <c r="AH217" i="4"/>
  <c r="AD217" i="4"/>
  <c r="AA217" i="4"/>
  <c r="Z217" i="4"/>
  <c r="V217" i="4"/>
  <c r="W217" i="4" s="1"/>
  <c r="S217" i="4"/>
  <c r="R217" i="4"/>
  <c r="N217" i="4"/>
  <c r="O217" i="4" s="1"/>
  <c r="K217" i="4"/>
  <c r="BG217" i="4" s="1"/>
  <c r="BG216" i="4"/>
  <c r="BF216" i="4"/>
  <c r="BB216" i="4"/>
  <c r="BC216" i="4" s="1"/>
  <c r="AX216" i="4"/>
  <c r="AT216" i="4"/>
  <c r="AU216" i="4" s="1"/>
  <c r="AQ216" i="4"/>
  <c r="AP216" i="4"/>
  <c r="AM216" i="4"/>
  <c r="AL216" i="4"/>
  <c r="AH216" i="4"/>
  <c r="AI216" i="4" s="1"/>
  <c r="AE216" i="4"/>
  <c r="AD216" i="4"/>
  <c r="AA216" i="4"/>
  <c r="Z216" i="4"/>
  <c r="V216" i="4"/>
  <c r="S216" i="4"/>
  <c r="R216" i="4"/>
  <c r="O216" i="4"/>
  <c r="N216" i="4"/>
  <c r="K216" i="4"/>
  <c r="BF215" i="4"/>
  <c r="BB215" i="4"/>
  <c r="AY215" i="4"/>
  <c r="AX215" i="4"/>
  <c r="AT215" i="4"/>
  <c r="AQ215" i="4"/>
  <c r="AP215" i="4"/>
  <c r="AL215" i="4"/>
  <c r="AH215" i="4"/>
  <c r="AD215" i="4"/>
  <c r="Z215" i="4"/>
  <c r="V215" i="4"/>
  <c r="S215" i="4"/>
  <c r="R215" i="4"/>
  <c r="N215" i="4"/>
  <c r="K215" i="4"/>
  <c r="BF214" i="4"/>
  <c r="BB214" i="4"/>
  <c r="AX214" i="4"/>
  <c r="AT214" i="4"/>
  <c r="AP214" i="4"/>
  <c r="AL214" i="4"/>
  <c r="AH214" i="4"/>
  <c r="AD214" i="4"/>
  <c r="AA214" i="4"/>
  <c r="Z214" i="4"/>
  <c r="V214" i="4"/>
  <c r="R214" i="4"/>
  <c r="N214" i="4"/>
  <c r="K214" i="4"/>
  <c r="BC214" i="4" s="1"/>
  <c r="BF213" i="4"/>
  <c r="BB213" i="4"/>
  <c r="BC213" i="4" s="1"/>
  <c r="AX213" i="4"/>
  <c r="AU213" i="4"/>
  <c r="AT213" i="4"/>
  <c r="AP213" i="4"/>
  <c r="AL213" i="4"/>
  <c r="AM213" i="4" s="1"/>
  <c r="AI213" i="4"/>
  <c r="AH213" i="4"/>
  <c r="AD213" i="4"/>
  <c r="AA213" i="4"/>
  <c r="Z213" i="4"/>
  <c r="V213" i="4"/>
  <c r="S213" i="4"/>
  <c r="R213" i="4"/>
  <c r="N213" i="4"/>
  <c r="O213" i="4" s="1"/>
  <c r="K213" i="4"/>
  <c r="BG212" i="4"/>
  <c r="BF212" i="4"/>
  <c r="BC212" i="4"/>
  <c r="BB212" i="4"/>
  <c r="AY212" i="4"/>
  <c r="AX212" i="4"/>
  <c r="AU212" i="4"/>
  <c r="AT212" i="4"/>
  <c r="AP212" i="4"/>
  <c r="AL212" i="4"/>
  <c r="AM212" i="4" s="1"/>
  <c r="AH212" i="4"/>
  <c r="AE212" i="4"/>
  <c r="AD212" i="4"/>
  <c r="Z212" i="4"/>
  <c r="AA212" i="4" s="1"/>
  <c r="W212" i="4"/>
  <c r="V212" i="4"/>
  <c r="R212" i="4"/>
  <c r="S212" i="4" s="1"/>
  <c r="N212" i="4"/>
  <c r="K212" i="4"/>
  <c r="BF211" i="4"/>
  <c r="BB211" i="4"/>
  <c r="AY211" i="4"/>
  <c r="AX211" i="4"/>
  <c r="AT211" i="4"/>
  <c r="AQ211" i="4"/>
  <c r="AP211" i="4"/>
  <c r="AL211" i="4"/>
  <c r="AI211" i="4"/>
  <c r="AH211" i="4"/>
  <c r="AD211" i="4"/>
  <c r="Z211" i="4"/>
  <c r="W211" i="4"/>
  <c r="V211" i="4"/>
  <c r="R211" i="4"/>
  <c r="O211" i="4"/>
  <c r="N211" i="4"/>
  <c r="K211" i="4"/>
  <c r="BG210" i="4"/>
  <c r="BF210" i="4"/>
  <c r="BC210" i="4"/>
  <c r="BB210" i="4"/>
  <c r="AY210" i="4"/>
  <c r="AX210" i="4"/>
  <c r="AU210" i="4"/>
  <c r="AT210" i="4"/>
  <c r="AQ210" i="4"/>
  <c r="AP210" i="4"/>
  <c r="AL210" i="4"/>
  <c r="AI210" i="4"/>
  <c r="AH210" i="4"/>
  <c r="AD210" i="4"/>
  <c r="AE210" i="4" s="1"/>
  <c r="AA210" i="4"/>
  <c r="Z210" i="4"/>
  <c r="W210" i="4"/>
  <c r="V210" i="4"/>
  <c r="S210" i="4"/>
  <c r="R210" i="4"/>
  <c r="O210" i="4"/>
  <c r="N210" i="4"/>
  <c r="K210" i="4"/>
  <c r="AM210" i="4" s="1"/>
  <c r="BG209" i="4"/>
  <c r="BF209" i="4"/>
  <c r="BB209" i="4"/>
  <c r="BC209" i="4" s="1"/>
  <c r="AX209" i="4"/>
  <c r="AU209" i="4"/>
  <c r="AT209" i="4"/>
  <c r="AP209" i="4"/>
  <c r="AM209" i="4"/>
  <c r="AL209" i="4"/>
  <c r="AH209" i="4"/>
  <c r="AI209" i="4" s="1"/>
  <c r="AD209" i="4"/>
  <c r="AE209" i="4" s="1"/>
  <c r="AA209" i="4"/>
  <c r="Z209" i="4"/>
  <c r="V209" i="4"/>
  <c r="S209" i="4"/>
  <c r="R209" i="4"/>
  <c r="O209" i="4"/>
  <c r="N209" i="4"/>
  <c r="K209" i="4"/>
  <c r="BG208" i="4"/>
  <c r="BF208" i="4"/>
  <c r="BC208" i="4"/>
  <c r="BB208" i="4"/>
  <c r="AY208" i="4"/>
  <c r="AX208" i="4"/>
  <c r="AT208" i="4"/>
  <c r="AP208" i="4"/>
  <c r="AM208" i="4"/>
  <c r="AL208" i="4"/>
  <c r="AH208" i="4"/>
  <c r="AE208" i="4"/>
  <c r="AD208" i="4"/>
  <c r="AA208" i="4"/>
  <c r="Z208" i="4"/>
  <c r="W208" i="4"/>
  <c r="V208" i="4"/>
  <c r="R208" i="4"/>
  <c r="O208" i="4"/>
  <c r="N208" i="4"/>
  <c r="K208" i="4"/>
  <c r="BG207" i="4"/>
  <c r="BF207" i="4"/>
  <c r="BB207" i="4"/>
  <c r="BC207" i="4" s="1"/>
  <c r="AX207" i="4"/>
  <c r="AY207" i="4" s="1"/>
  <c r="AU207" i="4"/>
  <c r="AT207" i="4"/>
  <c r="AP207" i="4"/>
  <c r="AQ207" i="4" s="1"/>
  <c r="AL207" i="4"/>
  <c r="AI207" i="4"/>
  <c r="AH207" i="4"/>
  <c r="AE207" i="4"/>
  <c r="AD207" i="4"/>
  <c r="AA207" i="4"/>
  <c r="Z207" i="4"/>
  <c r="W207" i="4"/>
  <c r="V207" i="4"/>
  <c r="S207" i="4"/>
  <c r="R207" i="4"/>
  <c r="O207" i="4"/>
  <c r="N207" i="4"/>
  <c r="K207" i="4"/>
  <c r="BF206" i="4"/>
  <c r="BC206" i="4"/>
  <c r="BB206" i="4"/>
  <c r="AY206" i="4"/>
  <c r="AX206" i="4"/>
  <c r="AU206" i="4"/>
  <c r="AT206" i="4"/>
  <c r="AP206" i="4"/>
  <c r="AM206" i="4"/>
  <c r="AL206" i="4"/>
  <c r="AH206" i="4"/>
  <c r="AI206" i="4" s="1"/>
  <c r="AD206" i="4"/>
  <c r="AA206" i="4"/>
  <c r="Z206" i="4"/>
  <c r="V206" i="4"/>
  <c r="W206" i="4" s="1"/>
  <c r="S206" i="4"/>
  <c r="R206" i="4"/>
  <c r="N206" i="4"/>
  <c r="K206" i="4"/>
  <c r="BF205" i="4"/>
  <c r="BB205" i="4"/>
  <c r="AY205" i="4"/>
  <c r="AX205" i="4"/>
  <c r="AT205" i="4"/>
  <c r="AP205" i="4"/>
  <c r="AL205" i="4"/>
  <c r="AH205" i="4"/>
  <c r="AD205" i="4"/>
  <c r="Z205" i="4"/>
  <c r="V205" i="4"/>
  <c r="R205" i="4"/>
  <c r="S205" i="4" s="1"/>
  <c r="N205" i="4"/>
  <c r="K205" i="4"/>
  <c r="BG204" i="4"/>
  <c r="BF204" i="4"/>
  <c r="BB204" i="4"/>
  <c r="AX204" i="4"/>
  <c r="AY204" i="4" s="1"/>
  <c r="AT204" i="4"/>
  <c r="AU204" i="4" s="1"/>
  <c r="AQ204" i="4"/>
  <c r="AP204" i="4"/>
  <c r="AL204" i="4"/>
  <c r="AI204" i="4"/>
  <c r="AH204" i="4"/>
  <c r="AE204" i="4"/>
  <c r="AD204" i="4"/>
  <c r="Z204" i="4"/>
  <c r="V204" i="4"/>
  <c r="W204" i="4" s="1"/>
  <c r="R204" i="4"/>
  <c r="S204" i="4" s="1"/>
  <c r="O204" i="4"/>
  <c r="N204" i="4"/>
  <c r="K204" i="4"/>
  <c r="BF203" i="4"/>
  <c r="BC203" i="4"/>
  <c r="BB203" i="4"/>
  <c r="AY203" i="4"/>
  <c r="AX203" i="4"/>
  <c r="AT203" i="4"/>
  <c r="AU203" i="4" s="1"/>
  <c r="AP203" i="4"/>
  <c r="AQ203" i="4" s="1"/>
  <c r="AL203" i="4"/>
  <c r="AI203" i="4"/>
  <c r="AH203" i="4"/>
  <c r="AD203" i="4"/>
  <c r="AA203" i="4"/>
  <c r="Z203" i="4"/>
  <c r="V203" i="4"/>
  <c r="W203" i="4" s="1"/>
  <c r="S203" i="4"/>
  <c r="R203" i="4"/>
  <c r="N203" i="4"/>
  <c r="O203" i="4" s="1"/>
  <c r="K203" i="4"/>
  <c r="BF202" i="4"/>
  <c r="BB202" i="4"/>
  <c r="AX202" i="4"/>
  <c r="AT202" i="4"/>
  <c r="AP202" i="4"/>
  <c r="AL202" i="4"/>
  <c r="AH202" i="4"/>
  <c r="AD202" i="4"/>
  <c r="Z202" i="4"/>
  <c r="V202" i="4"/>
  <c r="R202" i="4"/>
  <c r="N202" i="4"/>
  <c r="K202" i="4"/>
  <c r="BF201" i="4"/>
  <c r="BB201" i="4"/>
  <c r="AY201" i="4"/>
  <c r="AX201" i="4"/>
  <c r="AT201" i="4"/>
  <c r="AQ201" i="4"/>
  <c r="AP201" i="4"/>
  <c r="AL201" i="4"/>
  <c r="AH201" i="4"/>
  <c r="AD201" i="4"/>
  <c r="Z201" i="4"/>
  <c r="V201" i="4"/>
  <c r="S201" i="4"/>
  <c r="R201" i="4"/>
  <c r="N201" i="4"/>
  <c r="K201" i="4"/>
  <c r="BF200" i="4"/>
  <c r="BC200" i="4"/>
  <c r="BB200" i="4"/>
  <c r="AX200" i="4"/>
  <c r="AY200" i="4" s="1"/>
  <c r="AT200" i="4"/>
  <c r="AP200" i="4"/>
  <c r="AM200" i="4"/>
  <c r="AL200" i="4"/>
  <c r="AI200" i="4"/>
  <c r="AH200" i="4"/>
  <c r="AD200" i="4"/>
  <c r="AA200" i="4"/>
  <c r="Z200" i="4"/>
  <c r="V200" i="4"/>
  <c r="W200" i="4" s="1"/>
  <c r="R200" i="4"/>
  <c r="N200" i="4"/>
  <c r="O200" i="4" s="1"/>
  <c r="K200" i="4"/>
  <c r="BF199" i="4"/>
  <c r="BB199" i="4"/>
  <c r="AX199" i="4"/>
  <c r="AT199" i="4"/>
  <c r="AQ199" i="4"/>
  <c r="AP199" i="4"/>
  <c r="AL199" i="4"/>
  <c r="AH199" i="4"/>
  <c r="AD199" i="4"/>
  <c r="Z199" i="4"/>
  <c r="V199" i="4"/>
  <c r="R199" i="4"/>
  <c r="N199" i="4"/>
  <c r="K199" i="4"/>
  <c r="BG198" i="4"/>
  <c r="BF198" i="4"/>
  <c r="BB198" i="4"/>
  <c r="AX198" i="4"/>
  <c r="AT198" i="4"/>
  <c r="AP198" i="4"/>
  <c r="AM198" i="4"/>
  <c r="AL198" i="4"/>
  <c r="AH198" i="4"/>
  <c r="AI198" i="4" s="1"/>
  <c r="AE198" i="4"/>
  <c r="AD198" i="4"/>
  <c r="Z198" i="4"/>
  <c r="W198" i="4"/>
  <c r="V198" i="4"/>
  <c r="R198" i="4"/>
  <c r="N198" i="4"/>
  <c r="K198" i="4"/>
  <c r="AY198" i="4" s="1"/>
  <c r="BF197" i="4"/>
  <c r="BB197" i="4"/>
  <c r="AX197" i="4"/>
  <c r="AT197" i="4"/>
  <c r="AP197" i="4"/>
  <c r="AL197" i="4"/>
  <c r="AH197" i="4"/>
  <c r="AD197" i="4"/>
  <c r="Z197" i="4"/>
  <c r="V197" i="4"/>
  <c r="R197" i="4"/>
  <c r="N197" i="4"/>
  <c r="K197" i="4"/>
  <c r="BG196" i="4"/>
  <c r="BF196" i="4"/>
  <c r="BC196" i="4"/>
  <c r="BB196" i="4"/>
  <c r="AX196" i="4"/>
  <c r="AY196" i="4" s="1"/>
  <c r="AU196" i="4"/>
  <c r="AT196" i="4"/>
  <c r="AQ196" i="4"/>
  <c r="AP196" i="4"/>
  <c r="AL196" i="4"/>
  <c r="AI196" i="4"/>
  <c r="AH196" i="4"/>
  <c r="AE196" i="4"/>
  <c r="AD196" i="4"/>
  <c r="AA196" i="4"/>
  <c r="Z196" i="4"/>
  <c r="V196" i="4"/>
  <c r="W196" i="4" s="1"/>
  <c r="S196" i="4"/>
  <c r="R196" i="4"/>
  <c r="N196" i="4"/>
  <c r="O196" i="4" s="1"/>
  <c r="K196" i="4"/>
  <c r="AM196" i="4" s="1"/>
  <c r="BF195" i="4"/>
  <c r="BG195" i="4" s="1"/>
  <c r="BB195" i="4"/>
  <c r="AX195" i="4"/>
  <c r="AT195" i="4"/>
  <c r="AP195" i="4"/>
  <c r="AM195" i="4"/>
  <c r="AL195" i="4"/>
  <c r="AH195" i="4"/>
  <c r="AI195" i="4" s="1"/>
  <c r="AE195" i="4"/>
  <c r="AD195" i="4"/>
  <c r="Z195" i="4"/>
  <c r="AA195" i="4" s="1"/>
  <c r="V195" i="4"/>
  <c r="R195" i="4"/>
  <c r="N195" i="4"/>
  <c r="K195" i="4"/>
  <c r="BC195" i="4" s="1"/>
  <c r="BF194" i="4"/>
  <c r="BB194" i="4"/>
  <c r="AY194" i="4"/>
  <c r="AX194" i="4"/>
  <c r="AT194" i="4"/>
  <c r="AQ194" i="4"/>
  <c r="AP194" i="4"/>
  <c r="AL194" i="4"/>
  <c r="AH194" i="4"/>
  <c r="AD194" i="4"/>
  <c r="Z194" i="4"/>
  <c r="V194" i="4"/>
  <c r="R194" i="4"/>
  <c r="N194" i="4"/>
  <c r="K194" i="4"/>
  <c r="BF193" i="4"/>
  <c r="BG193" i="4" s="1"/>
  <c r="BB193" i="4"/>
  <c r="BC193" i="4" s="1"/>
  <c r="AX193" i="4"/>
  <c r="AY193" i="4" s="1"/>
  <c r="AU193" i="4"/>
  <c r="AT193" i="4"/>
  <c r="AP193" i="4"/>
  <c r="AQ193" i="4" s="1"/>
  <c r="AL193" i="4"/>
  <c r="AI193" i="4"/>
  <c r="AH193" i="4"/>
  <c r="AE193" i="4"/>
  <c r="AD193" i="4"/>
  <c r="AA193" i="4"/>
  <c r="Z193" i="4"/>
  <c r="W193" i="4"/>
  <c r="V193" i="4"/>
  <c r="S193" i="4"/>
  <c r="R193" i="4"/>
  <c r="N193" i="4"/>
  <c r="O193" i="4" s="1"/>
  <c r="K193" i="4"/>
  <c r="AM193" i="4" s="1"/>
  <c r="BF192" i="4"/>
  <c r="BB192" i="4"/>
  <c r="AY192" i="4"/>
  <c r="AX192" i="4"/>
  <c r="AU192" i="4"/>
  <c r="AT192" i="4"/>
  <c r="AP192" i="4"/>
  <c r="AM192" i="4"/>
  <c r="AL192" i="4"/>
  <c r="AH192" i="4"/>
  <c r="AI192" i="4" s="1"/>
  <c r="AD192" i="4"/>
  <c r="Z192" i="4"/>
  <c r="AA192" i="4" s="1"/>
  <c r="V192" i="4"/>
  <c r="S192" i="4"/>
  <c r="R192" i="4"/>
  <c r="N192" i="4"/>
  <c r="K192" i="4"/>
  <c r="BC192" i="4" s="1"/>
  <c r="BG191" i="4"/>
  <c r="BF191" i="4"/>
  <c r="BC191" i="4"/>
  <c r="BB191" i="4"/>
  <c r="AX191" i="4"/>
  <c r="AY191" i="4" s="1"/>
  <c r="AU191" i="4"/>
  <c r="AT191" i="4"/>
  <c r="AP191" i="4"/>
  <c r="AM191" i="4"/>
  <c r="AL191" i="4"/>
  <c r="AH191" i="4"/>
  <c r="AE191" i="4"/>
  <c r="AD191" i="4"/>
  <c r="Z191" i="4"/>
  <c r="AA191" i="4" s="1"/>
  <c r="V191" i="4"/>
  <c r="W191" i="4" s="1"/>
  <c r="R191" i="4"/>
  <c r="S191" i="4" s="1"/>
  <c r="N191" i="4"/>
  <c r="K191" i="4"/>
  <c r="BG190" i="4"/>
  <c r="BF190" i="4"/>
  <c r="BB190" i="4"/>
  <c r="AX190" i="4"/>
  <c r="AY190" i="4" s="1"/>
  <c r="AT190" i="4"/>
  <c r="AU190" i="4" s="1"/>
  <c r="AQ190" i="4"/>
  <c r="AP190" i="4"/>
  <c r="AL190" i="4"/>
  <c r="AI190" i="4"/>
  <c r="AH190" i="4"/>
  <c r="AE190" i="4"/>
  <c r="AD190" i="4"/>
  <c r="Z190" i="4"/>
  <c r="V190" i="4"/>
  <c r="W190" i="4" s="1"/>
  <c r="R190" i="4"/>
  <c r="S190" i="4" s="1"/>
  <c r="O190" i="4"/>
  <c r="N190" i="4"/>
  <c r="K190" i="4"/>
  <c r="BC190" i="4" s="1"/>
  <c r="BF189" i="4"/>
  <c r="BC189" i="4"/>
  <c r="BB189" i="4"/>
  <c r="AX189" i="4"/>
  <c r="AY189" i="4" s="1"/>
  <c r="AT189" i="4"/>
  <c r="AU189" i="4" s="1"/>
  <c r="AP189" i="4"/>
  <c r="AQ189" i="4" s="1"/>
  <c r="AL189" i="4"/>
  <c r="AH189" i="4"/>
  <c r="AI189" i="4" s="1"/>
  <c r="AD189" i="4"/>
  <c r="AA189" i="4"/>
  <c r="Z189" i="4"/>
  <c r="W189" i="4"/>
  <c r="V189" i="4"/>
  <c r="R189" i="4"/>
  <c r="S189" i="4" s="1"/>
  <c r="N189" i="4"/>
  <c r="O189" i="4" s="1"/>
  <c r="K189" i="4"/>
  <c r="BG188" i="4"/>
  <c r="BF188" i="4"/>
  <c r="BC188" i="4"/>
  <c r="BB188" i="4"/>
  <c r="AX188" i="4"/>
  <c r="AU188" i="4"/>
  <c r="AT188" i="4"/>
  <c r="AP188" i="4"/>
  <c r="AM188" i="4"/>
  <c r="AL188" i="4"/>
  <c r="AH188" i="4"/>
  <c r="AE188" i="4"/>
  <c r="AD188" i="4"/>
  <c r="Z188" i="4"/>
  <c r="AA188" i="4" s="1"/>
  <c r="V188" i="4"/>
  <c r="S188" i="4"/>
  <c r="R188" i="4"/>
  <c r="O188" i="4"/>
  <c r="N188" i="4"/>
  <c r="K188" i="4"/>
  <c r="BF187" i="4"/>
  <c r="BB187" i="4"/>
  <c r="AX187" i="4"/>
  <c r="AU187" i="4"/>
  <c r="AT187" i="4"/>
  <c r="AP187" i="4"/>
  <c r="AM187" i="4"/>
  <c r="AL187" i="4"/>
  <c r="AH187" i="4"/>
  <c r="AE187" i="4"/>
  <c r="AD187" i="4"/>
  <c r="Z187" i="4"/>
  <c r="W187" i="4"/>
  <c r="V187" i="4"/>
  <c r="R187" i="4"/>
  <c r="O187" i="4"/>
  <c r="N187" i="4"/>
  <c r="K187" i="4"/>
  <c r="BG187" i="4" s="1"/>
  <c r="BF186" i="4"/>
  <c r="BB186" i="4"/>
  <c r="AX186" i="4"/>
  <c r="AT186" i="4"/>
  <c r="AQ186" i="4"/>
  <c r="AP186" i="4"/>
  <c r="AL186" i="4"/>
  <c r="AI186" i="4"/>
  <c r="AH186" i="4"/>
  <c r="AD186" i="4"/>
  <c r="AA186" i="4"/>
  <c r="Z186" i="4"/>
  <c r="V186" i="4"/>
  <c r="R186" i="4"/>
  <c r="N186" i="4"/>
  <c r="K186" i="4"/>
  <c r="BF185" i="4"/>
  <c r="BC185" i="4"/>
  <c r="BB185" i="4"/>
  <c r="AX185" i="4"/>
  <c r="AU185" i="4"/>
  <c r="AT185" i="4"/>
  <c r="AP185" i="4"/>
  <c r="AM185" i="4"/>
  <c r="AL185" i="4"/>
  <c r="AH185" i="4"/>
  <c r="AD185" i="4"/>
  <c r="AA185" i="4"/>
  <c r="Z185" i="4"/>
  <c r="V185" i="4"/>
  <c r="S185" i="4"/>
  <c r="R185" i="4"/>
  <c r="O185" i="4"/>
  <c r="N185" i="4"/>
  <c r="K185" i="4"/>
  <c r="BF184" i="4"/>
  <c r="BB184" i="4"/>
  <c r="AX184" i="4"/>
  <c r="AT184" i="4"/>
  <c r="AP184" i="4"/>
  <c r="AL184" i="4"/>
  <c r="AH184" i="4"/>
  <c r="AE184" i="4"/>
  <c r="AD184" i="4"/>
  <c r="Z184" i="4"/>
  <c r="V184" i="4"/>
  <c r="R184" i="4"/>
  <c r="N184" i="4"/>
  <c r="K184" i="4"/>
  <c r="AI184" i="4" s="1"/>
  <c r="BF183" i="4"/>
  <c r="BG183" i="4" s="1"/>
  <c r="BB183" i="4"/>
  <c r="AX183" i="4"/>
  <c r="AY183" i="4" s="1"/>
  <c r="AT183" i="4"/>
  <c r="AP183" i="4"/>
  <c r="AL183" i="4"/>
  <c r="AH183" i="4"/>
  <c r="AI183" i="4" s="1"/>
  <c r="AD183" i="4"/>
  <c r="AE183" i="4" s="1"/>
  <c r="Z183" i="4"/>
  <c r="W183" i="4"/>
  <c r="V183" i="4"/>
  <c r="R183" i="4"/>
  <c r="O183" i="4"/>
  <c r="N183" i="4"/>
  <c r="K183" i="4"/>
  <c r="BG182" i="4"/>
  <c r="BF182" i="4"/>
  <c r="BC182" i="4"/>
  <c r="BB182" i="4"/>
  <c r="AX182" i="4"/>
  <c r="AY182" i="4" s="1"/>
  <c r="AU182" i="4"/>
  <c r="AT182" i="4"/>
  <c r="AP182" i="4"/>
  <c r="AQ182" i="4" s="1"/>
  <c r="AL182" i="4"/>
  <c r="AI182" i="4"/>
  <c r="AH182" i="4"/>
  <c r="AE182" i="4"/>
  <c r="AD182" i="4"/>
  <c r="AA182" i="4"/>
  <c r="Z182" i="4"/>
  <c r="V182" i="4"/>
  <c r="W182" i="4" s="1"/>
  <c r="S182" i="4"/>
  <c r="R182" i="4"/>
  <c r="O182" i="4"/>
  <c r="N182" i="4"/>
  <c r="K182" i="4"/>
  <c r="BF181" i="4"/>
  <c r="BB181" i="4"/>
  <c r="AX181" i="4"/>
  <c r="AT181" i="4"/>
  <c r="AP181" i="4"/>
  <c r="AL181" i="4"/>
  <c r="AH181" i="4"/>
  <c r="AD181" i="4"/>
  <c r="Z181" i="4"/>
  <c r="V181" i="4"/>
  <c r="R181" i="4"/>
  <c r="N181" i="4"/>
  <c r="K181" i="4"/>
  <c r="AI181" i="4" s="1"/>
  <c r="BF180" i="4"/>
  <c r="BG180" i="4" s="1"/>
  <c r="BC180" i="4"/>
  <c r="BB180" i="4"/>
  <c r="AY180" i="4"/>
  <c r="AX180" i="4"/>
  <c r="AT180" i="4"/>
  <c r="AP180" i="4"/>
  <c r="AL180" i="4"/>
  <c r="AH180" i="4"/>
  <c r="AE180" i="4"/>
  <c r="AD180" i="4"/>
  <c r="Z180" i="4"/>
  <c r="AA180" i="4" s="1"/>
  <c r="W180" i="4"/>
  <c r="V180" i="4"/>
  <c r="R180" i="4"/>
  <c r="O180" i="4"/>
  <c r="N180" i="4"/>
  <c r="K180" i="4"/>
  <c r="BF179" i="4"/>
  <c r="BG179" i="4" s="1"/>
  <c r="BB179" i="4"/>
  <c r="BC179" i="4" s="1"/>
  <c r="AX179" i="4"/>
  <c r="AY179" i="4" s="1"/>
  <c r="AU179" i="4"/>
  <c r="AT179" i="4"/>
  <c r="AP179" i="4"/>
  <c r="AQ179" i="4" s="1"/>
  <c r="AL179" i="4"/>
  <c r="AI179" i="4"/>
  <c r="AH179" i="4"/>
  <c r="AE179" i="4"/>
  <c r="AD179" i="4"/>
  <c r="AA179" i="4"/>
  <c r="Z179" i="4"/>
  <c r="W179" i="4"/>
  <c r="V179" i="4"/>
  <c r="S179" i="4"/>
  <c r="R179" i="4"/>
  <c r="O179" i="4"/>
  <c r="N179" i="4"/>
  <c r="K179" i="4"/>
  <c r="AM179" i="4" s="1"/>
  <c r="BF178" i="4"/>
  <c r="BC178" i="4"/>
  <c r="BB178" i="4"/>
  <c r="AX178" i="4"/>
  <c r="AU178" i="4"/>
  <c r="AT178" i="4"/>
  <c r="AP178" i="4"/>
  <c r="AM178" i="4"/>
  <c r="AL178" i="4"/>
  <c r="AH178" i="4"/>
  <c r="AD178" i="4"/>
  <c r="Z178" i="4"/>
  <c r="W178" i="4"/>
  <c r="V178" i="4"/>
  <c r="R178" i="4"/>
  <c r="N178" i="4"/>
  <c r="K178" i="4"/>
  <c r="AI178" i="4" s="1"/>
  <c r="BF177" i="4"/>
  <c r="BB177" i="4"/>
  <c r="AX177" i="4"/>
  <c r="AT177" i="4"/>
  <c r="AP177" i="4"/>
  <c r="AL177" i="4"/>
  <c r="AH177" i="4"/>
  <c r="AD177" i="4"/>
  <c r="Z177" i="4"/>
  <c r="V177" i="4"/>
  <c r="S177" i="4"/>
  <c r="R177" i="4"/>
  <c r="N177" i="4"/>
  <c r="K177" i="4"/>
  <c r="BG176" i="4"/>
  <c r="BF176" i="4"/>
  <c r="BB176" i="4"/>
  <c r="AX176" i="4"/>
  <c r="AY176" i="4" s="1"/>
  <c r="AU176" i="4"/>
  <c r="AT176" i="4"/>
  <c r="AQ176" i="4"/>
  <c r="AP176" i="4"/>
  <c r="AL176" i="4"/>
  <c r="AI176" i="4"/>
  <c r="AH176" i="4"/>
  <c r="AE176" i="4"/>
  <c r="AD176" i="4"/>
  <c r="Z176" i="4"/>
  <c r="V176" i="4"/>
  <c r="W176" i="4" s="1"/>
  <c r="R176" i="4"/>
  <c r="S176" i="4" s="1"/>
  <c r="O176" i="4"/>
  <c r="N176" i="4"/>
  <c r="K176" i="4"/>
  <c r="BF175" i="4"/>
  <c r="BC175" i="4"/>
  <c r="BB175" i="4"/>
  <c r="AX175" i="4"/>
  <c r="AY175" i="4" s="1"/>
  <c r="AT175" i="4"/>
  <c r="AU175" i="4" s="1"/>
  <c r="AP175" i="4"/>
  <c r="AQ175" i="4" s="1"/>
  <c r="AL175" i="4"/>
  <c r="AI175" i="4"/>
  <c r="AH175" i="4"/>
  <c r="AD175" i="4"/>
  <c r="AA175" i="4"/>
  <c r="Z175" i="4"/>
  <c r="V175" i="4"/>
  <c r="W175" i="4" s="1"/>
  <c r="R175" i="4"/>
  <c r="S175" i="4" s="1"/>
  <c r="N175" i="4"/>
  <c r="O175" i="4" s="1"/>
  <c r="K175" i="4"/>
  <c r="BG175" i="4" s="1"/>
  <c r="BG174" i="4"/>
  <c r="BF174" i="4"/>
  <c r="BB174" i="4"/>
  <c r="AX174" i="4"/>
  <c r="AT174" i="4"/>
  <c r="AP174" i="4"/>
  <c r="AL174" i="4"/>
  <c r="AH174" i="4"/>
  <c r="AD174" i="4"/>
  <c r="Z174" i="4"/>
  <c r="V174" i="4"/>
  <c r="R174" i="4"/>
  <c r="S174" i="4" s="1"/>
  <c r="N174" i="4"/>
  <c r="K174" i="4"/>
  <c r="AQ174" i="4" s="1"/>
  <c r="BF173" i="4"/>
  <c r="BB173" i="4"/>
  <c r="AX173" i="4"/>
  <c r="AT173" i="4"/>
  <c r="AQ173" i="4"/>
  <c r="AP173" i="4"/>
  <c r="AL173" i="4"/>
  <c r="AH173" i="4"/>
  <c r="AD173" i="4"/>
  <c r="Z173" i="4"/>
  <c r="V173" i="4"/>
  <c r="S173" i="4"/>
  <c r="R173" i="4"/>
  <c r="N173" i="4"/>
  <c r="K173" i="4"/>
  <c r="BF172" i="4"/>
  <c r="BC172" i="4"/>
  <c r="BB172" i="4"/>
  <c r="AX172" i="4"/>
  <c r="AT172" i="4"/>
  <c r="AP172" i="4"/>
  <c r="AM172" i="4"/>
  <c r="AL172" i="4"/>
  <c r="AI172" i="4"/>
  <c r="AH172" i="4"/>
  <c r="AD172" i="4"/>
  <c r="Z172" i="4"/>
  <c r="W172" i="4"/>
  <c r="V172" i="4"/>
  <c r="R172" i="4"/>
  <c r="O172" i="4"/>
  <c r="N172" i="4"/>
  <c r="K172" i="4"/>
  <c r="AA172" i="4" s="1"/>
  <c r="BF171" i="4"/>
  <c r="BB171" i="4"/>
  <c r="AX171" i="4"/>
  <c r="AT171" i="4"/>
  <c r="AQ171" i="4"/>
  <c r="AP171" i="4"/>
  <c r="AL171" i="4"/>
  <c r="AH171" i="4"/>
  <c r="AD171" i="4"/>
  <c r="AA171" i="4"/>
  <c r="Z171" i="4"/>
  <c r="V171" i="4"/>
  <c r="R171" i="4"/>
  <c r="N171" i="4"/>
  <c r="K171" i="4"/>
  <c r="BG170" i="4"/>
  <c r="BF170" i="4"/>
  <c r="BB170" i="4"/>
  <c r="AX170" i="4"/>
  <c r="AT170" i="4"/>
  <c r="AP170" i="4"/>
  <c r="AM170" i="4"/>
  <c r="AL170" i="4"/>
  <c r="AH170" i="4"/>
  <c r="AI170" i="4" s="1"/>
  <c r="AD170" i="4"/>
  <c r="Z170" i="4"/>
  <c r="V170" i="4"/>
  <c r="R170" i="4"/>
  <c r="N170" i="4"/>
  <c r="K170" i="4"/>
  <c r="AE170" i="4" s="1"/>
  <c r="BF169" i="4"/>
  <c r="BG169" i="4" s="1"/>
  <c r="BB169" i="4"/>
  <c r="AY169" i="4"/>
  <c r="AX169" i="4"/>
  <c r="AT169" i="4"/>
  <c r="AP169" i="4"/>
  <c r="AL169" i="4"/>
  <c r="AM169" i="4" s="1"/>
  <c r="AH169" i="4"/>
  <c r="AI169" i="4" s="1"/>
  <c r="AE169" i="4"/>
  <c r="AD169" i="4"/>
  <c r="Z169" i="4"/>
  <c r="V169" i="4"/>
  <c r="W169" i="4" s="1"/>
  <c r="R169" i="4"/>
  <c r="O169" i="4"/>
  <c r="N169" i="4"/>
  <c r="K169" i="4"/>
  <c r="BG168" i="4"/>
  <c r="BF168" i="4"/>
  <c r="BC168" i="4"/>
  <c r="BB168" i="4"/>
  <c r="AX168" i="4"/>
  <c r="AY168" i="4" s="1"/>
  <c r="AU168" i="4"/>
  <c r="AT168" i="4"/>
  <c r="AQ168" i="4"/>
  <c r="AP168" i="4"/>
  <c r="AL168" i="4"/>
  <c r="AI168" i="4"/>
  <c r="AH168" i="4"/>
  <c r="AE168" i="4"/>
  <c r="AD168" i="4"/>
  <c r="AA168" i="4"/>
  <c r="Z168" i="4"/>
  <c r="V168" i="4"/>
  <c r="W168" i="4" s="1"/>
  <c r="S168" i="4"/>
  <c r="R168" i="4"/>
  <c r="N168" i="4"/>
  <c r="O168" i="4" s="1"/>
  <c r="BH168" i="4" s="1"/>
  <c r="BI168" i="4" s="1"/>
  <c r="K168" i="4"/>
  <c r="AM168" i="4" s="1"/>
  <c r="BG167" i="4"/>
  <c r="BF167" i="4"/>
  <c r="BB167" i="4"/>
  <c r="AX167" i="4"/>
  <c r="AT167" i="4"/>
  <c r="AP167" i="4"/>
  <c r="AM167" i="4"/>
  <c r="AL167" i="4"/>
  <c r="AH167" i="4"/>
  <c r="AI167" i="4" s="1"/>
  <c r="AD167" i="4"/>
  <c r="AA167" i="4"/>
  <c r="Z167" i="4"/>
  <c r="V167" i="4"/>
  <c r="R167" i="4"/>
  <c r="N167" i="4"/>
  <c r="K167" i="4"/>
  <c r="AE167" i="4" s="1"/>
  <c r="BG166" i="4"/>
  <c r="BF166" i="4"/>
  <c r="BB166" i="4"/>
  <c r="BC166" i="4" s="1"/>
  <c r="AX166" i="4"/>
  <c r="AY166" i="4" s="1"/>
  <c r="AT166" i="4"/>
  <c r="AP166" i="4"/>
  <c r="AL166" i="4"/>
  <c r="AM166" i="4" s="1"/>
  <c r="AH166" i="4"/>
  <c r="AD166" i="4"/>
  <c r="AE166" i="4" s="1"/>
  <c r="AA166" i="4"/>
  <c r="Z166" i="4"/>
  <c r="W166" i="4"/>
  <c r="V166" i="4"/>
  <c r="R166" i="4"/>
  <c r="O166" i="4"/>
  <c r="N166" i="4"/>
  <c r="K166" i="4"/>
  <c r="BF165" i="4"/>
  <c r="BG165" i="4" s="1"/>
  <c r="BB165" i="4"/>
  <c r="BC165" i="4" s="1"/>
  <c r="AY165" i="4"/>
  <c r="AX165" i="4"/>
  <c r="AU165" i="4"/>
  <c r="AT165" i="4"/>
  <c r="AQ165" i="4"/>
  <c r="AP165" i="4"/>
  <c r="AL165" i="4"/>
  <c r="AI165" i="4"/>
  <c r="AH165" i="4"/>
  <c r="AE165" i="4"/>
  <c r="AD165" i="4"/>
  <c r="AA165" i="4"/>
  <c r="Z165" i="4"/>
  <c r="V165" i="4"/>
  <c r="W165" i="4" s="1"/>
  <c r="S165" i="4"/>
  <c r="R165" i="4"/>
  <c r="O165" i="4"/>
  <c r="N165" i="4"/>
  <c r="K165" i="4"/>
  <c r="BF164" i="4"/>
  <c r="BB164" i="4"/>
  <c r="AY164" i="4"/>
  <c r="AX164" i="4"/>
  <c r="AT164" i="4"/>
  <c r="AP164" i="4"/>
  <c r="AL164" i="4"/>
  <c r="AH164" i="4"/>
  <c r="AD164" i="4"/>
  <c r="Z164" i="4"/>
  <c r="V164" i="4"/>
  <c r="R164" i="4"/>
  <c r="N164" i="4"/>
  <c r="K164" i="4"/>
  <c r="BF163" i="4"/>
  <c r="BB163" i="4"/>
  <c r="AX163" i="4"/>
  <c r="AT163" i="4"/>
  <c r="AP163" i="4"/>
  <c r="AL163" i="4"/>
  <c r="AH163" i="4"/>
  <c r="AD163" i="4"/>
  <c r="AA163" i="4"/>
  <c r="Z163" i="4"/>
  <c r="V163" i="4"/>
  <c r="S163" i="4"/>
  <c r="R163" i="4"/>
  <c r="N163" i="4"/>
  <c r="K163" i="4"/>
  <c r="BF162" i="4"/>
  <c r="BG162" i="4" s="1"/>
  <c r="BB162" i="4"/>
  <c r="AX162" i="4"/>
  <c r="AY162" i="4" s="1"/>
  <c r="AU162" i="4"/>
  <c r="AT162" i="4"/>
  <c r="AP162" i="4"/>
  <c r="AQ162" i="4" s="1"/>
  <c r="AL162" i="4"/>
  <c r="AI162" i="4"/>
  <c r="AH162" i="4"/>
  <c r="AE162" i="4"/>
  <c r="AD162" i="4"/>
  <c r="Z162" i="4"/>
  <c r="V162" i="4"/>
  <c r="W162" i="4" s="1"/>
  <c r="R162" i="4"/>
  <c r="S162" i="4" s="1"/>
  <c r="O162" i="4"/>
  <c r="N162" i="4"/>
  <c r="K162" i="4"/>
  <c r="BF161" i="4"/>
  <c r="BB161" i="4"/>
  <c r="AX161" i="4"/>
  <c r="AT161" i="4"/>
  <c r="AP161" i="4"/>
  <c r="AL161" i="4"/>
  <c r="AH161" i="4"/>
  <c r="AD161" i="4"/>
  <c r="Z161" i="4"/>
  <c r="V161" i="4"/>
  <c r="R161" i="4"/>
  <c r="N161" i="4"/>
  <c r="K161" i="4"/>
  <c r="BF160" i="4"/>
  <c r="BC160" i="4"/>
  <c r="BB160" i="4"/>
  <c r="AX160" i="4"/>
  <c r="AT160" i="4"/>
  <c r="AP160" i="4"/>
  <c r="AM160" i="4"/>
  <c r="AL160" i="4"/>
  <c r="AH160" i="4"/>
  <c r="AE160" i="4"/>
  <c r="AD160" i="4"/>
  <c r="Z160" i="4"/>
  <c r="V160" i="4"/>
  <c r="R160" i="4"/>
  <c r="N160" i="4"/>
  <c r="K160" i="4"/>
  <c r="BG160" i="4" s="1"/>
  <c r="BF159" i="4"/>
  <c r="BG159" i="4" s="1"/>
  <c r="BB159" i="4"/>
  <c r="AY159" i="4"/>
  <c r="AX159" i="4"/>
  <c r="AT159" i="4"/>
  <c r="AU159" i="4" s="1"/>
  <c r="AQ159" i="4"/>
  <c r="AP159" i="4"/>
  <c r="AM159" i="4"/>
  <c r="AL159" i="4"/>
  <c r="AI159" i="4"/>
  <c r="AH159" i="4"/>
  <c r="AD159" i="4"/>
  <c r="AE159" i="4" s="1"/>
  <c r="Z159" i="4"/>
  <c r="W159" i="4"/>
  <c r="V159" i="4"/>
  <c r="S159" i="4"/>
  <c r="R159" i="4"/>
  <c r="N159" i="4"/>
  <c r="O159" i="4" s="1"/>
  <c r="K159" i="4"/>
  <c r="BF158" i="4"/>
  <c r="BB158" i="4"/>
  <c r="AX158" i="4"/>
  <c r="AT158" i="4"/>
  <c r="AP158" i="4"/>
  <c r="AL158" i="4"/>
  <c r="AH158" i="4"/>
  <c r="AD158" i="4"/>
  <c r="Z158" i="4"/>
  <c r="V158" i="4"/>
  <c r="R158" i="4"/>
  <c r="O158" i="4"/>
  <c r="N158" i="4"/>
  <c r="K158" i="4"/>
  <c r="AQ158" i="4" s="1"/>
  <c r="BF157" i="4"/>
  <c r="BB157" i="4"/>
  <c r="AX157" i="4"/>
  <c r="AT157" i="4"/>
  <c r="AP157" i="4"/>
  <c r="AL157" i="4"/>
  <c r="AH157" i="4"/>
  <c r="AD157" i="4"/>
  <c r="Z157" i="4"/>
  <c r="V157" i="4"/>
  <c r="R157" i="4"/>
  <c r="N157" i="4"/>
  <c r="K157" i="4"/>
  <c r="AU157" i="4" s="1"/>
  <c r="BF156" i="4"/>
  <c r="BG156" i="4" s="1"/>
  <c r="BB156" i="4"/>
  <c r="AX156" i="4"/>
  <c r="AT156" i="4"/>
  <c r="AP156" i="4"/>
  <c r="AM156" i="4"/>
  <c r="AL156" i="4"/>
  <c r="AH156" i="4"/>
  <c r="AE156" i="4"/>
  <c r="AD156" i="4"/>
  <c r="Z156" i="4"/>
  <c r="W156" i="4"/>
  <c r="V156" i="4"/>
  <c r="R156" i="4"/>
  <c r="N156" i="4"/>
  <c r="K156" i="4"/>
  <c r="AI156" i="4" s="1"/>
  <c r="BF155" i="4"/>
  <c r="BG155" i="4" s="1"/>
  <c r="BC155" i="4"/>
  <c r="BB155" i="4"/>
  <c r="AX155" i="4"/>
  <c r="AY155" i="4" s="1"/>
  <c r="AT155" i="4"/>
  <c r="AP155" i="4"/>
  <c r="AM155" i="4"/>
  <c r="AL155" i="4"/>
  <c r="AI155" i="4"/>
  <c r="AH155" i="4"/>
  <c r="AE155" i="4"/>
  <c r="AD155" i="4"/>
  <c r="AA155" i="4"/>
  <c r="Z155" i="4"/>
  <c r="W155" i="4"/>
  <c r="V155" i="4"/>
  <c r="R155" i="4"/>
  <c r="O155" i="4"/>
  <c r="N155" i="4"/>
  <c r="K155" i="4"/>
  <c r="BG154" i="4"/>
  <c r="BF154" i="4"/>
  <c r="BC154" i="4"/>
  <c r="BB154" i="4"/>
  <c r="AX154" i="4"/>
  <c r="AY154" i="4" s="1"/>
  <c r="AU154" i="4"/>
  <c r="AT154" i="4"/>
  <c r="AP154" i="4"/>
  <c r="AQ154" i="4" s="1"/>
  <c r="AL154" i="4"/>
  <c r="AH154" i="4"/>
  <c r="AI154" i="4" s="1"/>
  <c r="AE154" i="4"/>
  <c r="AD154" i="4"/>
  <c r="AA154" i="4"/>
  <c r="Z154" i="4"/>
  <c r="V154" i="4"/>
  <c r="W154" i="4" s="1"/>
  <c r="S154" i="4"/>
  <c r="R154" i="4"/>
  <c r="N154" i="4"/>
  <c r="O154" i="4" s="1"/>
  <c r="K154" i="4"/>
  <c r="BF153" i="4"/>
  <c r="BC153" i="4"/>
  <c r="BB153" i="4"/>
  <c r="AX153" i="4"/>
  <c r="AU153" i="4"/>
  <c r="AT153" i="4"/>
  <c r="AP153" i="4"/>
  <c r="AM153" i="4"/>
  <c r="AL153" i="4"/>
  <c r="AH153" i="4"/>
  <c r="AE153" i="4"/>
  <c r="AD153" i="4"/>
  <c r="Z153" i="4"/>
  <c r="V153" i="4"/>
  <c r="R153" i="4"/>
  <c r="N153" i="4"/>
  <c r="K153" i="4"/>
  <c r="AI153" i="4" s="1"/>
  <c r="BG152" i="4"/>
  <c r="BF152" i="4"/>
  <c r="BB152" i="4"/>
  <c r="BC152" i="4" s="1"/>
  <c r="AX152" i="4"/>
  <c r="AY152" i="4" s="1"/>
  <c r="AT152" i="4"/>
  <c r="AP152" i="4"/>
  <c r="AL152" i="4"/>
  <c r="AM152" i="4" s="1"/>
  <c r="AH152" i="4"/>
  <c r="AD152" i="4"/>
  <c r="AE152" i="4" s="1"/>
  <c r="AA152" i="4"/>
  <c r="Z152" i="4"/>
  <c r="V152" i="4"/>
  <c r="W152" i="4" s="1"/>
  <c r="R152" i="4"/>
  <c r="O152" i="4"/>
  <c r="N152" i="4"/>
  <c r="K152" i="4"/>
  <c r="BF151" i="4"/>
  <c r="BG151" i="4" s="1"/>
  <c r="BB151" i="4"/>
  <c r="BC151" i="4" s="1"/>
  <c r="AX151" i="4"/>
  <c r="AY151" i="4" s="1"/>
  <c r="AU151" i="4"/>
  <c r="AT151" i="4"/>
  <c r="AQ151" i="4"/>
  <c r="AP151" i="4"/>
  <c r="AL151" i="4"/>
  <c r="AI151" i="4"/>
  <c r="AH151" i="4"/>
  <c r="AE151" i="4"/>
  <c r="AD151" i="4"/>
  <c r="AA151" i="4"/>
  <c r="Z151" i="4"/>
  <c r="V151" i="4"/>
  <c r="W151" i="4" s="1"/>
  <c r="S151" i="4"/>
  <c r="R151" i="4"/>
  <c r="O151" i="4"/>
  <c r="N151" i="4"/>
  <c r="K151" i="4"/>
  <c r="BF150" i="4"/>
  <c r="BB150" i="4"/>
  <c r="AX150" i="4"/>
  <c r="AT150" i="4"/>
  <c r="AP150" i="4"/>
  <c r="AL150" i="4"/>
  <c r="AH150" i="4"/>
  <c r="AD150" i="4"/>
  <c r="Z150" i="4"/>
  <c r="V150" i="4"/>
  <c r="R150" i="4"/>
  <c r="N150" i="4"/>
  <c r="K150" i="4"/>
  <c r="AI150" i="4" s="1"/>
  <c r="BF149" i="4"/>
  <c r="BC149" i="4"/>
  <c r="BB149" i="4"/>
  <c r="AX149" i="4"/>
  <c r="AT149" i="4"/>
  <c r="AP149" i="4"/>
  <c r="AL149" i="4"/>
  <c r="AH149" i="4"/>
  <c r="AD149" i="4"/>
  <c r="Z149" i="4"/>
  <c r="V149" i="4"/>
  <c r="R149" i="4"/>
  <c r="N149" i="4"/>
  <c r="K149" i="4"/>
  <c r="S149" i="4" s="1"/>
  <c r="BF148" i="4"/>
  <c r="BG148" i="4" s="1"/>
  <c r="BB148" i="4"/>
  <c r="AX148" i="4"/>
  <c r="AY148" i="4" s="1"/>
  <c r="AU148" i="4"/>
  <c r="AT148" i="4"/>
  <c r="AP148" i="4"/>
  <c r="AQ148" i="4" s="1"/>
  <c r="AL148" i="4"/>
  <c r="AI148" i="4"/>
  <c r="AH148" i="4"/>
  <c r="AE148" i="4"/>
  <c r="AD148" i="4"/>
  <c r="Z148" i="4"/>
  <c r="V148" i="4"/>
  <c r="W148" i="4" s="1"/>
  <c r="R148" i="4"/>
  <c r="S148" i="4" s="1"/>
  <c r="O148" i="4"/>
  <c r="N148" i="4"/>
  <c r="K148" i="4"/>
  <c r="BF147" i="4"/>
  <c r="BB147" i="4"/>
  <c r="AX147" i="4"/>
  <c r="AT147" i="4"/>
  <c r="AU147" i="4" s="1"/>
  <c r="AP147" i="4"/>
  <c r="AM147" i="4"/>
  <c r="AL147" i="4"/>
  <c r="AH147" i="4"/>
  <c r="AD147" i="4"/>
  <c r="Z147" i="4"/>
  <c r="W147" i="4"/>
  <c r="V147" i="4"/>
  <c r="R147" i="4"/>
  <c r="N147" i="4"/>
  <c r="K147" i="4"/>
  <c r="BF146" i="4"/>
  <c r="BC146" i="4"/>
  <c r="BB146" i="4"/>
  <c r="AX146" i="4"/>
  <c r="AT146" i="4"/>
  <c r="AP146" i="4"/>
  <c r="AL146" i="4"/>
  <c r="AM146" i="4" s="1"/>
  <c r="AH146" i="4"/>
  <c r="AE146" i="4"/>
  <c r="AD146" i="4"/>
  <c r="Z146" i="4"/>
  <c r="V146" i="4"/>
  <c r="R146" i="4"/>
  <c r="N146" i="4"/>
  <c r="K146" i="4"/>
  <c r="BG146" i="4" s="1"/>
  <c r="BF145" i="4"/>
  <c r="BG145" i="4" s="1"/>
  <c r="BB145" i="4"/>
  <c r="AY145" i="4"/>
  <c r="AX145" i="4"/>
  <c r="AT145" i="4"/>
  <c r="AU145" i="4" s="1"/>
  <c r="AQ145" i="4"/>
  <c r="AP145" i="4"/>
  <c r="AM145" i="4"/>
  <c r="AL145" i="4"/>
  <c r="AI145" i="4"/>
  <c r="AH145" i="4"/>
  <c r="AD145" i="4"/>
  <c r="AE145" i="4" s="1"/>
  <c r="Z145" i="4"/>
  <c r="W145" i="4"/>
  <c r="V145" i="4"/>
  <c r="S145" i="4"/>
  <c r="R145" i="4"/>
  <c r="N145" i="4"/>
  <c r="O145" i="4" s="1"/>
  <c r="K145" i="4"/>
  <c r="BG144" i="4"/>
  <c r="BF144" i="4"/>
  <c r="BC144" i="4"/>
  <c r="BB144" i="4"/>
  <c r="AY144" i="4"/>
  <c r="AX144" i="4"/>
  <c r="AT144" i="4"/>
  <c r="AQ144" i="4"/>
  <c r="AP144" i="4"/>
  <c r="AL144" i="4"/>
  <c r="AH144" i="4"/>
  <c r="AD144" i="4"/>
  <c r="AE144" i="4" s="1"/>
  <c r="AA144" i="4"/>
  <c r="Z144" i="4"/>
  <c r="W144" i="4"/>
  <c r="V144" i="4"/>
  <c r="R144" i="4"/>
  <c r="N144" i="4"/>
  <c r="O144" i="4" s="1"/>
  <c r="K144" i="4"/>
  <c r="BF143" i="4"/>
  <c r="BB143" i="4"/>
  <c r="AX143" i="4"/>
  <c r="AU143" i="4"/>
  <c r="AT143" i="4"/>
  <c r="AQ143" i="4"/>
  <c r="AP143" i="4"/>
  <c r="AM143" i="4"/>
  <c r="AL143" i="4"/>
  <c r="AH143" i="4"/>
  <c r="AE143" i="4"/>
  <c r="AD143" i="4"/>
  <c r="AA143" i="4"/>
  <c r="Z143" i="4"/>
  <c r="V143" i="4"/>
  <c r="S143" i="4"/>
  <c r="R143" i="4"/>
  <c r="N143" i="4"/>
  <c r="O143" i="4" s="1"/>
  <c r="K143" i="4"/>
  <c r="AI143" i="4" s="1"/>
  <c r="BF142" i="4"/>
  <c r="BC142" i="4"/>
  <c r="BB142" i="4"/>
  <c r="AX142" i="4"/>
  <c r="AU142" i="4"/>
  <c r="AT142" i="4"/>
  <c r="AP142" i="4"/>
  <c r="AL142" i="4"/>
  <c r="AM142" i="4" s="1"/>
  <c r="AH142" i="4"/>
  <c r="AE142" i="4"/>
  <c r="AD142" i="4"/>
  <c r="Z142" i="4"/>
  <c r="V142" i="4"/>
  <c r="R142" i="4"/>
  <c r="N142" i="4"/>
  <c r="K142" i="4"/>
  <c r="BF141" i="4"/>
  <c r="BG141" i="4" s="1"/>
  <c r="BC141" i="4"/>
  <c r="BB141" i="4"/>
  <c r="AX141" i="4"/>
  <c r="AT141" i="4"/>
  <c r="AQ141" i="4"/>
  <c r="AP141" i="4"/>
  <c r="AM141" i="4"/>
  <c r="AL141" i="4"/>
  <c r="AH141" i="4"/>
  <c r="AI141" i="4" s="1"/>
  <c r="AE141" i="4"/>
  <c r="AD141" i="4"/>
  <c r="Z141" i="4"/>
  <c r="AA141" i="4" s="1"/>
  <c r="V141" i="4"/>
  <c r="R141" i="4"/>
  <c r="N141" i="4"/>
  <c r="K141" i="4"/>
  <c r="W141" i="4" s="1"/>
  <c r="BF140" i="4"/>
  <c r="BG140" i="4" s="1"/>
  <c r="BC140" i="4"/>
  <c r="BB140" i="4"/>
  <c r="AY140" i="4"/>
  <c r="AX140" i="4"/>
  <c r="AU140" i="4"/>
  <c r="AT140" i="4"/>
  <c r="AQ140" i="4"/>
  <c r="AP140" i="4"/>
  <c r="AL140" i="4"/>
  <c r="AH140" i="4"/>
  <c r="AI140" i="4" s="1"/>
  <c r="AD140" i="4"/>
  <c r="AE140" i="4" s="1"/>
  <c r="Z140" i="4"/>
  <c r="AA140" i="4" s="1"/>
  <c r="V140" i="4"/>
  <c r="W140" i="4" s="1"/>
  <c r="S140" i="4"/>
  <c r="R140" i="4"/>
  <c r="N140" i="4"/>
  <c r="O140" i="4" s="1"/>
  <c r="K140" i="4"/>
  <c r="BG139" i="4"/>
  <c r="BF139" i="4"/>
  <c r="BC139" i="4"/>
  <c r="BB139" i="4"/>
  <c r="AY139" i="4"/>
  <c r="AX139" i="4"/>
  <c r="AT139" i="4"/>
  <c r="AU139" i="4" s="1"/>
  <c r="AP139" i="4"/>
  <c r="AL139" i="4"/>
  <c r="AH139" i="4"/>
  <c r="AD139" i="4"/>
  <c r="AE139" i="4" s="1"/>
  <c r="Z139" i="4"/>
  <c r="AA139" i="4" s="1"/>
  <c r="V139" i="4"/>
  <c r="W139" i="4" s="1"/>
  <c r="R139" i="4"/>
  <c r="S139" i="4" s="1"/>
  <c r="N139" i="4"/>
  <c r="K139" i="4"/>
  <c r="AM139" i="4" s="1"/>
  <c r="BG138" i="4"/>
  <c r="BF138" i="4"/>
  <c r="BC138" i="4"/>
  <c r="BB138" i="4"/>
  <c r="AY138" i="4"/>
  <c r="AX138" i="4"/>
  <c r="AU138" i="4"/>
  <c r="AT138" i="4"/>
  <c r="AQ138" i="4"/>
  <c r="AP138" i="4"/>
  <c r="AL138" i="4"/>
  <c r="AM138" i="4" s="1"/>
  <c r="AH138" i="4"/>
  <c r="AD138" i="4"/>
  <c r="Z138" i="4"/>
  <c r="V138" i="4"/>
  <c r="R138" i="4"/>
  <c r="S138" i="4" s="1"/>
  <c r="O138" i="4"/>
  <c r="N138" i="4"/>
  <c r="K138" i="4"/>
  <c r="AI138" i="4" s="1"/>
  <c r="BG137" i="4"/>
  <c r="BF137" i="4"/>
  <c r="BB137" i="4"/>
  <c r="BC137" i="4" s="1"/>
  <c r="AX137" i="4"/>
  <c r="AY137" i="4" s="1"/>
  <c r="AT137" i="4"/>
  <c r="AU137" i="4" s="1"/>
  <c r="AP137" i="4"/>
  <c r="AQ137" i="4" s="1"/>
  <c r="AL137" i="4"/>
  <c r="AI137" i="4"/>
  <c r="AH137" i="4"/>
  <c r="AD137" i="4"/>
  <c r="AE137" i="4" s="1"/>
  <c r="AA137" i="4"/>
  <c r="Z137" i="4"/>
  <c r="W137" i="4"/>
  <c r="V137" i="4"/>
  <c r="S137" i="4"/>
  <c r="R137" i="4"/>
  <c r="O137" i="4"/>
  <c r="N137" i="4"/>
  <c r="K137" i="4"/>
  <c r="AM137" i="4" s="1"/>
  <c r="BF136" i="4"/>
  <c r="BB136" i="4"/>
  <c r="BC136" i="4" s="1"/>
  <c r="AX136" i="4"/>
  <c r="AU136" i="4"/>
  <c r="AT136" i="4"/>
  <c r="AQ136" i="4"/>
  <c r="AP136" i="4"/>
  <c r="AM136" i="4"/>
  <c r="AL136" i="4"/>
  <c r="AH136" i="4"/>
  <c r="AI136" i="4" s="1"/>
  <c r="AD136" i="4"/>
  <c r="Z136" i="4"/>
  <c r="AA136" i="4" s="1"/>
  <c r="W136" i="4"/>
  <c r="V136" i="4"/>
  <c r="R136" i="4"/>
  <c r="N136" i="4"/>
  <c r="K136" i="4"/>
  <c r="AY136" i="4" s="1"/>
  <c r="BF135" i="4"/>
  <c r="BB135" i="4"/>
  <c r="AX135" i="4"/>
  <c r="AT135" i="4"/>
  <c r="AP135" i="4"/>
  <c r="AL135" i="4"/>
  <c r="AH135" i="4"/>
  <c r="AD135" i="4"/>
  <c r="Z135" i="4"/>
  <c r="V135" i="4"/>
  <c r="R135" i="4"/>
  <c r="N135" i="4"/>
  <c r="K135" i="4"/>
  <c r="AE135" i="4" s="1"/>
  <c r="BF134" i="4"/>
  <c r="BB134" i="4"/>
  <c r="AX134" i="4"/>
  <c r="AU134" i="4"/>
  <c r="AT134" i="4"/>
  <c r="AP134" i="4"/>
  <c r="AL134" i="4"/>
  <c r="AH134" i="4"/>
  <c r="AD134" i="4"/>
  <c r="Z134" i="4"/>
  <c r="V134" i="4"/>
  <c r="R134" i="4"/>
  <c r="N134" i="4"/>
  <c r="K134" i="4"/>
  <c r="BF133" i="4"/>
  <c r="BC133" i="4"/>
  <c r="BB133" i="4"/>
  <c r="AX133" i="4"/>
  <c r="AT133" i="4"/>
  <c r="AP133" i="4"/>
  <c r="AM133" i="4"/>
  <c r="AL133" i="4"/>
  <c r="AH133" i="4"/>
  <c r="AI133" i="4" s="1"/>
  <c r="AD133" i="4"/>
  <c r="Z133" i="4"/>
  <c r="V133" i="4"/>
  <c r="R133" i="4"/>
  <c r="N133" i="4"/>
  <c r="K133" i="4"/>
  <c r="AU133" i="4" s="1"/>
  <c r="BG132" i="4"/>
  <c r="BF132" i="4"/>
  <c r="BB132" i="4"/>
  <c r="AX132" i="4"/>
  <c r="AT132" i="4"/>
  <c r="AP132" i="4"/>
  <c r="AL132" i="4"/>
  <c r="AI132" i="4"/>
  <c r="AH132" i="4"/>
  <c r="AD132" i="4"/>
  <c r="AA132" i="4"/>
  <c r="Z132" i="4"/>
  <c r="V132" i="4"/>
  <c r="R132" i="4"/>
  <c r="N132" i="4"/>
  <c r="K132" i="4"/>
  <c r="BG131" i="4"/>
  <c r="BF131" i="4"/>
  <c r="BB131" i="4"/>
  <c r="AY131" i="4"/>
  <c r="AX131" i="4"/>
  <c r="AT131" i="4"/>
  <c r="AU131" i="4" s="1"/>
  <c r="AQ131" i="4"/>
  <c r="AP131" i="4"/>
  <c r="AM131" i="4"/>
  <c r="AL131" i="4"/>
  <c r="AI131" i="4"/>
  <c r="AH131" i="4"/>
  <c r="AD131" i="4"/>
  <c r="AE131" i="4" s="1"/>
  <c r="Z131" i="4"/>
  <c r="W131" i="4"/>
  <c r="V131" i="4"/>
  <c r="S131" i="4"/>
  <c r="R131" i="4"/>
  <c r="N131" i="4"/>
  <c r="O131" i="4" s="1"/>
  <c r="K131" i="4"/>
  <c r="BG130" i="4"/>
  <c r="BF130" i="4"/>
  <c r="BC130" i="4"/>
  <c r="BB130" i="4"/>
  <c r="AY130" i="4"/>
  <c r="AX130" i="4"/>
  <c r="AT130" i="4"/>
  <c r="AQ130" i="4"/>
  <c r="AP130" i="4"/>
  <c r="AM130" i="4"/>
  <c r="AL130" i="4"/>
  <c r="AH130" i="4"/>
  <c r="AD130" i="4"/>
  <c r="AE130" i="4" s="1"/>
  <c r="AA130" i="4"/>
  <c r="Z130" i="4"/>
  <c r="V130" i="4"/>
  <c r="W130" i="4" s="1"/>
  <c r="R130" i="4"/>
  <c r="N130" i="4"/>
  <c r="O130" i="4" s="1"/>
  <c r="K130" i="4"/>
  <c r="BF129" i="4"/>
  <c r="BB129" i="4"/>
  <c r="AX129" i="4"/>
  <c r="AU129" i="4"/>
  <c r="AT129" i="4"/>
  <c r="AP129" i="4"/>
  <c r="AM129" i="4"/>
  <c r="AL129" i="4"/>
  <c r="AH129" i="4"/>
  <c r="AE129" i="4"/>
  <c r="AD129" i="4"/>
  <c r="Z129" i="4"/>
  <c r="W129" i="4"/>
  <c r="V129" i="4"/>
  <c r="R129" i="4"/>
  <c r="O129" i="4"/>
  <c r="N129" i="4"/>
  <c r="K129" i="4"/>
  <c r="S129" i="4" s="1"/>
  <c r="BF128" i="4"/>
  <c r="BB128" i="4"/>
  <c r="AX128" i="4"/>
  <c r="AT128" i="4"/>
  <c r="AP128" i="4"/>
  <c r="AM128" i="4"/>
  <c r="AL128" i="4"/>
  <c r="AH128" i="4"/>
  <c r="AD128" i="4"/>
  <c r="Z128" i="4"/>
  <c r="V128" i="4"/>
  <c r="R128" i="4"/>
  <c r="N128" i="4"/>
  <c r="K128" i="4"/>
  <c r="AI128" i="4" s="1"/>
  <c r="BF127" i="4"/>
  <c r="BB127" i="4"/>
  <c r="AX127" i="4"/>
  <c r="AT127" i="4"/>
  <c r="AP127" i="4"/>
  <c r="AL127" i="4"/>
  <c r="AH127" i="4"/>
  <c r="AD127" i="4"/>
  <c r="AE127" i="4" s="1"/>
  <c r="Z127" i="4"/>
  <c r="W127" i="4"/>
  <c r="V127" i="4"/>
  <c r="R127" i="4"/>
  <c r="N127" i="4"/>
  <c r="K127" i="4"/>
  <c r="BF126" i="4"/>
  <c r="BG126" i="4" s="1"/>
  <c r="BC126" i="4"/>
  <c r="BB126" i="4"/>
  <c r="AX126" i="4"/>
  <c r="AY126" i="4" s="1"/>
  <c r="AT126" i="4"/>
  <c r="AU126" i="4" s="1"/>
  <c r="AP126" i="4"/>
  <c r="AQ126" i="4" s="1"/>
  <c r="AL126" i="4"/>
  <c r="AH126" i="4"/>
  <c r="AI126" i="4" s="1"/>
  <c r="AE126" i="4"/>
  <c r="AD126" i="4"/>
  <c r="AA126" i="4"/>
  <c r="Z126" i="4"/>
  <c r="V126" i="4"/>
  <c r="W126" i="4" s="1"/>
  <c r="S126" i="4"/>
  <c r="R126" i="4"/>
  <c r="O126" i="4"/>
  <c r="N126" i="4"/>
  <c r="K126" i="4"/>
  <c r="AM126" i="4" s="1"/>
  <c r="BG125" i="4"/>
  <c r="BF125" i="4"/>
  <c r="BB125" i="4"/>
  <c r="BC125" i="4" s="1"/>
  <c r="AY125" i="4"/>
  <c r="AX125" i="4"/>
  <c r="AU125" i="4"/>
  <c r="AT125" i="4"/>
  <c r="AP125" i="4"/>
  <c r="AL125" i="4"/>
  <c r="AH125" i="4"/>
  <c r="AI125" i="4" s="1"/>
  <c r="AD125" i="4"/>
  <c r="AE125" i="4" s="1"/>
  <c r="Z125" i="4"/>
  <c r="AA125" i="4" s="1"/>
  <c r="W125" i="4"/>
  <c r="V125" i="4"/>
  <c r="R125" i="4"/>
  <c r="S125" i="4" s="1"/>
  <c r="N125" i="4"/>
  <c r="K125" i="4"/>
  <c r="AQ125" i="4" s="1"/>
  <c r="BF124" i="4"/>
  <c r="BB124" i="4"/>
  <c r="AX124" i="4"/>
  <c r="AT124" i="4"/>
  <c r="AP124" i="4"/>
  <c r="AL124" i="4"/>
  <c r="AH124" i="4"/>
  <c r="AD124" i="4"/>
  <c r="Z124" i="4"/>
  <c r="V124" i="4"/>
  <c r="R124" i="4"/>
  <c r="N124" i="4"/>
  <c r="K124" i="4"/>
  <c r="BG123" i="4"/>
  <c r="BF123" i="4"/>
  <c r="BC123" i="4"/>
  <c r="BB123" i="4"/>
  <c r="AX123" i="4"/>
  <c r="AY123" i="4" s="1"/>
  <c r="AU123" i="4"/>
  <c r="AT123" i="4"/>
  <c r="AP123" i="4"/>
  <c r="AQ123" i="4" s="1"/>
  <c r="AL123" i="4"/>
  <c r="AI123" i="4"/>
  <c r="AH123" i="4"/>
  <c r="AE123" i="4"/>
  <c r="AD123" i="4"/>
  <c r="AA123" i="4"/>
  <c r="Z123" i="4"/>
  <c r="V123" i="4"/>
  <c r="W123" i="4" s="1"/>
  <c r="S123" i="4"/>
  <c r="R123" i="4"/>
  <c r="O123" i="4"/>
  <c r="N123" i="4"/>
  <c r="K123" i="4"/>
  <c r="AM123" i="4" s="1"/>
  <c r="BF122" i="4"/>
  <c r="BC122" i="4"/>
  <c r="BB122" i="4"/>
  <c r="AY122" i="4"/>
  <c r="AX122" i="4"/>
  <c r="AT122" i="4"/>
  <c r="AU122" i="4" s="1"/>
  <c r="AQ122" i="4"/>
  <c r="AP122" i="4"/>
  <c r="AM122" i="4"/>
  <c r="AL122" i="4"/>
  <c r="AH122" i="4"/>
  <c r="AD122" i="4"/>
  <c r="Z122" i="4"/>
  <c r="V122" i="4"/>
  <c r="R122" i="4"/>
  <c r="S122" i="4" s="1"/>
  <c r="N122" i="4"/>
  <c r="O122" i="4" s="1"/>
  <c r="K122" i="4"/>
  <c r="AI122" i="4" s="1"/>
  <c r="BF121" i="4"/>
  <c r="BC121" i="4"/>
  <c r="BB121" i="4"/>
  <c r="AX121" i="4"/>
  <c r="AU121" i="4"/>
  <c r="AT121" i="4"/>
  <c r="AP121" i="4"/>
  <c r="AM121" i="4"/>
  <c r="AL121" i="4"/>
  <c r="AH121" i="4"/>
  <c r="AI121" i="4" s="1"/>
  <c r="AD121" i="4"/>
  <c r="AA121" i="4"/>
  <c r="Z121" i="4"/>
  <c r="V121" i="4"/>
  <c r="R121" i="4"/>
  <c r="O121" i="4"/>
  <c r="N121" i="4"/>
  <c r="K121" i="4"/>
  <c r="BG120" i="4"/>
  <c r="BF120" i="4"/>
  <c r="BB120" i="4"/>
  <c r="AY120" i="4"/>
  <c r="AX120" i="4"/>
  <c r="AT120" i="4"/>
  <c r="AQ120" i="4"/>
  <c r="AP120" i="4"/>
  <c r="AM120" i="4"/>
  <c r="AL120" i="4"/>
  <c r="AI120" i="4"/>
  <c r="AH120" i="4"/>
  <c r="AD120" i="4"/>
  <c r="AE120" i="4" s="1"/>
  <c r="Z120" i="4"/>
  <c r="V120" i="4"/>
  <c r="W120" i="4" s="1"/>
  <c r="R120" i="4"/>
  <c r="N120" i="4"/>
  <c r="K120" i="4"/>
  <c r="BF119" i="4"/>
  <c r="BB119" i="4"/>
  <c r="AX119" i="4"/>
  <c r="AT119" i="4"/>
  <c r="AP119" i="4"/>
  <c r="AL119" i="4"/>
  <c r="AH119" i="4"/>
  <c r="AD119" i="4"/>
  <c r="Z119" i="4"/>
  <c r="V119" i="4"/>
  <c r="R119" i="4"/>
  <c r="N119" i="4"/>
  <c r="K119" i="4"/>
  <c r="BF118" i="4"/>
  <c r="BG118" i="4" s="1"/>
  <c r="BB118" i="4"/>
  <c r="BC118" i="4" s="1"/>
  <c r="AX118" i="4"/>
  <c r="AT118" i="4"/>
  <c r="AU118" i="4" s="1"/>
  <c r="AQ118" i="4"/>
  <c r="AP118" i="4"/>
  <c r="AM118" i="4"/>
  <c r="AL118" i="4"/>
  <c r="AI118" i="4"/>
  <c r="AH118" i="4"/>
  <c r="AD118" i="4"/>
  <c r="AE118" i="4" s="1"/>
  <c r="AA118" i="4"/>
  <c r="Z118" i="4"/>
  <c r="V118" i="4"/>
  <c r="S118" i="4"/>
  <c r="R118" i="4"/>
  <c r="N118" i="4"/>
  <c r="O118" i="4" s="1"/>
  <c r="K118" i="4"/>
  <c r="BF117" i="4"/>
  <c r="BB117" i="4"/>
  <c r="AX117" i="4"/>
  <c r="AT117" i="4"/>
  <c r="AP117" i="4"/>
  <c r="AL117" i="4"/>
  <c r="AH117" i="4"/>
  <c r="AD117" i="4"/>
  <c r="Z117" i="4"/>
  <c r="V117" i="4"/>
  <c r="R117" i="4"/>
  <c r="N117" i="4"/>
  <c r="K117" i="4"/>
  <c r="BF116" i="4"/>
  <c r="BB116" i="4"/>
  <c r="AX116" i="4"/>
  <c r="AT116" i="4"/>
  <c r="AP116" i="4"/>
  <c r="AL116" i="4"/>
  <c r="AH116" i="4"/>
  <c r="AD116" i="4"/>
  <c r="AA116" i="4"/>
  <c r="Z116" i="4"/>
  <c r="V116" i="4"/>
  <c r="W116" i="4" s="1"/>
  <c r="R116" i="4"/>
  <c r="N116" i="4"/>
  <c r="K116" i="4"/>
  <c r="BF115" i="4"/>
  <c r="BB115" i="4"/>
  <c r="AX115" i="4"/>
  <c r="AU115" i="4"/>
  <c r="AT115" i="4"/>
  <c r="AP115" i="4"/>
  <c r="AM115" i="4"/>
  <c r="AL115" i="4"/>
  <c r="AH115" i="4"/>
  <c r="AD115" i="4"/>
  <c r="Z115" i="4"/>
  <c r="V115" i="4"/>
  <c r="R115" i="4"/>
  <c r="O115" i="4"/>
  <c r="N115" i="4"/>
  <c r="K115" i="4"/>
  <c r="AE115" i="4" s="1"/>
  <c r="BG114" i="4"/>
  <c r="BF114" i="4"/>
  <c r="BB114" i="4"/>
  <c r="AX114" i="4"/>
  <c r="AT114" i="4"/>
  <c r="AP114" i="4"/>
  <c r="AL114" i="4"/>
  <c r="AH114" i="4"/>
  <c r="AD114" i="4"/>
  <c r="AA114" i="4"/>
  <c r="Z114" i="4"/>
  <c r="V114" i="4"/>
  <c r="S114" i="4"/>
  <c r="R114" i="4"/>
  <c r="N114" i="4"/>
  <c r="K114" i="4"/>
  <c r="BF113" i="4"/>
  <c r="BB113" i="4"/>
  <c r="AX113" i="4"/>
  <c r="AT113" i="4"/>
  <c r="AP113" i="4"/>
  <c r="AL113" i="4"/>
  <c r="AH113" i="4"/>
  <c r="AD113" i="4"/>
  <c r="Z113" i="4"/>
  <c r="V113" i="4"/>
  <c r="R113" i="4"/>
  <c r="N113" i="4"/>
  <c r="K113" i="4"/>
  <c r="BF112" i="4"/>
  <c r="BG112" i="4" s="1"/>
  <c r="BC112" i="4"/>
  <c r="BB112" i="4"/>
  <c r="AX112" i="4"/>
  <c r="AY112" i="4" s="1"/>
  <c r="AT112" i="4"/>
  <c r="AU112" i="4" s="1"/>
  <c r="AP112" i="4"/>
  <c r="AQ112" i="4" s="1"/>
  <c r="AL112" i="4"/>
  <c r="AH112" i="4"/>
  <c r="AI112" i="4" s="1"/>
  <c r="AE112" i="4"/>
  <c r="AD112" i="4"/>
  <c r="Z112" i="4"/>
  <c r="AA112" i="4" s="1"/>
  <c r="V112" i="4"/>
  <c r="W112" i="4" s="1"/>
  <c r="BH112" i="4" s="1"/>
  <c r="BI112" i="4" s="1"/>
  <c r="S112" i="4"/>
  <c r="R112" i="4"/>
  <c r="O112" i="4"/>
  <c r="N112" i="4"/>
  <c r="K112" i="4"/>
  <c r="AM112" i="4" s="1"/>
  <c r="BG111" i="4"/>
  <c r="BF111" i="4"/>
  <c r="BB111" i="4"/>
  <c r="BC111" i="4" s="1"/>
  <c r="AY111" i="4"/>
  <c r="AX111" i="4"/>
  <c r="AT111" i="4"/>
  <c r="AU111" i="4" s="1"/>
  <c r="AP111" i="4"/>
  <c r="AL111" i="4"/>
  <c r="AH111" i="4"/>
  <c r="AI111" i="4" s="1"/>
  <c r="AD111" i="4"/>
  <c r="AE111" i="4" s="1"/>
  <c r="Z111" i="4"/>
  <c r="AA111" i="4" s="1"/>
  <c r="W111" i="4"/>
  <c r="V111" i="4"/>
  <c r="R111" i="4"/>
  <c r="S111" i="4" s="1"/>
  <c r="N111" i="4"/>
  <c r="K111" i="4"/>
  <c r="AQ111" i="4" s="1"/>
  <c r="BF110" i="4"/>
  <c r="BC110" i="4"/>
  <c r="BB110" i="4"/>
  <c r="AX110" i="4"/>
  <c r="AT110" i="4"/>
  <c r="AP110" i="4"/>
  <c r="AL110" i="4"/>
  <c r="AH110" i="4"/>
  <c r="AD110" i="4"/>
  <c r="AA110" i="4"/>
  <c r="Z110" i="4"/>
  <c r="W110" i="4"/>
  <c r="V110" i="4"/>
  <c r="R110" i="4"/>
  <c r="N110" i="4"/>
  <c r="K110" i="4"/>
  <c r="BG109" i="4"/>
  <c r="BF109" i="4"/>
  <c r="BC109" i="4"/>
  <c r="BB109" i="4"/>
  <c r="AX109" i="4"/>
  <c r="AY109" i="4" s="1"/>
  <c r="AU109" i="4"/>
  <c r="AT109" i="4"/>
  <c r="AP109" i="4"/>
  <c r="AQ109" i="4" s="1"/>
  <c r="AL109" i="4"/>
  <c r="AI109" i="4"/>
  <c r="AH109" i="4"/>
  <c r="AE109" i="4"/>
  <c r="AD109" i="4"/>
  <c r="AA109" i="4"/>
  <c r="Z109" i="4"/>
  <c r="V109" i="4"/>
  <c r="W109" i="4" s="1"/>
  <c r="S109" i="4"/>
  <c r="R109" i="4"/>
  <c r="N109" i="4"/>
  <c r="O109" i="4" s="1"/>
  <c r="K109" i="4"/>
  <c r="AM109" i="4" s="1"/>
  <c r="BF108" i="4"/>
  <c r="BC108" i="4"/>
  <c r="BB108" i="4"/>
  <c r="AY108" i="4"/>
  <c r="AX108" i="4"/>
  <c r="AT108" i="4"/>
  <c r="AU108" i="4" s="1"/>
  <c r="AQ108" i="4"/>
  <c r="AP108" i="4"/>
  <c r="AL108" i="4"/>
  <c r="AM108" i="4" s="1"/>
  <c r="AH108" i="4"/>
  <c r="AD108" i="4"/>
  <c r="Z108" i="4"/>
  <c r="V108" i="4"/>
  <c r="R108" i="4"/>
  <c r="S108" i="4" s="1"/>
  <c r="O108" i="4"/>
  <c r="N108" i="4"/>
  <c r="K108" i="4"/>
  <c r="BF107" i="4"/>
  <c r="BC107" i="4"/>
  <c r="BB107" i="4"/>
  <c r="AX107" i="4"/>
  <c r="AU107" i="4"/>
  <c r="AT107" i="4"/>
  <c r="AP107" i="4"/>
  <c r="AM107" i="4"/>
  <c r="AL107" i="4"/>
  <c r="AH107" i="4"/>
  <c r="AD107" i="4"/>
  <c r="Z107" i="4"/>
  <c r="V107" i="4"/>
  <c r="S107" i="4"/>
  <c r="R107" i="4"/>
  <c r="O107" i="4"/>
  <c r="N107" i="4"/>
  <c r="K107" i="4"/>
  <c r="BG106" i="4"/>
  <c r="BF106" i="4"/>
  <c r="BB106" i="4"/>
  <c r="AY106" i="4"/>
  <c r="AX106" i="4"/>
  <c r="AT106" i="4"/>
  <c r="AQ106" i="4"/>
  <c r="AP106" i="4"/>
  <c r="AL106" i="4"/>
  <c r="AM106" i="4" s="1"/>
  <c r="AI106" i="4"/>
  <c r="AH106" i="4"/>
  <c r="AE106" i="4"/>
  <c r="AD106" i="4"/>
  <c r="Z106" i="4"/>
  <c r="W106" i="4"/>
  <c r="V106" i="4"/>
  <c r="R106" i="4"/>
  <c r="N106" i="4"/>
  <c r="K106" i="4"/>
  <c r="BG105" i="4"/>
  <c r="BF105" i="4"/>
  <c r="BC105" i="4"/>
  <c r="BB105" i="4"/>
  <c r="AX105" i="4"/>
  <c r="AT105" i="4"/>
  <c r="AP105" i="4"/>
  <c r="AL105" i="4"/>
  <c r="AH105" i="4"/>
  <c r="AE105" i="4"/>
  <c r="AD105" i="4"/>
  <c r="AA105" i="4"/>
  <c r="Z105" i="4"/>
  <c r="V105" i="4"/>
  <c r="R105" i="4"/>
  <c r="N105" i="4"/>
  <c r="K105" i="4"/>
  <c r="BF104" i="4"/>
  <c r="BG104" i="4" s="1"/>
  <c r="BB104" i="4"/>
  <c r="BC104" i="4" s="1"/>
  <c r="AX104" i="4"/>
  <c r="AT104" i="4"/>
  <c r="AU104" i="4" s="1"/>
  <c r="AQ104" i="4"/>
  <c r="AP104" i="4"/>
  <c r="AM104" i="4"/>
  <c r="AL104" i="4"/>
  <c r="AI104" i="4"/>
  <c r="AH104" i="4"/>
  <c r="AD104" i="4"/>
  <c r="AE104" i="4" s="1"/>
  <c r="AA104" i="4"/>
  <c r="Z104" i="4"/>
  <c r="V104" i="4"/>
  <c r="S104" i="4"/>
  <c r="R104" i="4"/>
  <c r="N104" i="4"/>
  <c r="O104" i="4" s="1"/>
  <c r="K104" i="4"/>
  <c r="BG103" i="4"/>
  <c r="BF103" i="4"/>
  <c r="BB103" i="4"/>
  <c r="AY103" i="4"/>
  <c r="AX103" i="4"/>
  <c r="AU103" i="4"/>
  <c r="AT103" i="4"/>
  <c r="AP103" i="4"/>
  <c r="AM103" i="4"/>
  <c r="AL103" i="4"/>
  <c r="AH103" i="4"/>
  <c r="AE103" i="4"/>
  <c r="AD103" i="4"/>
  <c r="Z103" i="4"/>
  <c r="AA103" i="4" s="1"/>
  <c r="V103" i="4"/>
  <c r="R103" i="4"/>
  <c r="S103" i="4" s="1"/>
  <c r="N103" i="4"/>
  <c r="K103" i="4"/>
  <c r="BC103" i="4" s="1"/>
  <c r="BF102" i="4"/>
  <c r="BB102" i="4"/>
  <c r="AX102" i="4"/>
  <c r="AT102" i="4"/>
  <c r="AP102" i="4"/>
  <c r="AL102" i="4"/>
  <c r="AH102" i="4"/>
  <c r="AD102" i="4"/>
  <c r="Z102" i="4"/>
  <c r="V102" i="4"/>
  <c r="R102" i="4"/>
  <c r="N102" i="4"/>
  <c r="K102" i="4"/>
  <c r="BG101" i="4"/>
  <c r="BF101" i="4"/>
  <c r="BB101" i="4"/>
  <c r="AX101" i="4"/>
  <c r="AU101" i="4"/>
  <c r="AT101" i="4"/>
  <c r="AP101" i="4"/>
  <c r="AM101" i="4"/>
  <c r="AL101" i="4"/>
  <c r="AH101" i="4"/>
  <c r="AE101" i="4"/>
  <c r="AD101" i="4"/>
  <c r="Z101" i="4"/>
  <c r="W101" i="4"/>
  <c r="V101" i="4"/>
  <c r="R101" i="4"/>
  <c r="O101" i="4"/>
  <c r="N101" i="4"/>
  <c r="K101" i="4"/>
  <c r="AY101" i="4" s="1"/>
  <c r="BF100" i="4"/>
  <c r="BB100" i="4"/>
  <c r="AX100" i="4"/>
  <c r="AT100" i="4"/>
  <c r="AP100" i="4"/>
  <c r="AM100" i="4"/>
  <c r="AL100" i="4"/>
  <c r="AH100" i="4"/>
  <c r="AD100" i="4"/>
  <c r="Z100" i="4"/>
  <c r="V100" i="4"/>
  <c r="R100" i="4"/>
  <c r="N100" i="4"/>
  <c r="K100" i="4"/>
  <c r="AI100" i="4" s="1"/>
  <c r="BF99" i="4"/>
  <c r="BG99" i="4" s="1"/>
  <c r="BB99" i="4"/>
  <c r="AX99" i="4"/>
  <c r="AT99" i="4"/>
  <c r="AP99" i="4"/>
  <c r="AL99" i="4"/>
  <c r="AH99" i="4"/>
  <c r="AD99" i="4"/>
  <c r="AE99" i="4" s="1"/>
  <c r="Z99" i="4"/>
  <c r="W99" i="4"/>
  <c r="V99" i="4"/>
  <c r="R99" i="4"/>
  <c r="N99" i="4"/>
  <c r="K99" i="4"/>
  <c r="BF98" i="4"/>
  <c r="BG98" i="4" s="1"/>
  <c r="BC98" i="4"/>
  <c r="BB98" i="4"/>
  <c r="AX98" i="4"/>
  <c r="AY98" i="4" s="1"/>
  <c r="AT98" i="4"/>
  <c r="AU98" i="4" s="1"/>
  <c r="AP98" i="4"/>
  <c r="AQ98" i="4" s="1"/>
  <c r="AL98" i="4"/>
  <c r="AH98" i="4"/>
  <c r="AI98" i="4" s="1"/>
  <c r="AE98" i="4"/>
  <c r="AD98" i="4"/>
  <c r="AA98" i="4"/>
  <c r="Z98" i="4"/>
  <c r="V98" i="4"/>
  <c r="W98" i="4" s="1"/>
  <c r="S98" i="4"/>
  <c r="R98" i="4"/>
  <c r="O98" i="4"/>
  <c r="N98" i="4"/>
  <c r="K98" i="4"/>
  <c r="AM98" i="4" s="1"/>
  <c r="BG97" i="4"/>
  <c r="BF97" i="4"/>
  <c r="BB97" i="4"/>
  <c r="BC97" i="4" s="1"/>
  <c r="AY97" i="4"/>
  <c r="AX97" i="4"/>
  <c r="AU97" i="4"/>
  <c r="AT97" i="4"/>
  <c r="AP97" i="4"/>
  <c r="AL97" i="4"/>
  <c r="AH97" i="4"/>
  <c r="AI97" i="4" s="1"/>
  <c r="AD97" i="4"/>
  <c r="AE97" i="4" s="1"/>
  <c r="Z97" i="4"/>
  <c r="AA97" i="4" s="1"/>
  <c r="W97" i="4"/>
  <c r="V97" i="4"/>
  <c r="R97" i="4"/>
  <c r="S97" i="4" s="1"/>
  <c r="N97" i="4"/>
  <c r="K97" i="4"/>
  <c r="AQ97" i="4" s="1"/>
  <c r="BF96" i="4"/>
  <c r="BB96" i="4"/>
  <c r="AX96" i="4"/>
  <c r="AU96" i="4"/>
  <c r="AT96" i="4"/>
  <c r="AP96" i="4"/>
  <c r="AL96" i="4"/>
  <c r="AH96" i="4"/>
  <c r="AD96" i="4"/>
  <c r="Z96" i="4"/>
  <c r="V96" i="4"/>
  <c r="R96" i="4"/>
  <c r="N96" i="4"/>
  <c r="K96" i="4"/>
  <c r="BG95" i="4"/>
  <c r="BF95" i="4"/>
  <c r="BC95" i="4"/>
  <c r="BB95" i="4"/>
  <c r="AY95" i="4"/>
  <c r="AX95" i="4"/>
  <c r="AU95" i="4"/>
  <c r="AT95" i="4"/>
  <c r="AP95" i="4"/>
  <c r="AQ95" i="4" s="1"/>
  <c r="AL95" i="4"/>
  <c r="AI95" i="4"/>
  <c r="AH95" i="4"/>
  <c r="AE95" i="4"/>
  <c r="AD95" i="4"/>
  <c r="AA95" i="4"/>
  <c r="Z95" i="4"/>
  <c r="V95" i="4"/>
  <c r="W95" i="4" s="1"/>
  <c r="S95" i="4"/>
  <c r="R95" i="4"/>
  <c r="O95" i="4"/>
  <c r="N95" i="4"/>
  <c r="K95" i="4"/>
  <c r="AM95" i="4" s="1"/>
  <c r="BF94" i="4"/>
  <c r="BC94" i="4"/>
  <c r="BB94" i="4"/>
  <c r="AY94" i="4"/>
  <c r="AX94" i="4"/>
  <c r="AT94" i="4"/>
  <c r="AU94" i="4" s="1"/>
  <c r="AQ94" i="4"/>
  <c r="AP94" i="4"/>
  <c r="AM94" i="4"/>
  <c r="AL94" i="4"/>
  <c r="AH94" i="4"/>
  <c r="AD94" i="4"/>
  <c r="Z94" i="4"/>
  <c r="V94" i="4"/>
  <c r="R94" i="4"/>
  <c r="S94" i="4" s="1"/>
  <c r="N94" i="4"/>
  <c r="O94" i="4" s="1"/>
  <c r="K94" i="4"/>
  <c r="AI94" i="4" s="1"/>
  <c r="BF93" i="4"/>
  <c r="BC93" i="4"/>
  <c r="BB93" i="4"/>
  <c r="AX93" i="4"/>
  <c r="AU93" i="4"/>
  <c r="AT93" i="4"/>
  <c r="AP93" i="4"/>
  <c r="AM93" i="4"/>
  <c r="AL93" i="4"/>
  <c r="AH93" i="4"/>
  <c r="AI93" i="4" s="1"/>
  <c r="AD93" i="4"/>
  <c r="AA93" i="4"/>
  <c r="Z93" i="4"/>
  <c r="V93" i="4"/>
  <c r="R93" i="4"/>
  <c r="O93" i="4"/>
  <c r="N93" i="4"/>
  <c r="K93" i="4"/>
  <c r="BG92" i="4"/>
  <c r="BF92" i="4"/>
  <c r="BB92" i="4"/>
  <c r="AY92" i="4"/>
  <c r="AX92" i="4"/>
  <c r="AU92" i="4"/>
  <c r="AT92" i="4"/>
  <c r="AQ92" i="4"/>
  <c r="AP92" i="4"/>
  <c r="AL92" i="4"/>
  <c r="AM92" i="4" s="1"/>
  <c r="AI92" i="4"/>
  <c r="AH92" i="4"/>
  <c r="AE92" i="4"/>
  <c r="AD92" i="4"/>
  <c r="Z92" i="4"/>
  <c r="W92" i="4"/>
  <c r="V92" i="4"/>
  <c r="R92" i="4"/>
  <c r="N92" i="4"/>
  <c r="K92" i="4"/>
  <c r="BF91" i="4"/>
  <c r="BB91" i="4"/>
  <c r="AX91" i="4"/>
  <c r="AU91" i="4"/>
  <c r="AT91" i="4"/>
  <c r="AP91" i="4"/>
  <c r="AM91" i="4"/>
  <c r="AL91" i="4"/>
  <c r="AH91" i="4"/>
  <c r="AD91" i="4"/>
  <c r="Z91" i="4"/>
  <c r="V91" i="4"/>
  <c r="R91" i="4"/>
  <c r="N91" i="4"/>
  <c r="K91" i="4"/>
  <c r="AI91" i="4" s="1"/>
  <c r="BG90" i="4"/>
  <c r="BF90" i="4"/>
  <c r="BB90" i="4"/>
  <c r="BC90" i="4" s="1"/>
  <c r="AX90" i="4"/>
  <c r="AT90" i="4"/>
  <c r="AU90" i="4" s="1"/>
  <c r="AQ90" i="4"/>
  <c r="AP90" i="4"/>
  <c r="AM90" i="4"/>
  <c r="AL90" i="4"/>
  <c r="AI90" i="4"/>
  <c r="AH90" i="4"/>
  <c r="AE90" i="4"/>
  <c r="AD90" i="4"/>
  <c r="AA90" i="4"/>
  <c r="Z90" i="4"/>
  <c r="V90" i="4"/>
  <c r="S90" i="4"/>
  <c r="R90" i="4"/>
  <c r="O90" i="4"/>
  <c r="N90" i="4"/>
  <c r="K90" i="4"/>
  <c r="BF89" i="4"/>
  <c r="BB89" i="4"/>
  <c r="AY89" i="4"/>
  <c r="AX89" i="4"/>
  <c r="AT89" i="4"/>
  <c r="AU89" i="4" s="1"/>
  <c r="AP89" i="4"/>
  <c r="AL89" i="4"/>
  <c r="AH89" i="4"/>
  <c r="AD89" i="4"/>
  <c r="Z89" i="4"/>
  <c r="V89" i="4"/>
  <c r="S89" i="4"/>
  <c r="R89" i="4"/>
  <c r="N89" i="4"/>
  <c r="K89" i="4"/>
  <c r="BF88" i="4"/>
  <c r="BB88" i="4"/>
  <c r="AX88" i="4"/>
  <c r="AT88" i="4"/>
  <c r="AP88" i="4"/>
  <c r="AL88" i="4"/>
  <c r="AH88" i="4"/>
  <c r="AD88" i="4"/>
  <c r="AA88" i="4"/>
  <c r="Z88" i="4"/>
  <c r="W88" i="4"/>
  <c r="V88" i="4"/>
  <c r="R88" i="4"/>
  <c r="N88" i="4"/>
  <c r="K88" i="4"/>
  <c r="AY88" i="4" s="1"/>
  <c r="BF87" i="4"/>
  <c r="BB87" i="4"/>
  <c r="AX87" i="4"/>
  <c r="AU87" i="4"/>
  <c r="AT87" i="4"/>
  <c r="AQ87" i="4"/>
  <c r="AP87" i="4"/>
  <c r="AL87" i="4"/>
  <c r="AH87" i="4"/>
  <c r="AD87" i="4"/>
  <c r="Z87" i="4"/>
  <c r="V87" i="4"/>
  <c r="R87" i="4"/>
  <c r="N87" i="4"/>
  <c r="K87" i="4"/>
  <c r="BF86" i="4"/>
  <c r="BB86" i="4"/>
  <c r="AX86" i="4"/>
  <c r="AT86" i="4"/>
  <c r="AP86" i="4"/>
  <c r="AL86" i="4"/>
  <c r="AH86" i="4"/>
  <c r="AD86" i="4"/>
  <c r="AA86" i="4"/>
  <c r="Z86" i="4"/>
  <c r="V86" i="4"/>
  <c r="R86" i="4"/>
  <c r="N86" i="4"/>
  <c r="K86" i="4"/>
  <c r="BF85" i="4"/>
  <c r="BB85" i="4"/>
  <c r="AX85" i="4"/>
  <c r="AT85" i="4"/>
  <c r="AP85" i="4"/>
  <c r="AM85" i="4"/>
  <c r="AL85" i="4"/>
  <c r="AH85" i="4"/>
  <c r="AD85" i="4"/>
  <c r="Z85" i="4"/>
  <c r="V85" i="4"/>
  <c r="R85" i="4"/>
  <c r="O85" i="4"/>
  <c r="N85" i="4"/>
  <c r="K85" i="4"/>
  <c r="AI85" i="4" s="1"/>
  <c r="BF84" i="4"/>
  <c r="BG84" i="4" s="1"/>
  <c r="BC84" i="4"/>
  <c r="BB84" i="4"/>
  <c r="AY84" i="4"/>
  <c r="AX84" i="4"/>
  <c r="AT84" i="4"/>
  <c r="AU84" i="4" s="1"/>
  <c r="AP84" i="4"/>
  <c r="AQ84" i="4" s="1"/>
  <c r="AL84" i="4"/>
  <c r="AH84" i="4"/>
  <c r="AI84" i="4" s="1"/>
  <c r="AE84" i="4"/>
  <c r="AD84" i="4"/>
  <c r="Z84" i="4"/>
  <c r="AA84" i="4" s="1"/>
  <c r="BH84" i="4" s="1"/>
  <c r="BI84" i="4" s="1"/>
  <c r="V84" i="4"/>
  <c r="W84" i="4" s="1"/>
  <c r="S84" i="4"/>
  <c r="R84" i="4"/>
  <c r="O84" i="4"/>
  <c r="N84" i="4"/>
  <c r="K84" i="4"/>
  <c r="AM84" i="4" s="1"/>
  <c r="BF83" i="4"/>
  <c r="BG83" i="4" s="1"/>
  <c r="BB83" i="4"/>
  <c r="BC83" i="4" s="1"/>
  <c r="AY83" i="4"/>
  <c r="AX83" i="4"/>
  <c r="AT83" i="4"/>
  <c r="AU83" i="4" s="1"/>
  <c r="AP83" i="4"/>
  <c r="AL83" i="4"/>
  <c r="AH83" i="4"/>
  <c r="AI83" i="4" s="1"/>
  <c r="AE83" i="4"/>
  <c r="AD83" i="4"/>
  <c r="Z83" i="4"/>
  <c r="AA83" i="4" s="1"/>
  <c r="W83" i="4"/>
  <c r="V83" i="4"/>
  <c r="R83" i="4"/>
  <c r="S83" i="4" s="1"/>
  <c r="N83" i="4"/>
  <c r="K83" i="4"/>
  <c r="AQ83" i="4" s="1"/>
  <c r="BF82" i="4"/>
  <c r="BB82" i="4"/>
  <c r="AX82" i="4"/>
  <c r="AU82" i="4"/>
  <c r="AT82" i="4"/>
  <c r="AP82" i="4"/>
  <c r="AL82" i="4"/>
  <c r="AH82" i="4"/>
  <c r="AE82" i="4"/>
  <c r="AD82" i="4"/>
  <c r="Z82" i="4"/>
  <c r="AA82" i="4" s="1"/>
  <c r="W82" i="4"/>
  <c r="V82" i="4"/>
  <c r="S82" i="4"/>
  <c r="R82" i="4"/>
  <c r="N82" i="4"/>
  <c r="K82" i="4"/>
  <c r="AQ82" i="4" s="1"/>
  <c r="BG81" i="4"/>
  <c r="BF81" i="4"/>
  <c r="BC81" i="4"/>
  <c r="BB81" i="4"/>
  <c r="AY81" i="4"/>
  <c r="AX81" i="4"/>
  <c r="AU81" i="4"/>
  <c r="AT81" i="4"/>
  <c r="AQ81" i="4"/>
  <c r="AP81" i="4"/>
  <c r="AL81" i="4"/>
  <c r="AI81" i="4"/>
  <c r="AH81" i="4"/>
  <c r="AE81" i="4"/>
  <c r="AD81" i="4"/>
  <c r="AA81" i="4"/>
  <c r="Z81" i="4"/>
  <c r="V81" i="4"/>
  <c r="W81" i="4" s="1"/>
  <c r="S81" i="4"/>
  <c r="R81" i="4"/>
  <c r="N81" i="4"/>
  <c r="O81" i="4" s="1"/>
  <c r="K81" i="4"/>
  <c r="BF80" i="4"/>
  <c r="BC80" i="4"/>
  <c r="BB80" i="4"/>
  <c r="AY80" i="4"/>
  <c r="AX80" i="4"/>
  <c r="AT80" i="4"/>
  <c r="AU80" i="4" s="1"/>
  <c r="AQ80" i="4"/>
  <c r="AP80" i="4"/>
  <c r="AL80" i="4"/>
  <c r="AM80" i="4" s="1"/>
  <c r="AH80" i="4"/>
  <c r="AD80" i="4"/>
  <c r="Z80" i="4"/>
  <c r="V80" i="4"/>
  <c r="R80" i="4"/>
  <c r="S80" i="4" s="1"/>
  <c r="N80" i="4"/>
  <c r="O80" i="4" s="1"/>
  <c r="K80" i="4"/>
  <c r="AI80" i="4" s="1"/>
  <c r="BF79" i="4"/>
  <c r="BC79" i="4"/>
  <c r="BB79" i="4"/>
  <c r="AX79" i="4"/>
  <c r="AT79" i="4"/>
  <c r="AP79" i="4"/>
  <c r="AL79" i="4"/>
  <c r="AI79" i="4"/>
  <c r="AH79" i="4"/>
  <c r="AD79" i="4"/>
  <c r="AA79" i="4"/>
  <c r="Z79" i="4"/>
  <c r="V79" i="4"/>
  <c r="S79" i="4"/>
  <c r="R79" i="4"/>
  <c r="N79" i="4"/>
  <c r="K79" i="4"/>
  <c r="BG78" i="4"/>
  <c r="BF78" i="4"/>
  <c r="BB78" i="4"/>
  <c r="AY78" i="4"/>
  <c r="AX78" i="4"/>
  <c r="AU78" i="4"/>
  <c r="AT78" i="4"/>
  <c r="AQ78" i="4"/>
  <c r="AP78" i="4"/>
  <c r="AM78" i="4"/>
  <c r="AL78" i="4"/>
  <c r="AI78" i="4"/>
  <c r="AH78" i="4"/>
  <c r="AE78" i="4"/>
  <c r="AD78" i="4"/>
  <c r="Z78" i="4"/>
  <c r="W78" i="4"/>
  <c r="V78" i="4"/>
  <c r="R78" i="4"/>
  <c r="N78" i="4"/>
  <c r="K78" i="4"/>
  <c r="BG77" i="4"/>
  <c r="BF77" i="4"/>
  <c r="BC77" i="4"/>
  <c r="BB77" i="4"/>
  <c r="AX77" i="4"/>
  <c r="AU77" i="4"/>
  <c r="AT77" i="4"/>
  <c r="AP77" i="4"/>
  <c r="AM77" i="4"/>
  <c r="AL77" i="4"/>
  <c r="AH77" i="4"/>
  <c r="AI77" i="4" s="1"/>
  <c r="AE77" i="4"/>
  <c r="AD77" i="4"/>
  <c r="AA77" i="4"/>
  <c r="Z77" i="4"/>
  <c r="V77" i="4"/>
  <c r="S77" i="4"/>
  <c r="R77" i="4"/>
  <c r="N77" i="4"/>
  <c r="K77" i="4"/>
  <c r="BF76" i="4"/>
  <c r="BG76" i="4" s="1"/>
  <c r="BB76" i="4"/>
  <c r="BC76" i="4" s="1"/>
  <c r="AX76" i="4"/>
  <c r="AT76" i="4"/>
  <c r="AU76" i="4" s="1"/>
  <c r="AQ76" i="4"/>
  <c r="AP76" i="4"/>
  <c r="AM76" i="4"/>
  <c r="AL76" i="4"/>
  <c r="AI76" i="4"/>
  <c r="AH76" i="4"/>
  <c r="AE76" i="4"/>
  <c r="AD76" i="4"/>
  <c r="AA76" i="4"/>
  <c r="Z76" i="4"/>
  <c r="V76" i="4"/>
  <c r="S76" i="4"/>
  <c r="R76" i="4"/>
  <c r="N76" i="4"/>
  <c r="O76" i="4" s="1"/>
  <c r="K76" i="4"/>
  <c r="BF75" i="4"/>
  <c r="BB75" i="4"/>
  <c r="BC75" i="4" s="1"/>
  <c r="AX75" i="4"/>
  <c r="AU75" i="4"/>
  <c r="AT75" i="4"/>
  <c r="AP75" i="4"/>
  <c r="AM75" i="4"/>
  <c r="AL75" i="4"/>
  <c r="AH75" i="4"/>
  <c r="AE75" i="4"/>
  <c r="AD75" i="4"/>
  <c r="Z75" i="4"/>
  <c r="W75" i="4"/>
  <c r="V75" i="4"/>
  <c r="S75" i="4"/>
  <c r="R75" i="4"/>
  <c r="N75" i="4"/>
  <c r="K75" i="4"/>
  <c r="BG75" i="4" s="1"/>
  <c r="BF74" i="4"/>
  <c r="BB74" i="4"/>
  <c r="AY74" i="4"/>
  <c r="AX74" i="4"/>
  <c r="AT74" i="4"/>
  <c r="AQ74" i="4"/>
  <c r="AP74" i="4"/>
  <c r="AL74" i="4"/>
  <c r="AH74" i="4"/>
  <c r="AD74" i="4"/>
  <c r="Z74" i="4"/>
  <c r="V74" i="4"/>
  <c r="R74" i="4"/>
  <c r="N74" i="4"/>
  <c r="K74" i="4"/>
  <c r="AI74" i="4" s="1"/>
  <c r="BG73" i="4"/>
  <c r="BF73" i="4"/>
  <c r="BB73" i="4"/>
  <c r="AX73" i="4"/>
  <c r="AT73" i="4"/>
  <c r="AP73" i="4"/>
  <c r="AL73" i="4"/>
  <c r="AH73" i="4"/>
  <c r="AE73" i="4"/>
  <c r="AD73" i="4"/>
  <c r="Z73" i="4"/>
  <c r="V73" i="4"/>
  <c r="R73" i="4"/>
  <c r="N73" i="4"/>
  <c r="K73" i="4"/>
  <c r="AM73" i="4" s="1"/>
  <c r="BF72" i="4"/>
  <c r="BB72" i="4"/>
  <c r="AX72" i="4"/>
  <c r="AT72" i="4"/>
  <c r="AP72" i="4"/>
  <c r="AL72" i="4"/>
  <c r="AH72" i="4"/>
  <c r="AD72" i="4"/>
  <c r="Z72" i="4"/>
  <c r="V72" i="4"/>
  <c r="R72" i="4"/>
  <c r="N72" i="4"/>
  <c r="K72" i="4"/>
  <c r="AM72" i="4" s="1"/>
  <c r="BG71" i="4"/>
  <c r="BF71" i="4"/>
  <c r="BB71" i="4"/>
  <c r="AY71" i="4"/>
  <c r="AX71" i="4"/>
  <c r="AT71" i="4"/>
  <c r="AP71" i="4"/>
  <c r="AL71" i="4"/>
  <c r="AM71" i="4" s="1"/>
  <c r="AI71" i="4"/>
  <c r="AH71" i="4"/>
  <c r="AD71" i="4"/>
  <c r="AE71" i="4" s="1"/>
  <c r="Z71" i="4"/>
  <c r="W71" i="4"/>
  <c r="V71" i="4"/>
  <c r="R71" i="4"/>
  <c r="O71" i="4"/>
  <c r="N71" i="4"/>
  <c r="K71" i="4"/>
  <c r="BF70" i="4"/>
  <c r="BG70" i="4" s="1"/>
  <c r="BC70" i="4"/>
  <c r="BB70" i="4"/>
  <c r="AX70" i="4"/>
  <c r="AY70" i="4" s="1"/>
  <c r="AT70" i="4"/>
  <c r="AU70" i="4" s="1"/>
  <c r="AP70" i="4"/>
  <c r="AQ70" i="4" s="1"/>
  <c r="AL70" i="4"/>
  <c r="AH70" i="4"/>
  <c r="AI70" i="4" s="1"/>
  <c r="AE70" i="4"/>
  <c r="AD70" i="4"/>
  <c r="AA70" i="4"/>
  <c r="Z70" i="4"/>
  <c r="V70" i="4"/>
  <c r="W70" i="4" s="1"/>
  <c r="S70" i="4"/>
  <c r="R70" i="4"/>
  <c r="O70" i="4"/>
  <c r="N70" i="4"/>
  <c r="K70" i="4"/>
  <c r="AM70" i="4" s="1"/>
  <c r="BG69" i="4"/>
  <c r="BF69" i="4"/>
  <c r="BB69" i="4"/>
  <c r="BC69" i="4" s="1"/>
  <c r="AY69" i="4"/>
  <c r="AX69" i="4"/>
  <c r="AU69" i="4"/>
  <c r="AT69" i="4"/>
  <c r="AP69" i="4"/>
  <c r="AL69" i="4"/>
  <c r="AH69" i="4"/>
  <c r="AI69" i="4" s="1"/>
  <c r="AD69" i="4"/>
  <c r="AE69" i="4" s="1"/>
  <c r="Z69" i="4"/>
  <c r="AA69" i="4" s="1"/>
  <c r="W69" i="4"/>
  <c r="V69" i="4"/>
  <c r="R69" i="4"/>
  <c r="S69" i="4" s="1"/>
  <c r="N69" i="4"/>
  <c r="K69" i="4"/>
  <c r="AQ69" i="4" s="1"/>
  <c r="BF68" i="4"/>
  <c r="BB68" i="4"/>
  <c r="AX68" i="4"/>
  <c r="AT68" i="4"/>
  <c r="AP68" i="4"/>
  <c r="AL68" i="4"/>
  <c r="AH68" i="4"/>
  <c r="AD68" i="4"/>
  <c r="Z68" i="4"/>
  <c r="V68" i="4"/>
  <c r="R68" i="4"/>
  <c r="N68" i="4"/>
  <c r="K68" i="4"/>
  <c r="AQ68" i="4" s="1"/>
  <c r="BG67" i="4"/>
  <c r="BF67" i="4"/>
  <c r="BC67" i="4"/>
  <c r="BB67" i="4"/>
  <c r="AY67" i="4"/>
  <c r="AX67" i="4"/>
  <c r="AU67" i="4"/>
  <c r="AT67" i="4"/>
  <c r="AP67" i="4"/>
  <c r="AQ67" i="4" s="1"/>
  <c r="AL67" i="4"/>
  <c r="AI67" i="4"/>
  <c r="AH67" i="4"/>
  <c r="AE67" i="4"/>
  <c r="AD67" i="4"/>
  <c r="AA67" i="4"/>
  <c r="Z67" i="4"/>
  <c r="V67" i="4"/>
  <c r="W67" i="4" s="1"/>
  <c r="S67" i="4"/>
  <c r="R67" i="4"/>
  <c r="O67" i="4"/>
  <c r="N67" i="4"/>
  <c r="K67" i="4"/>
  <c r="BF66" i="4"/>
  <c r="BC66" i="4"/>
  <c r="BB66" i="4"/>
  <c r="AY66" i="4"/>
  <c r="AX66" i="4"/>
  <c r="AT66" i="4"/>
  <c r="AU66" i="4" s="1"/>
  <c r="AQ66" i="4"/>
  <c r="AP66" i="4"/>
  <c r="AM66" i="4"/>
  <c r="AL66" i="4"/>
  <c r="AH66" i="4"/>
  <c r="AD66" i="4"/>
  <c r="Z66" i="4"/>
  <c r="V66" i="4"/>
  <c r="R66" i="4"/>
  <c r="S66" i="4" s="1"/>
  <c r="O66" i="4"/>
  <c r="N66" i="4"/>
  <c r="K66" i="4"/>
  <c r="AI66" i="4" s="1"/>
  <c r="BF65" i="4"/>
  <c r="BB65" i="4"/>
  <c r="AX65" i="4"/>
  <c r="AT65" i="4"/>
  <c r="AP65" i="4"/>
  <c r="AL65" i="4"/>
  <c r="AH65" i="4"/>
  <c r="AD65" i="4"/>
  <c r="Z65" i="4"/>
  <c r="V65" i="4"/>
  <c r="R65" i="4"/>
  <c r="N65" i="4"/>
  <c r="K65" i="4"/>
  <c r="AQ65" i="4" s="1"/>
  <c r="BG64" i="4"/>
  <c r="BF64" i="4"/>
  <c r="BB64" i="4"/>
  <c r="AY64" i="4"/>
  <c r="AX64" i="4"/>
  <c r="AU64" i="4"/>
  <c r="AT64" i="4"/>
  <c r="AQ64" i="4"/>
  <c r="AP64" i="4"/>
  <c r="AL64" i="4"/>
  <c r="AM64" i="4" s="1"/>
  <c r="AI64" i="4"/>
  <c r="AH64" i="4"/>
  <c r="AD64" i="4"/>
  <c r="AE64" i="4" s="1"/>
  <c r="Z64" i="4"/>
  <c r="V64" i="4"/>
  <c r="W64" i="4" s="1"/>
  <c r="R64" i="4"/>
  <c r="N64" i="4"/>
  <c r="K64" i="4"/>
  <c r="BF63" i="4"/>
  <c r="BB63" i="4"/>
  <c r="AX63" i="4"/>
  <c r="AT63" i="4"/>
  <c r="AP63" i="4"/>
  <c r="AL63" i="4"/>
  <c r="AH63" i="4"/>
  <c r="AD63" i="4"/>
  <c r="Z63" i="4"/>
  <c r="V63" i="4"/>
  <c r="R63" i="4"/>
  <c r="N63" i="4"/>
  <c r="K63" i="4"/>
  <c r="BG62" i="4"/>
  <c r="BF62" i="4"/>
  <c r="BB62" i="4"/>
  <c r="BC62" i="4" s="1"/>
  <c r="AX62" i="4"/>
  <c r="AT62" i="4"/>
  <c r="AU62" i="4" s="1"/>
  <c r="AQ62" i="4"/>
  <c r="AP62" i="4"/>
  <c r="AM62" i="4"/>
  <c r="AL62" i="4"/>
  <c r="AI62" i="4"/>
  <c r="AH62" i="4"/>
  <c r="AD62" i="4"/>
  <c r="AE62" i="4" s="1"/>
  <c r="AA62" i="4"/>
  <c r="Z62" i="4"/>
  <c r="V62" i="4"/>
  <c r="S62" i="4"/>
  <c r="R62" i="4"/>
  <c r="N62" i="4"/>
  <c r="O62" i="4" s="1"/>
  <c r="K62" i="4"/>
  <c r="BF61" i="4"/>
  <c r="BC61" i="4"/>
  <c r="BB61" i="4"/>
  <c r="AY61" i="4"/>
  <c r="AX61" i="4"/>
  <c r="AT61" i="4"/>
  <c r="AP61" i="4"/>
  <c r="AM61" i="4"/>
  <c r="AL61" i="4"/>
  <c r="AH61" i="4"/>
  <c r="AE61" i="4"/>
  <c r="AD61" i="4"/>
  <c r="Z61" i="4"/>
  <c r="W61" i="4"/>
  <c r="V61" i="4"/>
  <c r="R61" i="4"/>
  <c r="S61" i="4" s="1"/>
  <c r="N61" i="4"/>
  <c r="K61" i="4"/>
  <c r="BF60" i="4"/>
  <c r="BB60" i="4"/>
  <c r="AY60" i="4"/>
  <c r="AX60" i="4"/>
  <c r="AT60" i="4"/>
  <c r="AP60" i="4"/>
  <c r="AQ60" i="4" s="1"/>
  <c r="AL60" i="4"/>
  <c r="AI60" i="4"/>
  <c r="AH60" i="4"/>
  <c r="AD60" i="4"/>
  <c r="AA60" i="4"/>
  <c r="Z60" i="4"/>
  <c r="W60" i="4"/>
  <c r="V60" i="4"/>
  <c r="R60" i="4"/>
  <c r="N60" i="4"/>
  <c r="K60" i="4"/>
  <c r="BG59" i="4"/>
  <c r="BF59" i="4"/>
  <c r="BB59" i="4"/>
  <c r="AY59" i="4"/>
  <c r="AX59" i="4"/>
  <c r="AU59" i="4"/>
  <c r="AT59" i="4"/>
  <c r="AP59" i="4"/>
  <c r="AL59" i="4"/>
  <c r="AM59" i="4" s="1"/>
  <c r="AH59" i="4"/>
  <c r="AD59" i="4"/>
  <c r="Z59" i="4"/>
  <c r="W59" i="4"/>
  <c r="V59" i="4"/>
  <c r="S59" i="4"/>
  <c r="R59" i="4"/>
  <c r="O59" i="4"/>
  <c r="N59" i="4"/>
  <c r="K59" i="4"/>
  <c r="BF58" i="4"/>
  <c r="BG58" i="4" s="1"/>
  <c r="BB58" i="4"/>
  <c r="AX58" i="4"/>
  <c r="AT58" i="4"/>
  <c r="AP58" i="4"/>
  <c r="AM58" i="4"/>
  <c r="AL58" i="4"/>
  <c r="AI58" i="4"/>
  <c r="AH58" i="4"/>
  <c r="AD58" i="4"/>
  <c r="AA58" i="4"/>
  <c r="Z58" i="4"/>
  <c r="V58" i="4"/>
  <c r="S58" i="4"/>
  <c r="R58" i="4"/>
  <c r="N58" i="4"/>
  <c r="K58" i="4"/>
  <c r="BF57" i="4"/>
  <c r="BB57" i="4"/>
  <c r="AX57" i="4"/>
  <c r="AT57" i="4"/>
  <c r="AP57" i="4"/>
  <c r="AL57" i="4"/>
  <c r="AH57" i="4"/>
  <c r="AD57" i="4"/>
  <c r="Z57" i="4"/>
  <c r="V57" i="4"/>
  <c r="R57" i="4"/>
  <c r="N57" i="4"/>
  <c r="K57" i="4"/>
  <c r="AY57" i="4" s="1"/>
  <c r="BF56" i="4"/>
  <c r="BG56" i="4" s="1"/>
  <c r="BC56" i="4"/>
  <c r="BB56" i="4"/>
  <c r="AX56" i="4"/>
  <c r="AY56" i="4" s="1"/>
  <c r="AT56" i="4"/>
  <c r="AU56" i="4" s="1"/>
  <c r="AP56" i="4"/>
  <c r="AQ56" i="4" s="1"/>
  <c r="AL56" i="4"/>
  <c r="AI56" i="4"/>
  <c r="AH56" i="4"/>
  <c r="AE56" i="4"/>
  <c r="AD56" i="4"/>
  <c r="Z56" i="4"/>
  <c r="AA56" i="4" s="1"/>
  <c r="V56" i="4"/>
  <c r="W56" i="4" s="1"/>
  <c r="S56" i="4"/>
  <c r="BH56" i="4" s="1"/>
  <c r="BI56" i="4" s="1"/>
  <c r="R56" i="4"/>
  <c r="O56" i="4"/>
  <c r="N56" i="4"/>
  <c r="K56" i="4"/>
  <c r="AM56" i="4" s="1"/>
  <c r="BF55" i="4"/>
  <c r="BG55" i="4" s="1"/>
  <c r="BB55" i="4"/>
  <c r="BC55" i="4" s="1"/>
  <c r="AY55" i="4"/>
  <c r="AX55" i="4"/>
  <c r="AT55" i="4"/>
  <c r="AU55" i="4" s="1"/>
  <c r="AP55" i="4"/>
  <c r="AL55" i="4"/>
  <c r="AH55" i="4"/>
  <c r="AI55" i="4" s="1"/>
  <c r="AD55" i="4"/>
  <c r="AE55" i="4" s="1"/>
  <c r="Z55" i="4"/>
  <c r="AA55" i="4" s="1"/>
  <c r="W55" i="4"/>
  <c r="V55" i="4"/>
  <c r="S55" i="4"/>
  <c r="R55" i="4"/>
  <c r="N55" i="4"/>
  <c r="K55" i="4"/>
  <c r="AQ55" i="4" s="1"/>
  <c r="BF54" i="4"/>
  <c r="BB54" i="4"/>
  <c r="AX54" i="4"/>
  <c r="AT54" i="4"/>
  <c r="AP54" i="4"/>
  <c r="AL54" i="4"/>
  <c r="AH54" i="4"/>
  <c r="AE54" i="4"/>
  <c r="AD54" i="4"/>
  <c r="AA54" i="4"/>
  <c r="Z54" i="4"/>
  <c r="V54" i="4"/>
  <c r="R54" i="4"/>
  <c r="N54" i="4"/>
  <c r="K54" i="4"/>
  <c r="AQ54" i="4" s="1"/>
  <c r="BG53" i="4"/>
  <c r="BF53" i="4"/>
  <c r="BC53" i="4"/>
  <c r="BB53" i="4"/>
  <c r="AX53" i="4"/>
  <c r="AY53" i="4" s="1"/>
  <c r="AU53" i="4"/>
  <c r="AT53" i="4"/>
  <c r="AQ53" i="4"/>
  <c r="AP53" i="4"/>
  <c r="AL53" i="4"/>
  <c r="AI53" i="4"/>
  <c r="AH53" i="4"/>
  <c r="AE53" i="4"/>
  <c r="AD53" i="4"/>
  <c r="AA53" i="4"/>
  <c r="Z53" i="4"/>
  <c r="V53" i="4"/>
  <c r="W53" i="4" s="1"/>
  <c r="S53" i="4"/>
  <c r="R53" i="4"/>
  <c r="N53" i="4"/>
  <c r="O53" i="4" s="1"/>
  <c r="K53" i="4"/>
  <c r="BF52" i="4"/>
  <c r="BC52" i="4"/>
  <c r="BB52" i="4"/>
  <c r="AY52" i="4"/>
  <c r="AX52" i="4"/>
  <c r="AT52" i="4"/>
  <c r="AU52" i="4" s="1"/>
  <c r="AQ52" i="4"/>
  <c r="AP52" i="4"/>
  <c r="AL52" i="4"/>
  <c r="AM52" i="4" s="1"/>
  <c r="AH52" i="4"/>
  <c r="AD52" i="4"/>
  <c r="Z52" i="4"/>
  <c r="V52" i="4"/>
  <c r="R52" i="4"/>
  <c r="S52" i="4" s="1"/>
  <c r="N52" i="4"/>
  <c r="O52" i="4" s="1"/>
  <c r="K52" i="4"/>
  <c r="AI52" i="4" s="1"/>
  <c r="BF51" i="4"/>
  <c r="BC51" i="4"/>
  <c r="BB51" i="4"/>
  <c r="AX51" i="4"/>
  <c r="AU51" i="4"/>
  <c r="AT51" i="4"/>
  <c r="AP51" i="4"/>
  <c r="AM51" i="4"/>
  <c r="AL51" i="4"/>
  <c r="AH51" i="4"/>
  <c r="AI51" i="4" s="1"/>
  <c r="AD51" i="4"/>
  <c r="AA51" i="4"/>
  <c r="Z51" i="4"/>
  <c r="V51" i="4"/>
  <c r="R51" i="4"/>
  <c r="N51" i="4"/>
  <c r="O51" i="4" s="1"/>
  <c r="K51" i="4"/>
  <c r="S51" i="4" s="1"/>
  <c r="BG50" i="4"/>
  <c r="BF50" i="4"/>
  <c r="BB50" i="4"/>
  <c r="AY50" i="4"/>
  <c r="AX50" i="4"/>
  <c r="AU50" i="4"/>
  <c r="AT50" i="4"/>
  <c r="AQ50" i="4"/>
  <c r="AP50" i="4"/>
  <c r="AM50" i="4"/>
  <c r="AL50" i="4"/>
  <c r="AI50" i="4"/>
  <c r="AH50" i="4"/>
  <c r="AD50" i="4"/>
  <c r="AE50" i="4" s="1"/>
  <c r="Z50" i="4"/>
  <c r="V50" i="4"/>
  <c r="W50" i="4" s="1"/>
  <c r="R50" i="4"/>
  <c r="N50" i="4"/>
  <c r="K50" i="4"/>
  <c r="BG49" i="4"/>
  <c r="BF49" i="4"/>
  <c r="BC49" i="4"/>
  <c r="BB49" i="4"/>
  <c r="AX49" i="4"/>
  <c r="AU49" i="4"/>
  <c r="AT49" i="4"/>
  <c r="AP49" i="4"/>
  <c r="AM49" i="4"/>
  <c r="AL49" i="4"/>
  <c r="AH49" i="4"/>
  <c r="AI49" i="4" s="1"/>
  <c r="AE49" i="4"/>
  <c r="AD49" i="4"/>
  <c r="AA49" i="4"/>
  <c r="Z49" i="4"/>
  <c r="V49" i="4"/>
  <c r="S49" i="4"/>
  <c r="R49" i="4"/>
  <c r="N49" i="4"/>
  <c r="K49" i="4"/>
  <c r="BF48" i="4"/>
  <c r="BG48" i="4" s="1"/>
  <c r="BB48" i="4"/>
  <c r="BC48" i="4" s="1"/>
  <c r="AX48" i="4"/>
  <c r="AT48" i="4"/>
  <c r="AU48" i="4" s="1"/>
  <c r="AQ48" i="4"/>
  <c r="AP48" i="4"/>
  <c r="AM48" i="4"/>
  <c r="AL48" i="4"/>
  <c r="AI48" i="4"/>
  <c r="AH48" i="4"/>
  <c r="AE48" i="4"/>
  <c r="AD48" i="4"/>
  <c r="AA48" i="4"/>
  <c r="Z48" i="4"/>
  <c r="V48" i="4"/>
  <c r="S48" i="4"/>
  <c r="R48" i="4"/>
  <c r="O48" i="4"/>
  <c r="N48" i="4"/>
  <c r="K48" i="4"/>
  <c r="BF47" i="4"/>
  <c r="BB47" i="4"/>
  <c r="AX47" i="4"/>
  <c r="AU47" i="4"/>
  <c r="AT47" i="4"/>
  <c r="AP47" i="4"/>
  <c r="AL47" i="4"/>
  <c r="AH47" i="4"/>
  <c r="AD47" i="4"/>
  <c r="Z47" i="4"/>
  <c r="V47" i="4"/>
  <c r="R47" i="4"/>
  <c r="N47" i="4"/>
  <c r="K47" i="4"/>
  <c r="BF46" i="4"/>
  <c r="BB46" i="4"/>
  <c r="AX46" i="4"/>
  <c r="AT46" i="4"/>
  <c r="AP46" i="4"/>
  <c r="AL46" i="4"/>
  <c r="AH46" i="4"/>
  <c r="AE46" i="4"/>
  <c r="AD46" i="4"/>
  <c r="AA46" i="4"/>
  <c r="Z46" i="4"/>
  <c r="W46" i="4"/>
  <c r="V46" i="4"/>
  <c r="R46" i="4"/>
  <c r="N46" i="4"/>
  <c r="K46" i="4"/>
  <c r="BF45" i="4"/>
  <c r="BC45" i="4"/>
  <c r="BB45" i="4"/>
  <c r="AY45" i="4"/>
  <c r="AX45" i="4"/>
  <c r="AU45" i="4"/>
  <c r="AT45" i="4"/>
  <c r="AQ45" i="4"/>
  <c r="AP45" i="4"/>
  <c r="AM45" i="4"/>
  <c r="AL45" i="4"/>
  <c r="AH45" i="4"/>
  <c r="AE45" i="4"/>
  <c r="AD45" i="4"/>
  <c r="AA45" i="4"/>
  <c r="Z45" i="4"/>
  <c r="W45" i="4"/>
  <c r="V45" i="4"/>
  <c r="S45" i="4"/>
  <c r="R45" i="4"/>
  <c r="O45" i="4"/>
  <c r="N45" i="4"/>
  <c r="K45" i="4"/>
  <c r="BF44" i="4"/>
  <c r="BB44" i="4"/>
  <c r="AX44" i="4"/>
  <c r="AT44" i="4"/>
  <c r="AP44" i="4"/>
  <c r="AL44" i="4"/>
  <c r="AH44" i="4"/>
  <c r="AI44" i="4" s="1"/>
  <c r="AD44" i="4"/>
  <c r="AA44" i="4"/>
  <c r="Z44" i="4"/>
  <c r="V44" i="4"/>
  <c r="R44" i="4"/>
  <c r="N44" i="4"/>
  <c r="K44" i="4"/>
  <c r="AM44" i="4" s="1"/>
  <c r="BF43" i="4"/>
  <c r="BB43" i="4"/>
  <c r="AY43" i="4"/>
  <c r="AX43" i="4"/>
  <c r="AU43" i="4"/>
  <c r="AT43" i="4"/>
  <c r="AQ43" i="4"/>
  <c r="AP43" i="4"/>
  <c r="AM43" i="4"/>
  <c r="AL43" i="4"/>
  <c r="AH43" i="4"/>
  <c r="AD43" i="4"/>
  <c r="Z43" i="4"/>
  <c r="W43" i="4"/>
  <c r="V43" i="4"/>
  <c r="S43" i="4"/>
  <c r="R43" i="4"/>
  <c r="N43" i="4"/>
  <c r="K43" i="4"/>
  <c r="BF42" i="4"/>
  <c r="BG42" i="4" s="1"/>
  <c r="BC42" i="4"/>
  <c r="BB42" i="4"/>
  <c r="AX42" i="4"/>
  <c r="AY42" i="4" s="1"/>
  <c r="AT42" i="4"/>
  <c r="AU42" i="4" s="1"/>
  <c r="AP42" i="4"/>
  <c r="AQ42" i="4" s="1"/>
  <c r="AL42" i="4"/>
  <c r="AI42" i="4"/>
  <c r="AH42" i="4"/>
  <c r="AE42" i="4"/>
  <c r="AD42" i="4"/>
  <c r="AA42" i="4"/>
  <c r="Z42" i="4"/>
  <c r="V42" i="4"/>
  <c r="W42" i="4" s="1"/>
  <c r="S42" i="4"/>
  <c r="R42" i="4"/>
  <c r="O42" i="4"/>
  <c r="N42" i="4"/>
  <c r="K42" i="4"/>
  <c r="AM42" i="4" s="1"/>
  <c r="BG41" i="4"/>
  <c r="BF41" i="4"/>
  <c r="BB41" i="4"/>
  <c r="BC41" i="4" s="1"/>
  <c r="AY41" i="4"/>
  <c r="AX41" i="4"/>
  <c r="AU41" i="4"/>
  <c r="AT41" i="4"/>
  <c r="AP41" i="4"/>
  <c r="AL41" i="4"/>
  <c r="AH41" i="4"/>
  <c r="AI41" i="4" s="1"/>
  <c r="AD41" i="4"/>
  <c r="AE41" i="4" s="1"/>
  <c r="Z41" i="4"/>
  <c r="AA41" i="4" s="1"/>
  <c r="W41" i="4"/>
  <c r="V41" i="4"/>
  <c r="S41" i="4"/>
  <c r="R41" i="4"/>
  <c r="N41" i="4"/>
  <c r="K41" i="4"/>
  <c r="AQ41" i="4" s="1"/>
  <c r="BF40" i="4"/>
  <c r="BB40" i="4"/>
  <c r="AX40" i="4"/>
  <c r="AT40" i="4"/>
  <c r="AP40" i="4"/>
  <c r="AL40" i="4"/>
  <c r="AH40" i="4"/>
  <c r="AD40" i="4"/>
  <c r="Z40" i="4"/>
  <c r="V40" i="4"/>
  <c r="R40" i="4"/>
  <c r="N40" i="4"/>
  <c r="K40" i="4"/>
  <c r="BG39" i="4"/>
  <c r="BF39" i="4"/>
  <c r="BC39" i="4"/>
  <c r="BB39" i="4"/>
  <c r="AX39" i="4"/>
  <c r="AY39" i="4" s="1"/>
  <c r="AU39" i="4"/>
  <c r="AT39" i="4"/>
  <c r="AQ39" i="4"/>
  <c r="AP39" i="4"/>
  <c r="AL39" i="4"/>
  <c r="AI39" i="4"/>
  <c r="AH39" i="4"/>
  <c r="AE39" i="4"/>
  <c r="AD39" i="4"/>
  <c r="AA39" i="4"/>
  <c r="Z39" i="4"/>
  <c r="W39" i="4"/>
  <c r="V39" i="4"/>
  <c r="S39" i="4"/>
  <c r="R39" i="4"/>
  <c r="O39" i="4"/>
  <c r="N39" i="4"/>
  <c r="K39" i="4"/>
  <c r="BF38" i="4"/>
  <c r="BC38" i="4"/>
  <c r="BB38" i="4"/>
  <c r="AY38" i="4"/>
  <c r="AX38" i="4"/>
  <c r="AU38" i="4"/>
  <c r="AT38" i="4"/>
  <c r="AQ38" i="4"/>
  <c r="AP38" i="4"/>
  <c r="AM38" i="4"/>
  <c r="AL38" i="4"/>
  <c r="AH38" i="4"/>
  <c r="AD38" i="4"/>
  <c r="Z38" i="4"/>
  <c r="V38" i="4"/>
  <c r="R38" i="4"/>
  <c r="S38" i="4" s="1"/>
  <c r="N38" i="4"/>
  <c r="O38" i="4" s="1"/>
  <c r="K38" i="4"/>
  <c r="AI38" i="4" s="1"/>
  <c r="BF37" i="4"/>
  <c r="BB37" i="4"/>
  <c r="AX37" i="4"/>
  <c r="AT37" i="4"/>
  <c r="AP37" i="4"/>
  <c r="AL37" i="4"/>
  <c r="AH37" i="4"/>
  <c r="AI37" i="4" s="1"/>
  <c r="AD37" i="4"/>
  <c r="Z37" i="4"/>
  <c r="V37" i="4"/>
  <c r="R37" i="4"/>
  <c r="N37" i="4"/>
  <c r="K37" i="4"/>
  <c r="BG36" i="4"/>
  <c r="BF36" i="4"/>
  <c r="BB36" i="4"/>
  <c r="AY36" i="4"/>
  <c r="AX36" i="4"/>
  <c r="AU36" i="4"/>
  <c r="AT36" i="4"/>
  <c r="AQ36" i="4"/>
  <c r="AP36" i="4"/>
  <c r="AM36" i="4"/>
  <c r="AL36" i="4"/>
  <c r="AI36" i="4"/>
  <c r="AH36" i="4"/>
  <c r="AE36" i="4"/>
  <c r="AD36" i="4"/>
  <c r="Z36" i="4"/>
  <c r="W36" i="4"/>
  <c r="V36" i="4"/>
  <c r="R36" i="4"/>
  <c r="N36" i="4"/>
  <c r="K36" i="4"/>
  <c r="BG35" i="4"/>
  <c r="BF35" i="4"/>
  <c r="BC35" i="4"/>
  <c r="BB35" i="4"/>
  <c r="AX35" i="4"/>
  <c r="AU35" i="4"/>
  <c r="AT35" i="4"/>
  <c r="AQ35" i="4"/>
  <c r="AP35" i="4"/>
  <c r="AM35" i="4"/>
  <c r="AL35" i="4"/>
  <c r="AI35" i="4"/>
  <c r="AH35" i="4"/>
  <c r="AD35" i="4"/>
  <c r="AA35" i="4"/>
  <c r="Z35" i="4"/>
  <c r="V35" i="4"/>
  <c r="S35" i="4"/>
  <c r="R35" i="4"/>
  <c r="O35" i="4"/>
  <c r="N35" i="4"/>
  <c r="K35" i="4"/>
  <c r="BF34" i="4"/>
  <c r="BG34" i="4" s="1"/>
  <c r="BB34" i="4"/>
  <c r="BC34" i="4" s="1"/>
  <c r="AX34" i="4"/>
  <c r="AT34" i="4"/>
  <c r="AU34" i="4" s="1"/>
  <c r="AQ34" i="4"/>
  <c r="AP34" i="4"/>
  <c r="AM34" i="4"/>
  <c r="AL34" i="4"/>
  <c r="AI34" i="4"/>
  <c r="AH34" i="4"/>
  <c r="AE34" i="4"/>
  <c r="AD34" i="4"/>
  <c r="AA34" i="4"/>
  <c r="Z34" i="4"/>
  <c r="V34" i="4"/>
  <c r="S34" i="4"/>
  <c r="R34" i="4"/>
  <c r="O34" i="4"/>
  <c r="N34" i="4"/>
  <c r="K34" i="4"/>
  <c r="BG33" i="4"/>
  <c r="BF33" i="4"/>
  <c r="BC33" i="4"/>
  <c r="BB33" i="4"/>
  <c r="AX33" i="4"/>
  <c r="AT33" i="4"/>
  <c r="AU33" i="4" s="1"/>
  <c r="AP33" i="4"/>
  <c r="AL33" i="4"/>
  <c r="AH33" i="4"/>
  <c r="AE33" i="4"/>
  <c r="AD33" i="4"/>
  <c r="Z33" i="4"/>
  <c r="AA33" i="4" s="1"/>
  <c r="W33" i="4"/>
  <c r="V33" i="4"/>
  <c r="S33" i="4"/>
  <c r="R33" i="4"/>
  <c r="N33" i="4"/>
  <c r="K33" i="4"/>
  <c r="AM33" i="4" s="1"/>
  <c r="BF32" i="4"/>
  <c r="BB32" i="4"/>
  <c r="AX32" i="4"/>
  <c r="AT32" i="4"/>
  <c r="AP32" i="4"/>
  <c r="AL32" i="4"/>
  <c r="AH32" i="4"/>
  <c r="AD32" i="4"/>
  <c r="Z32" i="4"/>
  <c r="V32" i="4"/>
  <c r="R32" i="4"/>
  <c r="N32" i="4"/>
  <c r="K32" i="4"/>
  <c r="BG31" i="4"/>
  <c r="BF31" i="4"/>
  <c r="BB31" i="4"/>
  <c r="AY31" i="4"/>
  <c r="AX31" i="4"/>
  <c r="AU31" i="4"/>
  <c r="AT31" i="4"/>
  <c r="AQ31" i="4"/>
  <c r="AP31" i="4"/>
  <c r="AL31" i="4"/>
  <c r="AM31" i="4" s="1"/>
  <c r="AH31" i="4"/>
  <c r="AE31" i="4"/>
  <c r="AD31" i="4"/>
  <c r="AA31" i="4"/>
  <c r="Z31" i="4"/>
  <c r="W31" i="4"/>
  <c r="V31" i="4"/>
  <c r="S31" i="4"/>
  <c r="R31" i="4"/>
  <c r="N31" i="4"/>
  <c r="K31" i="4"/>
  <c r="BC31" i="4" s="1"/>
  <c r="BF30" i="4"/>
  <c r="BB30" i="4"/>
  <c r="AX30" i="4"/>
  <c r="AT30" i="4"/>
  <c r="AP30" i="4"/>
  <c r="AL30" i="4"/>
  <c r="AH30" i="4"/>
  <c r="AD30" i="4"/>
  <c r="Z30" i="4"/>
  <c r="V30" i="4"/>
  <c r="R30" i="4"/>
  <c r="N30" i="4"/>
  <c r="K30" i="4"/>
  <c r="BG30" i="4" s="1"/>
  <c r="BF29" i="4"/>
  <c r="BB29" i="4"/>
  <c r="AX29" i="4"/>
  <c r="AT29" i="4"/>
  <c r="AP29" i="4"/>
  <c r="AM29" i="4"/>
  <c r="AL29" i="4"/>
  <c r="AI29" i="4"/>
  <c r="AH29" i="4"/>
  <c r="AD29" i="4"/>
  <c r="Z29" i="4"/>
  <c r="V29" i="4"/>
  <c r="R29" i="4"/>
  <c r="N29" i="4"/>
  <c r="K29" i="4"/>
  <c r="BF28" i="4"/>
  <c r="BG28" i="4" s="1"/>
  <c r="BC28" i="4"/>
  <c r="BB28" i="4"/>
  <c r="AY28" i="4"/>
  <c r="AX28" i="4"/>
  <c r="AT28" i="4"/>
  <c r="AU28" i="4" s="1"/>
  <c r="AP28" i="4"/>
  <c r="AQ28" i="4" s="1"/>
  <c r="AL28" i="4"/>
  <c r="AI28" i="4"/>
  <c r="AH28" i="4"/>
  <c r="AE28" i="4"/>
  <c r="AD28" i="4"/>
  <c r="Z28" i="4"/>
  <c r="AA28" i="4" s="1"/>
  <c r="V28" i="4"/>
  <c r="W28" i="4" s="1"/>
  <c r="S28" i="4"/>
  <c r="R28" i="4"/>
  <c r="O28" i="4"/>
  <c r="N28" i="4"/>
  <c r="K28" i="4"/>
  <c r="AM28" i="4" s="1"/>
  <c r="BF27" i="4"/>
  <c r="BG27" i="4" s="1"/>
  <c r="BB27" i="4"/>
  <c r="BC27" i="4" s="1"/>
  <c r="AY27" i="4"/>
  <c r="AX27" i="4"/>
  <c r="AU27" i="4"/>
  <c r="AT27" i="4"/>
  <c r="AP27" i="4"/>
  <c r="AL27" i="4"/>
  <c r="AH27" i="4"/>
  <c r="AI27" i="4" s="1"/>
  <c r="AE27" i="4"/>
  <c r="AD27" i="4"/>
  <c r="Z27" i="4"/>
  <c r="AA27" i="4" s="1"/>
  <c r="W27" i="4"/>
  <c r="V27" i="4"/>
  <c r="S27" i="4"/>
  <c r="R27" i="4"/>
  <c r="N27" i="4"/>
  <c r="K27" i="4"/>
  <c r="AQ27" i="4" s="1"/>
  <c r="BF26" i="4"/>
  <c r="BB26" i="4"/>
  <c r="BC26" i="4" s="1"/>
  <c r="AX26" i="4"/>
  <c r="AU26" i="4"/>
  <c r="AT26" i="4"/>
  <c r="AQ26" i="4"/>
  <c r="AP26" i="4"/>
  <c r="AL26" i="4"/>
  <c r="AH26" i="4"/>
  <c r="AD26" i="4"/>
  <c r="Z26" i="4"/>
  <c r="AA26" i="4" s="1"/>
  <c r="W26" i="4"/>
  <c r="V26" i="4"/>
  <c r="S26" i="4"/>
  <c r="R26" i="4"/>
  <c r="N26" i="4"/>
  <c r="K26" i="4"/>
  <c r="BG25" i="4"/>
  <c r="BF25" i="4"/>
  <c r="BC25" i="4"/>
  <c r="BB25" i="4"/>
  <c r="AX25" i="4"/>
  <c r="AY25" i="4" s="1"/>
  <c r="AU25" i="4"/>
  <c r="AT25" i="4"/>
  <c r="AP25" i="4"/>
  <c r="AQ25" i="4" s="1"/>
  <c r="AL25" i="4"/>
  <c r="AI25" i="4"/>
  <c r="AH25" i="4"/>
  <c r="AE25" i="4"/>
  <c r="AD25" i="4"/>
  <c r="AA25" i="4"/>
  <c r="Z25" i="4"/>
  <c r="W25" i="4"/>
  <c r="V25" i="4"/>
  <c r="S25" i="4"/>
  <c r="R25" i="4"/>
  <c r="N25" i="4"/>
  <c r="O25" i="4" s="1"/>
  <c r="K25" i="4"/>
  <c r="AM25" i="4" s="1"/>
  <c r="BF24" i="4"/>
  <c r="BC24" i="4"/>
  <c r="BB24" i="4"/>
  <c r="AY24" i="4"/>
  <c r="AX24" i="4"/>
  <c r="AU24" i="4"/>
  <c r="AT24" i="4"/>
  <c r="AQ24" i="4"/>
  <c r="AP24" i="4"/>
  <c r="AL24" i="4"/>
  <c r="AM24" i="4" s="1"/>
  <c r="AH24" i="4"/>
  <c r="AD24" i="4"/>
  <c r="Z24" i="4"/>
  <c r="V24" i="4"/>
  <c r="R24" i="4"/>
  <c r="S24" i="4" s="1"/>
  <c r="O24" i="4"/>
  <c r="N24" i="4"/>
  <c r="K24" i="4"/>
  <c r="BF23" i="4"/>
  <c r="BC23" i="4"/>
  <c r="BB23" i="4"/>
  <c r="AY23" i="4"/>
  <c r="AX23" i="4"/>
  <c r="AU23" i="4"/>
  <c r="AT23" i="4"/>
  <c r="AQ23" i="4"/>
  <c r="AP23" i="4"/>
  <c r="AM23" i="4"/>
  <c r="AL23" i="4"/>
  <c r="AH23" i="4"/>
  <c r="AD23" i="4"/>
  <c r="Z23" i="4"/>
  <c r="W23" i="4"/>
  <c r="V23" i="4"/>
  <c r="S23" i="4"/>
  <c r="R23" i="4"/>
  <c r="N23" i="4"/>
  <c r="K23" i="4"/>
  <c r="BG22" i="4"/>
  <c r="BF22" i="4"/>
  <c r="BB22" i="4"/>
  <c r="AY22" i="4"/>
  <c r="AX22" i="4"/>
  <c r="AU22" i="4"/>
  <c r="AT22" i="4"/>
  <c r="AQ22" i="4"/>
  <c r="AP22" i="4"/>
  <c r="AM22" i="4"/>
  <c r="AL22" i="4"/>
  <c r="AI22" i="4"/>
  <c r="AH22" i="4"/>
  <c r="AE22" i="4"/>
  <c r="AD22" i="4"/>
  <c r="Z22" i="4"/>
  <c r="W22" i="4"/>
  <c r="V22" i="4"/>
  <c r="R22" i="4"/>
  <c r="N22" i="4"/>
  <c r="K22" i="4"/>
  <c r="BG21" i="4"/>
  <c r="BF21" i="4"/>
  <c r="BC21" i="4"/>
  <c r="BB21" i="4"/>
  <c r="AX21" i="4"/>
  <c r="AU21" i="4"/>
  <c r="AT21" i="4"/>
  <c r="AQ21" i="4"/>
  <c r="AP21" i="4"/>
  <c r="AM21" i="4"/>
  <c r="AL21" i="4"/>
  <c r="AH21" i="4"/>
  <c r="AI21" i="4" s="1"/>
  <c r="AE21" i="4"/>
  <c r="AD21" i="4"/>
  <c r="Z21" i="4"/>
  <c r="V21" i="4"/>
  <c r="S21" i="4"/>
  <c r="R21" i="4"/>
  <c r="K21" i="4"/>
  <c r="AA21" i="4" s="1"/>
  <c r="BF20" i="4"/>
  <c r="BG20" i="4" s="1"/>
  <c r="BB20" i="4"/>
  <c r="BC20" i="4" s="1"/>
  <c r="AX20" i="4"/>
  <c r="AT20" i="4"/>
  <c r="AU20" i="4" s="1"/>
  <c r="AQ20" i="4"/>
  <c r="AP20" i="4"/>
  <c r="AM20" i="4"/>
  <c r="AL20" i="4"/>
  <c r="AI20" i="4"/>
  <c r="AH20" i="4"/>
  <c r="AE20" i="4"/>
  <c r="AD20" i="4"/>
  <c r="AA20" i="4"/>
  <c r="Z20" i="4"/>
  <c r="V20" i="4"/>
  <c r="S20" i="4"/>
  <c r="R20" i="4"/>
  <c r="O20" i="4"/>
  <c r="K20" i="4"/>
  <c r="BF19" i="4"/>
  <c r="BB19" i="4"/>
  <c r="AX19" i="4"/>
  <c r="AT19" i="4"/>
  <c r="AU19" i="4" s="1"/>
  <c r="AP19" i="4"/>
  <c r="AM19" i="4"/>
  <c r="AL19" i="4"/>
  <c r="AH19" i="4"/>
  <c r="AD19" i="4"/>
  <c r="Z19" i="4"/>
  <c r="W19" i="4"/>
  <c r="V19" i="4"/>
  <c r="R19" i="4"/>
  <c r="K19" i="4"/>
  <c r="BF18" i="4"/>
  <c r="BB18" i="4"/>
  <c r="AX18" i="4"/>
  <c r="AT18" i="4"/>
  <c r="AP18" i="4"/>
  <c r="AL18" i="4"/>
  <c r="AH18" i="4"/>
  <c r="AE18" i="4"/>
  <c r="AD18" i="4"/>
  <c r="AA18" i="4"/>
  <c r="Z18" i="4"/>
  <c r="W18" i="4"/>
  <c r="V18" i="4"/>
  <c r="R18" i="4"/>
  <c r="K18" i="4"/>
  <c r="BF17" i="4"/>
  <c r="BC17" i="4"/>
  <c r="BB17" i="4"/>
  <c r="AY17" i="4"/>
  <c r="AX17" i="4"/>
  <c r="AU17" i="4"/>
  <c r="AT17" i="4"/>
  <c r="AQ17" i="4"/>
  <c r="AP17" i="4"/>
  <c r="AM17" i="4"/>
  <c r="AL17" i="4"/>
  <c r="AH17" i="4"/>
  <c r="AE17" i="4"/>
  <c r="AD17" i="4"/>
  <c r="AA17" i="4"/>
  <c r="Z17" i="4"/>
  <c r="W17" i="4"/>
  <c r="V17" i="4"/>
  <c r="S17" i="4"/>
  <c r="R17" i="4"/>
  <c r="O17" i="4"/>
  <c r="K17" i="4"/>
  <c r="BF16" i="4"/>
  <c r="BB16" i="4"/>
  <c r="AX16" i="4"/>
  <c r="AT16" i="4"/>
  <c r="AP16" i="4"/>
  <c r="AL16" i="4"/>
  <c r="AI16" i="4"/>
  <c r="AH16" i="4"/>
  <c r="AD16" i="4"/>
  <c r="AA16" i="4"/>
  <c r="Z16" i="4"/>
  <c r="V16" i="4"/>
  <c r="R16" i="4"/>
  <c r="K16" i="4"/>
  <c r="BF15" i="4"/>
  <c r="BB15" i="4"/>
  <c r="AY15" i="4"/>
  <c r="AX15" i="4"/>
  <c r="AU15" i="4"/>
  <c r="AT15" i="4"/>
  <c r="AQ15" i="4"/>
  <c r="AP15" i="4"/>
  <c r="AM15" i="4"/>
  <c r="AL15" i="4"/>
  <c r="AH15" i="4"/>
  <c r="AD15" i="4"/>
  <c r="Z15" i="4"/>
  <c r="W15" i="4"/>
  <c r="V15" i="4"/>
  <c r="S15" i="4"/>
  <c r="R15" i="4"/>
  <c r="K15" i="4"/>
  <c r="BF14" i="4"/>
  <c r="BG14" i="4" s="1"/>
  <c r="BC14" i="4"/>
  <c r="BB14" i="4"/>
  <c r="AX14" i="4"/>
  <c r="AY14" i="4" s="1"/>
  <c r="AT14" i="4"/>
  <c r="AU14" i="4" s="1"/>
  <c r="AP14" i="4"/>
  <c r="AQ14" i="4" s="1"/>
  <c r="AL14" i="4"/>
  <c r="AI14" i="4"/>
  <c r="AH14" i="4"/>
  <c r="AE14" i="4"/>
  <c r="AD14" i="4"/>
  <c r="AA14" i="4"/>
  <c r="Z14" i="4"/>
  <c r="V14" i="4"/>
  <c r="W14" i="4" s="1"/>
  <c r="S14" i="4"/>
  <c r="R14" i="4"/>
  <c r="O14" i="4"/>
  <c r="K14" i="4"/>
  <c r="AM14" i="4" s="1"/>
  <c r="BG13" i="4"/>
  <c r="BF13" i="4"/>
  <c r="BB13" i="4"/>
  <c r="BC13" i="4" s="1"/>
  <c r="AY13" i="4"/>
  <c r="AX13" i="4"/>
  <c r="AU13" i="4"/>
  <c r="AT13" i="4"/>
  <c r="AP13" i="4"/>
  <c r="AL13" i="4"/>
  <c r="AH13" i="4"/>
  <c r="AI13" i="4" s="1"/>
  <c r="AD13" i="4"/>
  <c r="AE13" i="4" s="1"/>
  <c r="Z13" i="4"/>
  <c r="AA13" i="4" s="1"/>
  <c r="W13" i="4"/>
  <c r="V13" i="4"/>
  <c r="S13" i="4"/>
  <c r="R13" i="4"/>
  <c r="K13" i="4"/>
  <c r="AQ13" i="4" s="1"/>
  <c r="BF12" i="4"/>
  <c r="BB12" i="4"/>
  <c r="AX12" i="4"/>
  <c r="AT12" i="4"/>
  <c r="AQ12" i="4"/>
  <c r="AP12" i="4"/>
  <c r="AL12" i="4"/>
  <c r="AH12" i="4"/>
  <c r="AD12" i="4"/>
  <c r="Z12" i="4"/>
  <c r="V12" i="4"/>
  <c r="R12" i="4"/>
  <c r="K12" i="4"/>
  <c r="BG11" i="4"/>
  <c r="BF11" i="4"/>
  <c r="BC11" i="4"/>
  <c r="BB11" i="4"/>
  <c r="AX11" i="4"/>
  <c r="AY11" i="4" s="1"/>
  <c r="AU11" i="4"/>
  <c r="AT11" i="4"/>
  <c r="AQ11" i="4"/>
  <c r="AP11" i="4"/>
  <c r="AL11" i="4"/>
  <c r="AI11" i="4"/>
  <c r="AH11" i="4"/>
  <c r="AE11" i="4"/>
  <c r="AD11" i="4"/>
  <c r="AA11" i="4"/>
  <c r="Z11" i="4"/>
  <c r="W11" i="4"/>
  <c r="V11" i="4"/>
  <c r="S11" i="4"/>
  <c r="R11" i="4"/>
  <c r="O11" i="4"/>
  <c r="K11" i="4"/>
  <c r="BF10" i="4"/>
  <c r="BC10" i="4"/>
  <c r="BB10" i="4"/>
  <c r="AY10" i="4"/>
  <c r="AX10" i="4"/>
  <c r="AU10" i="4"/>
  <c r="AT10" i="4"/>
  <c r="AQ10" i="4"/>
  <c r="AP10" i="4"/>
  <c r="AM10" i="4"/>
  <c r="AL10" i="4"/>
  <c r="AH10" i="4"/>
  <c r="AD10" i="4"/>
  <c r="Z10" i="4"/>
  <c r="V10" i="4"/>
  <c r="R10" i="4"/>
  <c r="S10" i="4" s="1"/>
  <c r="O10" i="4"/>
  <c r="K10" i="4"/>
  <c r="AI10" i="4" s="1"/>
  <c r="BF9" i="4"/>
  <c r="BB9" i="4"/>
  <c r="AX9" i="4"/>
  <c r="AT9" i="4"/>
  <c r="AP9" i="4"/>
  <c r="AL9" i="4"/>
  <c r="AH9" i="4"/>
  <c r="AD9" i="4"/>
  <c r="Z9" i="4"/>
  <c r="V9" i="4"/>
  <c r="R9" i="4"/>
  <c r="K9" i="4"/>
  <c r="AU9" i="4" s="1"/>
  <c r="BG8" i="4"/>
  <c r="BF8" i="4"/>
  <c r="BB8" i="4"/>
  <c r="AY8" i="4"/>
  <c r="AX8" i="4"/>
  <c r="AU8" i="4"/>
  <c r="AT8" i="4"/>
  <c r="AQ8" i="4"/>
  <c r="AP8" i="4"/>
  <c r="AM8" i="4"/>
  <c r="AL8" i="4"/>
  <c r="AI8" i="4"/>
  <c r="AH8" i="4"/>
  <c r="AD8" i="4"/>
  <c r="AE8" i="4" s="1"/>
  <c r="Z8" i="4"/>
  <c r="W8" i="4"/>
  <c r="V8" i="4"/>
  <c r="R8" i="4"/>
  <c r="K8" i="4"/>
  <c r="BG7" i="4"/>
  <c r="BF7" i="4"/>
  <c r="BC7" i="4"/>
  <c r="BB7" i="4"/>
  <c r="AX7" i="4"/>
  <c r="AU7" i="4"/>
  <c r="AT7" i="4"/>
  <c r="AQ7" i="4"/>
  <c r="AP7" i="4"/>
  <c r="AM7" i="4"/>
  <c r="AL7" i="4"/>
  <c r="AI7" i="4"/>
  <c r="AH7" i="4"/>
  <c r="AD7" i="4"/>
  <c r="AA7" i="4"/>
  <c r="Z7" i="4"/>
  <c r="V7" i="4"/>
  <c r="S7" i="4"/>
  <c r="R7" i="4"/>
  <c r="O7" i="4"/>
  <c r="K7" i="4"/>
  <c r="BF6" i="4"/>
  <c r="BG6" i="4" s="1"/>
  <c r="BB6" i="4"/>
  <c r="BC6" i="4" s="1"/>
  <c r="AX6" i="4"/>
  <c r="AT6" i="4"/>
  <c r="AU6" i="4" s="1"/>
  <c r="AQ6" i="4"/>
  <c r="AP6" i="4"/>
  <c r="AM6" i="4"/>
  <c r="AL6" i="4"/>
  <c r="AI6" i="4"/>
  <c r="AH6" i="4"/>
  <c r="AE6" i="4"/>
  <c r="AD6" i="4"/>
  <c r="AA6" i="4"/>
  <c r="Z6" i="4"/>
  <c r="V6" i="4"/>
  <c r="S6" i="4"/>
  <c r="R6" i="4"/>
  <c r="O6" i="4"/>
  <c r="K6" i="4"/>
  <c r="BG5" i="4"/>
  <c r="BF5" i="4"/>
  <c r="BB5" i="4"/>
  <c r="BC5" i="4" s="1"/>
  <c r="AX5" i="4"/>
  <c r="AT5" i="4"/>
  <c r="AU5" i="4" s="1"/>
  <c r="AP5" i="4"/>
  <c r="AL5" i="4"/>
  <c r="AH5" i="4"/>
  <c r="AE5" i="4"/>
  <c r="AD5" i="4"/>
  <c r="Z5" i="4"/>
  <c r="AA5" i="4" s="1"/>
  <c r="W5" i="4"/>
  <c r="V5" i="4"/>
  <c r="S5" i="4"/>
  <c r="R5" i="4"/>
  <c r="N5" i="4"/>
  <c r="K5" i="4"/>
  <c r="AM5" i="4" s="1"/>
  <c r="BF4" i="4"/>
  <c r="BB4" i="4"/>
  <c r="AX4" i="4"/>
  <c r="AT4" i="4"/>
  <c r="AP4" i="4"/>
  <c r="AQ4" i="4" s="1"/>
  <c r="AL4" i="4"/>
  <c r="AH4" i="4"/>
  <c r="AD4" i="4"/>
  <c r="Z4" i="4"/>
  <c r="W4" i="4"/>
  <c r="V4" i="4"/>
  <c r="R4" i="4"/>
  <c r="N4" i="4"/>
  <c r="K4" i="4"/>
  <c r="BG3" i="4"/>
  <c r="BF3" i="4"/>
  <c r="BB3" i="4"/>
  <c r="AY3" i="4"/>
  <c r="AX3" i="4"/>
  <c r="AU3" i="4"/>
  <c r="AT3" i="4"/>
  <c r="AQ3" i="4"/>
  <c r="AP3" i="4"/>
  <c r="AL3" i="4"/>
  <c r="AM3" i="4" s="1"/>
  <c r="AH3" i="4"/>
  <c r="AE3" i="4"/>
  <c r="AD3" i="4"/>
  <c r="AA3" i="4"/>
  <c r="Z3" i="4"/>
  <c r="W3" i="4"/>
  <c r="V3" i="4"/>
  <c r="S3" i="4"/>
  <c r="R3" i="4"/>
  <c r="N3" i="4"/>
  <c r="K3" i="4"/>
  <c r="BC3" i="4" s="1"/>
  <c r="BF2" i="4"/>
  <c r="BB2" i="4"/>
  <c r="AX2" i="4"/>
  <c r="AT2" i="4"/>
  <c r="AP2" i="4"/>
  <c r="AL2" i="4"/>
  <c r="AH2" i="4"/>
  <c r="AD2" i="4"/>
  <c r="AA2" i="4"/>
  <c r="Z2" i="4"/>
  <c r="V2" i="4"/>
  <c r="R2" i="4"/>
  <c r="K2" i="4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L500" i="2"/>
  <c r="K500" i="2"/>
  <c r="L499" i="2"/>
  <c r="K499" i="2"/>
  <c r="L498" i="2"/>
  <c r="K498" i="2"/>
  <c r="L497" i="2"/>
  <c r="K497" i="2"/>
  <c r="L496" i="2"/>
  <c r="M496" i="2" s="1"/>
  <c r="K496" i="2"/>
  <c r="L495" i="2"/>
  <c r="K495" i="2"/>
  <c r="L494" i="2"/>
  <c r="K494" i="2"/>
  <c r="L493" i="2"/>
  <c r="M493" i="2" s="1"/>
  <c r="K493" i="2"/>
  <c r="L492" i="2"/>
  <c r="K492" i="2"/>
  <c r="L491" i="2"/>
  <c r="K491" i="2"/>
  <c r="L490" i="2"/>
  <c r="K490" i="2"/>
  <c r="L489" i="2"/>
  <c r="K489" i="2"/>
  <c r="L488" i="2"/>
  <c r="K488" i="2"/>
  <c r="L487" i="2"/>
  <c r="M487" i="2" s="1"/>
  <c r="K487" i="2"/>
  <c r="L486" i="2"/>
  <c r="K486" i="2"/>
  <c r="L485" i="2"/>
  <c r="M485" i="2" s="1"/>
  <c r="K485" i="2"/>
  <c r="L484" i="2"/>
  <c r="K484" i="2"/>
  <c r="L483" i="2"/>
  <c r="M483" i="2" s="1"/>
  <c r="K483" i="2"/>
  <c r="L482" i="2"/>
  <c r="K482" i="2"/>
  <c r="L481" i="2"/>
  <c r="M481" i="2" s="1"/>
  <c r="K481" i="2"/>
  <c r="L480" i="2"/>
  <c r="K480" i="2"/>
  <c r="L479" i="2"/>
  <c r="K479" i="2"/>
  <c r="L478" i="2"/>
  <c r="K478" i="2"/>
  <c r="L477" i="2"/>
  <c r="K477" i="2"/>
  <c r="L476" i="2"/>
  <c r="K476" i="2"/>
  <c r="L475" i="2"/>
  <c r="K475" i="2"/>
  <c r="L474" i="2"/>
  <c r="K474" i="2"/>
  <c r="L473" i="2"/>
  <c r="K473" i="2"/>
  <c r="L472" i="2"/>
  <c r="M472" i="2" s="1"/>
  <c r="K472" i="2"/>
  <c r="L471" i="2"/>
  <c r="K471" i="2"/>
  <c r="L470" i="2"/>
  <c r="K470" i="2"/>
  <c r="L469" i="2"/>
  <c r="K469" i="2"/>
  <c r="L468" i="2"/>
  <c r="K468" i="2"/>
  <c r="L467" i="2"/>
  <c r="M467" i="2" s="1"/>
  <c r="K467" i="2"/>
  <c r="L466" i="2"/>
  <c r="K466" i="2"/>
  <c r="L465" i="2"/>
  <c r="K465" i="2"/>
  <c r="L464" i="2"/>
  <c r="K464" i="2"/>
  <c r="L463" i="2"/>
  <c r="K463" i="2"/>
  <c r="L462" i="2"/>
  <c r="K462" i="2"/>
  <c r="L461" i="2"/>
  <c r="K461" i="2"/>
  <c r="L460" i="2"/>
  <c r="M460" i="2" s="1"/>
  <c r="K460" i="2"/>
  <c r="L459" i="2"/>
  <c r="K459" i="2"/>
  <c r="L458" i="2"/>
  <c r="K458" i="2"/>
  <c r="L457" i="2"/>
  <c r="M457" i="2" s="1"/>
  <c r="K457" i="2"/>
  <c r="L456" i="2"/>
  <c r="K456" i="2"/>
  <c r="L455" i="2"/>
  <c r="K455" i="2"/>
  <c r="L454" i="2"/>
  <c r="K454" i="2"/>
  <c r="L453" i="2"/>
  <c r="K453" i="2"/>
  <c r="L452" i="2"/>
  <c r="K452" i="2"/>
  <c r="L451" i="2"/>
  <c r="K451" i="2"/>
  <c r="L450" i="2"/>
  <c r="M450" i="2" s="1"/>
  <c r="K450" i="2"/>
  <c r="L449" i="2"/>
  <c r="K449" i="2"/>
  <c r="L448" i="2"/>
  <c r="K448" i="2"/>
  <c r="M448" i="2" s="1"/>
  <c r="L447" i="2"/>
  <c r="K447" i="2"/>
  <c r="L446" i="2"/>
  <c r="K446" i="2"/>
  <c r="L445" i="2"/>
  <c r="K445" i="2"/>
  <c r="L444" i="2"/>
  <c r="K444" i="2"/>
  <c r="L443" i="2"/>
  <c r="K443" i="2"/>
  <c r="L442" i="2"/>
  <c r="K442" i="2"/>
  <c r="L441" i="2"/>
  <c r="K441" i="2"/>
  <c r="L440" i="2"/>
  <c r="K440" i="2"/>
  <c r="L439" i="2"/>
  <c r="K439" i="2"/>
  <c r="L438" i="2"/>
  <c r="K438" i="2"/>
  <c r="L437" i="2"/>
  <c r="M437" i="2" s="1"/>
  <c r="K437" i="2"/>
  <c r="L436" i="2"/>
  <c r="K436" i="2"/>
  <c r="L435" i="2"/>
  <c r="K435" i="2"/>
  <c r="L434" i="2"/>
  <c r="M434" i="2" s="1"/>
  <c r="K434" i="2"/>
  <c r="L433" i="2"/>
  <c r="K433" i="2"/>
  <c r="L432" i="2"/>
  <c r="M432" i="2" s="1"/>
  <c r="K432" i="2"/>
  <c r="L431" i="2"/>
  <c r="K431" i="2"/>
  <c r="L430" i="2"/>
  <c r="K430" i="2"/>
  <c r="L429" i="2"/>
  <c r="K429" i="2"/>
  <c r="L428" i="2"/>
  <c r="K428" i="2"/>
  <c r="M428" i="2" s="1"/>
  <c r="L427" i="2"/>
  <c r="K427" i="2"/>
  <c r="L426" i="2"/>
  <c r="K426" i="2"/>
  <c r="L425" i="2"/>
  <c r="K425" i="2"/>
  <c r="L424" i="2"/>
  <c r="K424" i="2"/>
  <c r="L423" i="2"/>
  <c r="K423" i="2"/>
  <c r="L422" i="2"/>
  <c r="K422" i="2"/>
  <c r="M422" i="2" s="1"/>
  <c r="L421" i="2"/>
  <c r="K421" i="2"/>
  <c r="L420" i="2"/>
  <c r="K420" i="2"/>
  <c r="L419" i="2"/>
  <c r="K419" i="2"/>
  <c r="L418" i="2"/>
  <c r="K418" i="2"/>
  <c r="M418" i="2" s="1"/>
  <c r="L417" i="2"/>
  <c r="K417" i="2"/>
  <c r="L416" i="2"/>
  <c r="K416" i="2"/>
  <c r="L415" i="2"/>
  <c r="K415" i="2"/>
  <c r="L414" i="2"/>
  <c r="K414" i="2"/>
  <c r="L413" i="2"/>
  <c r="K413" i="2"/>
  <c r="L412" i="2"/>
  <c r="K412" i="2"/>
  <c r="L411" i="2"/>
  <c r="K411" i="2"/>
  <c r="L410" i="2"/>
  <c r="K410" i="2"/>
  <c r="L409" i="2"/>
  <c r="K409" i="2"/>
  <c r="L408" i="2"/>
  <c r="K408" i="2"/>
  <c r="L407" i="2"/>
  <c r="K407" i="2"/>
  <c r="L406" i="2"/>
  <c r="K406" i="2"/>
  <c r="M406" i="2" s="1"/>
  <c r="L405" i="2"/>
  <c r="K405" i="2"/>
  <c r="L404" i="2"/>
  <c r="K404" i="2"/>
  <c r="L403" i="2"/>
  <c r="M403" i="2" s="1"/>
  <c r="K403" i="2"/>
  <c r="L402" i="2"/>
  <c r="K402" i="2"/>
  <c r="L401" i="2"/>
  <c r="K401" i="2"/>
  <c r="L400" i="2"/>
  <c r="K400" i="2"/>
  <c r="L399" i="2"/>
  <c r="M399" i="2" s="1"/>
  <c r="K399" i="2"/>
  <c r="L398" i="2"/>
  <c r="K398" i="2"/>
  <c r="L397" i="2"/>
  <c r="K397" i="2"/>
  <c r="L396" i="2"/>
  <c r="K396" i="2"/>
  <c r="L395" i="2"/>
  <c r="M395" i="2" s="1"/>
  <c r="K395" i="2"/>
  <c r="L394" i="2"/>
  <c r="K394" i="2"/>
  <c r="L393" i="2"/>
  <c r="K393" i="2"/>
  <c r="L392" i="2"/>
  <c r="K392" i="2"/>
  <c r="L391" i="2"/>
  <c r="K391" i="2"/>
  <c r="L390" i="2"/>
  <c r="K390" i="2"/>
  <c r="L389" i="2"/>
  <c r="K389" i="2"/>
  <c r="L388" i="2"/>
  <c r="K388" i="2"/>
  <c r="L387" i="2"/>
  <c r="K387" i="2"/>
  <c r="L386" i="2"/>
  <c r="K386" i="2"/>
  <c r="L385" i="2"/>
  <c r="K385" i="2"/>
  <c r="L384" i="2"/>
  <c r="K384" i="2"/>
  <c r="L383" i="2"/>
  <c r="K383" i="2"/>
  <c r="L382" i="2"/>
  <c r="K382" i="2"/>
  <c r="L381" i="2"/>
  <c r="K381" i="2"/>
  <c r="L380" i="2"/>
  <c r="K380" i="2"/>
  <c r="L379" i="2"/>
  <c r="K379" i="2"/>
  <c r="L378" i="2"/>
  <c r="K378" i="2"/>
  <c r="L377" i="2"/>
  <c r="K377" i="2"/>
  <c r="L376" i="2"/>
  <c r="K376" i="2"/>
  <c r="L375" i="2"/>
  <c r="K375" i="2"/>
  <c r="L374" i="2"/>
  <c r="K374" i="2"/>
  <c r="L373" i="2"/>
  <c r="K373" i="2"/>
  <c r="M373" i="2" s="1"/>
  <c r="L372" i="2"/>
  <c r="K372" i="2"/>
  <c r="L371" i="2"/>
  <c r="K371" i="2"/>
  <c r="L370" i="2"/>
  <c r="K370" i="2"/>
  <c r="L369" i="2"/>
  <c r="K369" i="2"/>
  <c r="L368" i="2"/>
  <c r="K368" i="2"/>
  <c r="L367" i="2"/>
  <c r="K367" i="2"/>
  <c r="L366" i="2"/>
  <c r="M366" i="2" s="1"/>
  <c r="K366" i="2"/>
  <c r="L365" i="2"/>
  <c r="K365" i="2"/>
  <c r="L364" i="2"/>
  <c r="K364" i="2"/>
  <c r="L363" i="2"/>
  <c r="M363" i="2" s="1"/>
  <c r="K363" i="2"/>
  <c r="L362" i="2"/>
  <c r="K362" i="2"/>
  <c r="L361" i="2"/>
  <c r="K361" i="2"/>
  <c r="L360" i="2"/>
  <c r="K360" i="2"/>
  <c r="L359" i="2"/>
  <c r="K359" i="2"/>
  <c r="M359" i="2" s="1"/>
  <c r="L358" i="2"/>
  <c r="K358" i="2"/>
  <c r="M358" i="2" s="1"/>
  <c r="L357" i="2"/>
  <c r="K357" i="2"/>
  <c r="L356" i="2"/>
  <c r="K356" i="2"/>
  <c r="L355" i="2"/>
  <c r="K355" i="2"/>
  <c r="L354" i="2"/>
  <c r="K354" i="2"/>
  <c r="L353" i="2"/>
  <c r="K353" i="2"/>
  <c r="L352" i="2"/>
  <c r="K352" i="2"/>
  <c r="L351" i="2"/>
  <c r="K351" i="2"/>
  <c r="L350" i="2"/>
  <c r="K350" i="2"/>
  <c r="L349" i="2"/>
  <c r="K349" i="2"/>
  <c r="L348" i="2"/>
  <c r="K348" i="2"/>
  <c r="L347" i="2"/>
  <c r="K347" i="2"/>
  <c r="L346" i="2"/>
  <c r="K346" i="2"/>
  <c r="M346" i="2" s="1"/>
  <c r="L345" i="2"/>
  <c r="K345" i="2"/>
  <c r="L344" i="2"/>
  <c r="K344" i="2"/>
  <c r="L343" i="2"/>
  <c r="K343" i="2"/>
  <c r="L342" i="2"/>
  <c r="K342" i="2"/>
  <c r="M342" i="2" s="1"/>
  <c r="L341" i="2"/>
  <c r="K341" i="2"/>
  <c r="L340" i="2"/>
  <c r="K340" i="2"/>
  <c r="L339" i="2"/>
  <c r="K339" i="2"/>
  <c r="L338" i="2"/>
  <c r="K338" i="2"/>
  <c r="M338" i="2" s="1"/>
  <c r="L337" i="2"/>
  <c r="K337" i="2"/>
  <c r="M337" i="2" s="1"/>
  <c r="L336" i="2"/>
  <c r="K336" i="2"/>
  <c r="L335" i="2"/>
  <c r="K335" i="2"/>
  <c r="L334" i="2"/>
  <c r="K334" i="2"/>
  <c r="L333" i="2"/>
  <c r="K333" i="2"/>
  <c r="L332" i="2"/>
  <c r="M332" i="2" s="1"/>
  <c r="K332" i="2"/>
  <c r="L331" i="2"/>
  <c r="M331" i="2" s="1"/>
  <c r="K331" i="2"/>
  <c r="L330" i="2"/>
  <c r="K330" i="2"/>
  <c r="L329" i="2"/>
  <c r="K329" i="2"/>
  <c r="L328" i="2"/>
  <c r="M328" i="2" s="1"/>
  <c r="K328" i="2"/>
  <c r="L327" i="2"/>
  <c r="M327" i="2" s="1"/>
  <c r="K327" i="2"/>
  <c r="L326" i="2"/>
  <c r="K326" i="2"/>
  <c r="L325" i="2"/>
  <c r="K325" i="2"/>
  <c r="L324" i="2"/>
  <c r="K324" i="2"/>
  <c r="L323" i="2"/>
  <c r="M323" i="2" s="1"/>
  <c r="K323" i="2"/>
  <c r="L322" i="2"/>
  <c r="K322" i="2"/>
  <c r="L321" i="2"/>
  <c r="K321" i="2"/>
  <c r="L320" i="2"/>
  <c r="K320" i="2"/>
  <c r="L319" i="2"/>
  <c r="M319" i="2" s="1"/>
  <c r="K319" i="2"/>
  <c r="L318" i="2"/>
  <c r="K318" i="2"/>
  <c r="L317" i="2"/>
  <c r="K317" i="2"/>
  <c r="L316" i="2"/>
  <c r="K316" i="2"/>
  <c r="L315" i="2"/>
  <c r="M315" i="2" s="1"/>
  <c r="K315" i="2"/>
  <c r="L314" i="2"/>
  <c r="K314" i="2"/>
  <c r="L313" i="2"/>
  <c r="K313" i="2"/>
  <c r="L312" i="2"/>
  <c r="K312" i="2"/>
  <c r="L311" i="2"/>
  <c r="M311" i="2" s="1"/>
  <c r="K311" i="2"/>
  <c r="L310" i="2"/>
  <c r="K310" i="2"/>
  <c r="L309" i="2"/>
  <c r="K309" i="2"/>
  <c r="M308" i="2"/>
  <c r="L308" i="2"/>
  <c r="K308" i="2"/>
  <c r="L307" i="2"/>
  <c r="K307" i="2"/>
  <c r="L306" i="2"/>
  <c r="M306" i="2" s="1"/>
  <c r="K306" i="2"/>
  <c r="L305" i="2"/>
  <c r="K305" i="2"/>
  <c r="L304" i="2"/>
  <c r="K304" i="2"/>
  <c r="M304" i="2" s="1"/>
  <c r="L303" i="2"/>
  <c r="K303" i="2"/>
  <c r="M303" i="2" s="1"/>
  <c r="L302" i="2"/>
  <c r="K302" i="2"/>
  <c r="M302" i="2" s="1"/>
  <c r="L301" i="2"/>
  <c r="K301" i="2"/>
  <c r="L300" i="2"/>
  <c r="M300" i="2" s="1"/>
  <c r="K300" i="2"/>
  <c r="L299" i="2"/>
  <c r="K299" i="2"/>
  <c r="L298" i="2"/>
  <c r="K298" i="2"/>
  <c r="L297" i="2"/>
  <c r="K297" i="2"/>
  <c r="L296" i="2"/>
  <c r="K296" i="2"/>
  <c r="L295" i="2"/>
  <c r="K295" i="2"/>
  <c r="L294" i="2"/>
  <c r="M294" i="2" s="1"/>
  <c r="K294" i="2"/>
  <c r="L293" i="2"/>
  <c r="K293" i="2"/>
  <c r="L292" i="2"/>
  <c r="K292" i="2"/>
  <c r="M292" i="2" s="1"/>
  <c r="L291" i="2"/>
  <c r="K291" i="2"/>
  <c r="L290" i="2"/>
  <c r="K290" i="2"/>
  <c r="L289" i="2"/>
  <c r="K289" i="2"/>
  <c r="L288" i="2"/>
  <c r="K288" i="2"/>
  <c r="L287" i="2"/>
  <c r="M287" i="2" s="1"/>
  <c r="K287" i="2"/>
  <c r="L286" i="2"/>
  <c r="K286" i="2"/>
  <c r="L285" i="2"/>
  <c r="K285" i="2"/>
  <c r="L284" i="2"/>
  <c r="K284" i="2"/>
  <c r="L283" i="2"/>
  <c r="M283" i="2" s="1"/>
  <c r="K283" i="2"/>
  <c r="L282" i="2"/>
  <c r="K282" i="2"/>
  <c r="L281" i="2"/>
  <c r="K281" i="2"/>
  <c r="L280" i="2"/>
  <c r="K280" i="2"/>
  <c r="L279" i="2"/>
  <c r="M279" i="2" s="1"/>
  <c r="K279" i="2"/>
  <c r="L278" i="2"/>
  <c r="K278" i="2"/>
  <c r="M278" i="2" s="1"/>
  <c r="L277" i="2"/>
  <c r="K277" i="2"/>
  <c r="L276" i="2"/>
  <c r="K276" i="2"/>
  <c r="M276" i="2" s="1"/>
  <c r="L275" i="2"/>
  <c r="K275" i="2"/>
  <c r="M275" i="2" s="1"/>
  <c r="M274" i="2"/>
  <c r="L274" i="2"/>
  <c r="K274" i="2"/>
  <c r="L273" i="2"/>
  <c r="K273" i="2"/>
  <c r="L272" i="2"/>
  <c r="K272" i="2"/>
  <c r="L271" i="2"/>
  <c r="K271" i="2"/>
  <c r="L270" i="2"/>
  <c r="K270" i="2"/>
  <c r="L269" i="2"/>
  <c r="K269" i="2"/>
  <c r="L268" i="2"/>
  <c r="K268" i="2"/>
  <c r="M268" i="2" s="1"/>
  <c r="L267" i="2"/>
  <c r="M267" i="2" s="1"/>
  <c r="K267" i="2"/>
  <c r="L266" i="2"/>
  <c r="K266" i="2"/>
  <c r="L265" i="2"/>
  <c r="K265" i="2"/>
  <c r="L264" i="2"/>
  <c r="K264" i="2"/>
  <c r="L263" i="2"/>
  <c r="K263" i="2"/>
  <c r="L262" i="2"/>
  <c r="K262" i="2"/>
  <c r="L261" i="2"/>
  <c r="K261" i="2"/>
  <c r="L260" i="2"/>
  <c r="K260" i="2"/>
  <c r="L259" i="2"/>
  <c r="M259" i="2" s="1"/>
  <c r="K259" i="2"/>
  <c r="L258" i="2"/>
  <c r="K258" i="2"/>
  <c r="L257" i="2"/>
  <c r="K257" i="2"/>
  <c r="L256" i="2"/>
  <c r="K256" i="2"/>
  <c r="L255" i="2"/>
  <c r="M255" i="2" s="1"/>
  <c r="K255" i="2"/>
  <c r="L254" i="2"/>
  <c r="K254" i="2"/>
  <c r="L253" i="2"/>
  <c r="K253" i="2"/>
  <c r="L252" i="2"/>
  <c r="K252" i="2"/>
  <c r="L251" i="2"/>
  <c r="K251" i="2"/>
  <c r="L250" i="2"/>
  <c r="M250" i="2" s="1"/>
  <c r="K250" i="2"/>
  <c r="L249" i="2"/>
  <c r="K249" i="2"/>
  <c r="L248" i="2"/>
  <c r="K248" i="2"/>
  <c r="M248" i="2" s="1"/>
  <c r="L247" i="2"/>
  <c r="K247" i="2"/>
  <c r="L246" i="2"/>
  <c r="K246" i="2"/>
  <c r="L245" i="2"/>
  <c r="K245" i="2"/>
  <c r="L244" i="2"/>
  <c r="K244" i="2"/>
  <c r="L243" i="2"/>
  <c r="K243" i="2"/>
  <c r="L242" i="2"/>
  <c r="K242" i="2"/>
  <c r="L241" i="2"/>
  <c r="K241" i="2"/>
  <c r="L240" i="2"/>
  <c r="K240" i="2"/>
  <c r="L239" i="2"/>
  <c r="M239" i="2" s="1"/>
  <c r="K239" i="2"/>
  <c r="L238" i="2"/>
  <c r="K238" i="2"/>
  <c r="L237" i="2"/>
  <c r="K237" i="2"/>
  <c r="L236" i="2"/>
  <c r="K236" i="2"/>
  <c r="L235" i="2"/>
  <c r="M235" i="2" s="1"/>
  <c r="K235" i="2"/>
  <c r="L234" i="2"/>
  <c r="K234" i="2"/>
  <c r="L233" i="2"/>
  <c r="K233" i="2"/>
  <c r="L232" i="2"/>
  <c r="K232" i="2"/>
  <c r="L231" i="2"/>
  <c r="M231" i="2" s="1"/>
  <c r="K231" i="2"/>
  <c r="L230" i="2"/>
  <c r="K230" i="2"/>
  <c r="L229" i="2"/>
  <c r="K229" i="2"/>
  <c r="L228" i="2"/>
  <c r="K228" i="2"/>
  <c r="L227" i="2"/>
  <c r="K227" i="2"/>
  <c r="L226" i="2"/>
  <c r="M226" i="2" s="1"/>
  <c r="K226" i="2"/>
  <c r="L225" i="2"/>
  <c r="K225" i="2"/>
  <c r="M225" i="2" s="1"/>
  <c r="L224" i="2"/>
  <c r="K224" i="2"/>
  <c r="L223" i="2"/>
  <c r="K223" i="2"/>
  <c r="M222" i="2"/>
  <c r="L222" i="2"/>
  <c r="K222" i="2"/>
  <c r="L221" i="2"/>
  <c r="K221" i="2"/>
  <c r="L220" i="2"/>
  <c r="K220" i="2"/>
  <c r="L219" i="2"/>
  <c r="K219" i="2"/>
  <c r="L218" i="2"/>
  <c r="K218" i="2"/>
  <c r="L217" i="2"/>
  <c r="K217" i="2"/>
  <c r="L216" i="2"/>
  <c r="K216" i="2"/>
  <c r="L215" i="2"/>
  <c r="K215" i="2"/>
  <c r="L214" i="2"/>
  <c r="K214" i="2"/>
  <c r="L213" i="2"/>
  <c r="K213" i="2"/>
  <c r="L212" i="2"/>
  <c r="K212" i="2"/>
  <c r="L211" i="2"/>
  <c r="K211" i="2"/>
  <c r="L210" i="2"/>
  <c r="K210" i="2"/>
  <c r="L209" i="2"/>
  <c r="M209" i="2" s="1"/>
  <c r="K209" i="2"/>
  <c r="L208" i="2"/>
  <c r="K208" i="2"/>
  <c r="M208" i="2" s="1"/>
  <c r="L207" i="2"/>
  <c r="K207" i="2"/>
  <c r="L206" i="2"/>
  <c r="K206" i="2"/>
  <c r="L205" i="2"/>
  <c r="K205" i="2"/>
  <c r="M205" i="2" s="1"/>
  <c r="L204" i="2"/>
  <c r="M204" i="2" s="1"/>
  <c r="K204" i="2"/>
  <c r="L203" i="2"/>
  <c r="K203" i="2"/>
  <c r="L202" i="2"/>
  <c r="K202" i="2"/>
  <c r="L201" i="2"/>
  <c r="K201" i="2"/>
  <c r="L200" i="2"/>
  <c r="K200" i="2"/>
  <c r="L199" i="2"/>
  <c r="K199" i="2"/>
  <c r="L198" i="2"/>
  <c r="M198" i="2" s="1"/>
  <c r="K198" i="2"/>
  <c r="L197" i="2"/>
  <c r="K197" i="2"/>
  <c r="L196" i="2"/>
  <c r="K196" i="2"/>
  <c r="L195" i="2"/>
  <c r="K195" i="2"/>
  <c r="L194" i="2"/>
  <c r="K194" i="2"/>
  <c r="L193" i="2"/>
  <c r="K193" i="2"/>
  <c r="L192" i="2"/>
  <c r="K192" i="2"/>
  <c r="L191" i="2"/>
  <c r="K191" i="2"/>
  <c r="L190" i="2"/>
  <c r="M190" i="2" s="1"/>
  <c r="K190" i="2"/>
  <c r="L189" i="2"/>
  <c r="K189" i="2"/>
  <c r="L188" i="2"/>
  <c r="K188" i="2"/>
  <c r="L187" i="2"/>
  <c r="K187" i="2"/>
  <c r="L186" i="2"/>
  <c r="M186" i="2" s="1"/>
  <c r="K186" i="2"/>
  <c r="L185" i="2"/>
  <c r="K185" i="2"/>
  <c r="L184" i="2"/>
  <c r="K184" i="2"/>
  <c r="L183" i="2"/>
  <c r="K183" i="2"/>
  <c r="L182" i="2"/>
  <c r="K182" i="2"/>
  <c r="L181" i="2"/>
  <c r="K181" i="2"/>
  <c r="L180" i="2"/>
  <c r="K180" i="2"/>
  <c r="L179" i="2"/>
  <c r="K179" i="2"/>
  <c r="L178" i="2"/>
  <c r="K178" i="2"/>
  <c r="L177" i="2"/>
  <c r="K177" i="2"/>
  <c r="L176" i="2"/>
  <c r="K176" i="2"/>
  <c r="L175" i="2"/>
  <c r="K175" i="2"/>
  <c r="L174" i="2"/>
  <c r="K174" i="2"/>
  <c r="L173" i="2"/>
  <c r="K173" i="2"/>
  <c r="L172" i="2"/>
  <c r="K172" i="2"/>
  <c r="L171" i="2"/>
  <c r="K171" i="2"/>
  <c r="L170" i="2"/>
  <c r="K170" i="2"/>
  <c r="L169" i="2"/>
  <c r="K169" i="2"/>
  <c r="L168" i="2"/>
  <c r="K168" i="2"/>
  <c r="L167" i="2"/>
  <c r="M167" i="2" s="1"/>
  <c r="K167" i="2"/>
  <c r="L166" i="2"/>
  <c r="K166" i="2"/>
  <c r="L165" i="2"/>
  <c r="K165" i="2"/>
  <c r="L164" i="2"/>
  <c r="K164" i="2"/>
  <c r="L163" i="2"/>
  <c r="K163" i="2"/>
  <c r="L162" i="2"/>
  <c r="K162" i="2"/>
  <c r="M162" i="2" s="1"/>
  <c r="L161" i="2"/>
  <c r="K161" i="2"/>
  <c r="L160" i="2"/>
  <c r="K160" i="2"/>
  <c r="L159" i="2"/>
  <c r="K159" i="2"/>
  <c r="L158" i="2"/>
  <c r="K158" i="2"/>
  <c r="L157" i="2"/>
  <c r="M157" i="2" s="1"/>
  <c r="K157" i="2"/>
  <c r="L156" i="2"/>
  <c r="K156" i="2"/>
  <c r="L155" i="2"/>
  <c r="K155" i="2"/>
  <c r="L154" i="2"/>
  <c r="K154" i="2"/>
  <c r="L153" i="2"/>
  <c r="M153" i="2" s="1"/>
  <c r="K153" i="2"/>
  <c r="L152" i="2"/>
  <c r="K152" i="2"/>
  <c r="M152" i="2" s="1"/>
  <c r="L151" i="2"/>
  <c r="K151" i="2"/>
  <c r="M151" i="2" s="1"/>
  <c r="L150" i="2"/>
  <c r="K150" i="2"/>
  <c r="L149" i="2"/>
  <c r="K149" i="2"/>
  <c r="L148" i="2"/>
  <c r="M148" i="2" s="1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M141" i="2" s="1"/>
  <c r="K141" i="2"/>
  <c r="L140" i="2"/>
  <c r="K140" i="2"/>
  <c r="L139" i="2"/>
  <c r="M139" i="2" s="1"/>
  <c r="K139" i="2"/>
  <c r="L138" i="2"/>
  <c r="K138" i="2"/>
  <c r="L137" i="2"/>
  <c r="M137" i="2" s="1"/>
  <c r="K137" i="2"/>
  <c r="L136" i="2"/>
  <c r="K136" i="2"/>
  <c r="L135" i="2"/>
  <c r="K135" i="2"/>
  <c r="L134" i="2"/>
  <c r="K134" i="2"/>
  <c r="M134" i="2" s="1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M127" i="2" s="1"/>
  <c r="K127" i="2"/>
  <c r="L126" i="2"/>
  <c r="K126" i="2"/>
  <c r="L125" i="2"/>
  <c r="K125" i="2"/>
  <c r="L124" i="2"/>
  <c r="M124" i="2" s="1"/>
  <c r="K124" i="2"/>
  <c r="L123" i="2"/>
  <c r="K123" i="2"/>
  <c r="L122" i="2"/>
  <c r="M122" i="2" s="1"/>
  <c r="K122" i="2"/>
  <c r="L121" i="2"/>
  <c r="K121" i="2"/>
  <c r="M121" i="2" s="1"/>
  <c r="L120" i="2"/>
  <c r="K120" i="2"/>
  <c r="L119" i="2"/>
  <c r="K119" i="2"/>
  <c r="L118" i="2"/>
  <c r="M118" i="2" s="1"/>
  <c r="K118" i="2"/>
  <c r="L117" i="2"/>
  <c r="K117" i="2"/>
  <c r="L116" i="2"/>
  <c r="K116" i="2"/>
  <c r="L115" i="2"/>
  <c r="K115" i="2"/>
  <c r="L114" i="2"/>
  <c r="K114" i="2"/>
  <c r="L113" i="2"/>
  <c r="K113" i="2"/>
  <c r="L112" i="2"/>
  <c r="K112" i="2"/>
  <c r="L111" i="2"/>
  <c r="K111" i="2"/>
  <c r="L110" i="2"/>
  <c r="K110" i="2"/>
  <c r="L109" i="2"/>
  <c r="K109" i="2"/>
  <c r="L108" i="2"/>
  <c r="K108" i="2"/>
  <c r="L107" i="2"/>
  <c r="K107" i="2"/>
  <c r="L106" i="2"/>
  <c r="K106" i="2"/>
  <c r="L105" i="2"/>
  <c r="K105" i="2"/>
  <c r="L104" i="2"/>
  <c r="K104" i="2"/>
  <c r="L103" i="2"/>
  <c r="K103" i="2"/>
  <c r="L102" i="2"/>
  <c r="K102" i="2"/>
  <c r="L101" i="2"/>
  <c r="K101" i="2"/>
  <c r="L100" i="2"/>
  <c r="K100" i="2"/>
  <c r="L99" i="2"/>
  <c r="K99" i="2"/>
  <c r="L98" i="2"/>
  <c r="K98" i="2"/>
  <c r="L97" i="2"/>
  <c r="K97" i="2"/>
  <c r="L96" i="2"/>
  <c r="K96" i="2"/>
  <c r="L95" i="2"/>
  <c r="K95" i="2"/>
  <c r="L94" i="2"/>
  <c r="K94" i="2"/>
  <c r="L93" i="2"/>
  <c r="K93" i="2"/>
  <c r="L92" i="2"/>
  <c r="K92" i="2"/>
  <c r="M92" i="2" s="1"/>
  <c r="L91" i="2"/>
  <c r="K91" i="2"/>
  <c r="L90" i="2"/>
  <c r="K90" i="2"/>
  <c r="L89" i="2"/>
  <c r="K89" i="2"/>
  <c r="L88" i="2"/>
  <c r="K88" i="2"/>
  <c r="L87" i="2"/>
  <c r="K87" i="2"/>
  <c r="L86" i="2"/>
  <c r="M86" i="2" s="1"/>
  <c r="K86" i="2"/>
  <c r="L85" i="2"/>
  <c r="M85" i="2" s="1"/>
  <c r="K85" i="2"/>
  <c r="L84" i="2"/>
  <c r="K84" i="2"/>
  <c r="L83" i="2"/>
  <c r="K83" i="2"/>
  <c r="L82" i="2"/>
  <c r="K82" i="2"/>
  <c r="L81" i="2"/>
  <c r="K81" i="2"/>
  <c r="L80" i="2"/>
  <c r="K80" i="2"/>
  <c r="L79" i="2"/>
  <c r="K79" i="2"/>
  <c r="M79" i="2" s="1"/>
  <c r="L78" i="2"/>
  <c r="M78" i="2" s="1"/>
  <c r="K78" i="2"/>
  <c r="L77" i="2"/>
  <c r="K77" i="2"/>
  <c r="L76" i="2"/>
  <c r="K76" i="2"/>
  <c r="L75" i="2"/>
  <c r="K75" i="2"/>
  <c r="L74" i="2"/>
  <c r="K74" i="2"/>
  <c r="L73" i="2"/>
  <c r="K73" i="2"/>
  <c r="L72" i="2"/>
  <c r="M72" i="2" s="1"/>
  <c r="K72" i="2"/>
  <c r="L71" i="2"/>
  <c r="K71" i="2"/>
  <c r="L70" i="2"/>
  <c r="K70" i="2"/>
  <c r="L69" i="2"/>
  <c r="K69" i="2"/>
  <c r="L68" i="2"/>
  <c r="K68" i="2"/>
  <c r="L67" i="2"/>
  <c r="K67" i="2"/>
  <c r="M67" i="2" s="1"/>
  <c r="L66" i="2"/>
  <c r="K66" i="2"/>
  <c r="L65" i="2"/>
  <c r="M65" i="2" s="1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M53" i="2" s="1"/>
  <c r="K53" i="2"/>
  <c r="L52" i="2"/>
  <c r="K52" i="2"/>
  <c r="L51" i="2"/>
  <c r="K51" i="2"/>
  <c r="L50" i="2"/>
  <c r="K50" i="2"/>
  <c r="L49" i="2"/>
  <c r="K49" i="2"/>
  <c r="L48" i="2"/>
  <c r="M48" i="2" s="1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M38" i="2" s="1"/>
  <c r="K38" i="2"/>
  <c r="L37" i="2"/>
  <c r="K37" i="2"/>
  <c r="M37" i="2" s="1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M27" i="2" s="1"/>
  <c r="K27" i="2"/>
  <c r="L26" i="2"/>
  <c r="K26" i="2"/>
  <c r="L25" i="2"/>
  <c r="K25" i="2"/>
  <c r="L24" i="2"/>
  <c r="K24" i="2"/>
  <c r="L23" i="2"/>
  <c r="K23" i="2"/>
  <c r="L22" i="2"/>
  <c r="K22" i="2"/>
  <c r="M22" i="2" s="1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M15" i="2" s="1"/>
  <c r="K15" i="2"/>
  <c r="L14" i="2"/>
  <c r="K14" i="2"/>
  <c r="L13" i="2"/>
  <c r="M13" i="2" s="1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M6" i="2" s="1"/>
  <c r="K6" i="2"/>
  <c r="L5" i="2"/>
  <c r="K5" i="2"/>
  <c r="L4" i="2"/>
  <c r="K4" i="2"/>
  <c r="L3" i="2"/>
  <c r="K3" i="2"/>
  <c r="L2" i="2"/>
  <c r="M2" i="2" s="1"/>
  <c r="K2" i="2"/>
  <c r="M181" i="2" l="1"/>
  <c r="M305" i="2"/>
  <c r="M89" i="2"/>
  <c r="M97" i="2"/>
  <c r="M109" i="2"/>
  <c r="M125" i="2"/>
  <c r="M335" i="2"/>
  <c r="M339" i="2"/>
  <c r="M343" i="2"/>
  <c r="M370" i="2"/>
  <c r="M378" i="2"/>
  <c r="M394" i="2"/>
  <c r="M410" i="2"/>
  <c r="M441" i="2"/>
  <c r="M445" i="2"/>
  <c r="M449" i="2"/>
  <c r="M70" i="2"/>
  <c r="M98" i="2"/>
  <c r="M176" i="2"/>
  <c r="M196" i="2"/>
  <c r="M211" i="2"/>
  <c r="M215" i="2"/>
  <c r="M223" i="2"/>
  <c r="M281" i="2"/>
  <c r="M293" i="2"/>
  <c r="M344" i="2"/>
  <c r="M348" i="2"/>
  <c r="M43" i="2"/>
  <c r="M177" i="2"/>
  <c r="M454" i="2"/>
  <c r="M9" i="2"/>
  <c r="M24" i="2"/>
  <c r="M83" i="2"/>
  <c r="M87" i="2"/>
  <c r="M91" i="2"/>
  <c r="M99" i="2"/>
  <c r="M111" i="2"/>
  <c r="M150" i="2"/>
  <c r="M182" i="2"/>
  <c r="M224" i="2"/>
  <c r="M252" i="2"/>
  <c r="M256" i="2"/>
  <c r="M309" i="2"/>
  <c r="M341" i="2"/>
  <c r="M349" i="2"/>
  <c r="M353" i="2"/>
  <c r="M357" i="2"/>
  <c r="M372" i="2"/>
  <c r="M380" i="2"/>
  <c r="M392" i="2"/>
  <c r="M412" i="2"/>
  <c r="M439" i="2"/>
  <c r="M447" i="2"/>
  <c r="M455" i="2"/>
  <c r="M169" i="2"/>
  <c r="M435" i="2"/>
  <c r="M17" i="2"/>
  <c r="M21" i="2"/>
  <c r="M41" i="2"/>
  <c r="M112" i="2"/>
  <c r="M155" i="2"/>
  <c r="M163" i="2"/>
  <c r="M241" i="2"/>
  <c r="M245" i="2"/>
  <c r="M253" i="2"/>
  <c r="M322" i="2"/>
  <c r="M326" i="2"/>
  <c r="M377" i="2"/>
  <c r="M381" i="2"/>
  <c r="M385" i="2"/>
  <c r="M417" i="2"/>
  <c r="M433" i="2"/>
  <c r="M12" i="2"/>
  <c r="M290" i="2"/>
  <c r="M498" i="2"/>
  <c r="M132" i="2"/>
  <c r="M160" i="2"/>
  <c r="M171" i="2"/>
  <c r="M175" i="2"/>
  <c r="M214" i="2"/>
  <c r="M234" i="2"/>
  <c r="M254" i="2"/>
  <c r="M262" i="2"/>
  <c r="M280" i="2"/>
  <c r="M29" i="2"/>
  <c r="M44" i="2"/>
  <c r="M113" i="2"/>
  <c r="M143" i="2"/>
  <c r="M189" i="2"/>
  <c r="M197" i="2"/>
  <c r="M238" i="2"/>
  <c r="M367" i="2"/>
  <c r="M421" i="2"/>
  <c r="M23" i="2"/>
  <c r="M26" i="2"/>
  <c r="M34" i="2"/>
  <c r="M52" i="2"/>
  <c r="M56" i="2"/>
  <c r="M64" i="2"/>
  <c r="M110" i="2"/>
  <c r="M136" i="2"/>
  <c r="M140" i="2"/>
  <c r="M170" i="2"/>
  <c r="M194" i="2"/>
  <c r="M216" i="2"/>
  <c r="M258" i="2"/>
  <c r="M266" i="2"/>
  <c r="M364" i="2"/>
  <c r="M379" i="2"/>
  <c r="M391" i="2"/>
  <c r="M459" i="2"/>
  <c r="M463" i="2"/>
  <c r="M478" i="2"/>
  <c r="M486" i="2"/>
  <c r="M193" i="2"/>
  <c r="M230" i="2"/>
  <c r="M356" i="2"/>
  <c r="M371" i="2"/>
  <c r="M425" i="2"/>
  <c r="M107" i="2"/>
  <c r="M251" i="2"/>
  <c r="M310" i="2"/>
  <c r="M318" i="2"/>
  <c r="M407" i="2"/>
  <c r="M411" i="2"/>
  <c r="M242" i="2"/>
  <c r="M246" i="2"/>
  <c r="M20" i="2"/>
  <c r="M31" i="2"/>
  <c r="M35" i="2"/>
  <c r="M42" i="2"/>
  <c r="M69" i="2"/>
  <c r="M84" i="2"/>
  <c r="M126" i="2"/>
  <c r="M130" i="2"/>
  <c r="M145" i="2"/>
  <c r="M149" i="2"/>
  <c r="M164" i="2"/>
  <c r="M168" i="2"/>
  <c r="M183" i="2"/>
  <c r="M195" i="2"/>
  <c r="M206" i="2"/>
  <c r="M210" i="2"/>
  <c r="M232" i="2"/>
  <c r="M240" i="2"/>
  <c r="M260" i="2"/>
  <c r="M282" i="2"/>
  <c r="M350" i="2"/>
  <c r="M400" i="2"/>
  <c r="M419" i="2"/>
  <c r="M423" i="2"/>
  <c r="M431" i="2"/>
  <c r="M446" i="2"/>
  <c r="M495" i="2"/>
  <c r="M36" i="2"/>
  <c r="M39" i="2"/>
  <c r="M50" i="2"/>
  <c r="M58" i="2"/>
  <c r="M66" i="2"/>
  <c r="M73" i="2"/>
  <c r="M96" i="2"/>
  <c r="M100" i="2"/>
  <c r="M104" i="2"/>
  <c r="M146" i="2"/>
  <c r="M184" i="2"/>
  <c r="M192" i="2"/>
  <c r="M351" i="2"/>
  <c r="M416" i="2"/>
  <c r="M420" i="2"/>
  <c r="M424" i="2"/>
  <c r="M469" i="2"/>
  <c r="M480" i="2"/>
  <c r="M492" i="2"/>
  <c r="M185" i="2"/>
  <c r="M40" i="2"/>
  <c r="M316" i="2"/>
  <c r="M320" i="2"/>
  <c r="M386" i="2"/>
  <c r="M462" i="2"/>
  <c r="M473" i="2"/>
  <c r="M80" i="2"/>
  <c r="M95" i="2"/>
  <c r="M101" i="2"/>
  <c r="M105" i="2"/>
  <c r="M115" i="2"/>
  <c r="M119" i="2"/>
  <c r="M123" i="2"/>
  <c r="M129" i="2"/>
  <c r="M142" i="2"/>
  <c r="M156" i="2"/>
  <c r="M180" i="2"/>
  <c r="M212" i="2"/>
  <c r="M220" i="2"/>
  <c r="M229" i="2"/>
  <c r="M236" i="2"/>
  <c r="M264" i="2"/>
  <c r="M271" i="2"/>
  <c r="M289" i="2"/>
  <c r="M295" i="2"/>
  <c r="M299" i="2"/>
  <c r="M324" i="2"/>
  <c r="M360" i="2"/>
  <c r="M374" i="2"/>
  <c r="M384" i="2"/>
  <c r="M388" i="2"/>
  <c r="M413" i="2"/>
  <c r="M438" i="2"/>
  <c r="M442" i="2"/>
  <c r="M453" i="2"/>
  <c r="M464" i="2"/>
  <c r="M468" i="2"/>
  <c r="M475" i="2"/>
  <c r="M479" i="2"/>
  <c r="M491" i="2"/>
  <c r="M497" i="2"/>
  <c r="M25" i="2"/>
  <c r="M28" i="2"/>
  <c r="M32" i="2"/>
  <c r="M45" i="2"/>
  <c r="M55" i="2"/>
  <c r="M59" i="2"/>
  <c r="M8" i="2"/>
  <c r="M49" i="2"/>
  <c r="M106" i="2"/>
  <c r="M120" i="2"/>
  <c r="M191" i="2"/>
  <c r="M202" i="2"/>
  <c r="M233" i="2"/>
  <c r="M247" i="2"/>
  <c r="M261" i="2"/>
  <c r="M272" i="2"/>
  <c r="M296" i="2"/>
  <c r="M317" i="2"/>
  <c r="M461" i="2"/>
  <c r="M465" i="2"/>
  <c r="M476" i="2"/>
  <c r="M494" i="2"/>
  <c r="M3" i="2"/>
  <c r="M11" i="2"/>
  <c r="M81" i="2"/>
  <c r="M147" i="2"/>
  <c r="M174" i="2"/>
  <c r="M188" i="2"/>
  <c r="M213" i="2"/>
  <c r="M217" i="2"/>
  <c r="M221" i="2"/>
  <c r="M237" i="2"/>
  <c r="M265" i="2"/>
  <c r="M286" i="2"/>
  <c r="M321" i="2"/>
  <c r="M325" i="2"/>
  <c r="M329" i="2"/>
  <c r="M336" i="2"/>
  <c r="M389" i="2"/>
  <c r="M396" i="2"/>
  <c r="M414" i="2"/>
  <c r="M436" i="2"/>
  <c r="M458" i="2"/>
  <c r="M488" i="2"/>
  <c r="M14" i="2"/>
  <c r="M88" i="2"/>
  <c r="M16" i="2"/>
  <c r="M47" i="2"/>
  <c r="M57" i="2"/>
  <c r="M68" i="2"/>
  <c r="M71" i="2"/>
  <c r="M82" i="2"/>
  <c r="M93" i="2"/>
  <c r="M135" i="2"/>
  <c r="M138" i="2"/>
  <c r="M154" i="2"/>
  <c r="M158" i="2"/>
  <c r="M165" i="2"/>
  <c r="M178" i="2"/>
  <c r="M199" i="2"/>
  <c r="M203" i="2"/>
  <c r="M218" i="2"/>
  <c r="M227" i="2"/>
  <c r="M269" i="2"/>
  <c r="M273" i="2"/>
  <c r="M297" i="2"/>
  <c r="M301" i="2"/>
  <c r="M307" i="2"/>
  <c r="M314" i="2"/>
  <c r="M330" i="2"/>
  <c r="M340" i="2"/>
  <c r="M362" i="2"/>
  <c r="M365" i="2"/>
  <c r="M376" i="2"/>
  <c r="M390" i="2"/>
  <c r="M393" i="2"/>
  <c r="M404" i="2"/>
  <c r="M426" i="2"/>
  <c r="M429" i="2"/>
  <c r="M444" i="2"/>
  <c r="M466" i="2"/>
  <c r="M477" i="2"/>
  <c r="M10" i="2"/>
  <c r="M51" i="2"/>
  <c r="M54" i="2"/>
  <c r="M62" i="2"/>
  <c r="M114" i="2"/>
  <c r="M345" i="2"/>
  <c r="M405" i="2"/>
  <c r="M430" i="2"/>
  <c r="M452" i="2"/>
  <c r="M474" i="2"/>
  <c r="M489" i="2"/>
  <c r="M7" i="2"/>
  <c r="M76" i="2"/>
  <c r="M90" i="2"/>
  <c r="M94" i="2"/>
  <c r="M108" i="2"/>
  <c r="M166" i="2"/>
  <c r="M219" i="2"/>
  <c r="M288" i="2"/>
  <c r="M334" i="2"/>
  <c r="M352" i="2"/>
  <c r="M387" i="2"/>
  <c r="M409" i="2"/>
  <c r="M456" i="2"/>
  <c r="M490" i="2"/>
  <c r="M500" i="2"/>
  <c r="BH38" i="4"/>
  <c r="BI38" i="4" s="1"/>
  <c r="BH25" i="4"/>
  <c r="BI25" i="4" s="1"/>
  <c r="BH28" i="4"/>
  <c r="BI28" i="4" s="1"/>
  <c r="BG161" i="4"/>
  <c r="AE161" i="4"/>
  <c r="AA161" i="4"/>
  <c r="BC161" i="4"/>
  <c r="AY161" i="4"/>
  <c r="S161" i="4"/>
  <c r="AQ161" i="4"/>
  <c r="AI161" i="4"/>
  <c r="W161" i="4"/>
  <c r="O161" i="4"/>
  <c r="AU161" i="4"/>
  <c r="AM161" i="4"/>
  <c r="M117" i="2"/>
  <c r="M128" i="2"/>
  <c r="M179" i="2"/>
  <c r="M243" i="2"/>
  <c r="M249" i="2"/>
  <c r="M285" i="2"/>
  <c r="M291" i="2"/>
  <c r="M397" i="2"/>
  <c r="AQ57" i="4"/>
  <c r="AQ63" i="4"/>
  <c r="O63" i="4"/>
  <c r="AY63" i="4"/>
  <c r="W63" i="4"/>
  <c r="AE63" i="4"/>
  <c r="BG63" i="4"/>
  <c r="AA63" i="4"/>
  <c r="AM63" i="4"/>
  <c r="AI63" i="4"/>
  <c r="BC63" i="4"/>
  <c r="AM65" i="4"/>
  <c r="AI233" i="4"/>
  <c r="AQ233" i="4"/>
  <c r="O233" i="4"/>
  <c r="AU233" i="4"/>
  <c r="AM233" i="4"/>
  <c r="BC233" i="4"/>
  <c r="W233" i="4"/>
  <c r="AE233" i="4"/>
  <c r="AA233" i="4"/>
  <c r="S233" i="4"/>
  <c r="BG233" i="4"/>
  <c r="AY233" i="4"/>
  <c r="BG352" i="4"/>
  <c r="AE352" i="4"/>
  <c r="AU352" i="4"/>
  <c r="S352" i="4"/>
  <c r="BC352" i="4"/>
  <c r="W352" i="4"/>
  <c r="O352" i="4"/>
  <c r="BH352" i="4" s="1"/>
  <c r="BI352" i="4" s="1"/>
  <c r="AI352" i="4"/>
  <c r="AA352" i="4"/>
  <c r="AQ352" i="4"/>
  <c r="AY352" i="4"/>
  <c r="AM352" i="4"/>
  <c r="AY426" i="4"/>
  <c r="W426" i="4"/>
  <c r="AE426" i="4"/>
  <c r="BG426" i="4"/>
  <c r="O426" i="4"/>
  <c r="AM426" i="4"/>
  <c r="AI426" i="4"/>
  <c r="AQ426" i="4"/>
  <c r="AA426" i="4"/>
  <c r="BC426" i="4"/>
  <c r="S426" i="4"/>
  <c r="AU426" i="4"/>
  <c r="AY445" i="4"/>
  <c r="W445" i="4"/>
  <c r="O445" i="4"/>
  <c r="AQ445" i="4"/>
  <c r="AE445" i="4"/>
  <c r="BC445" i="4"/>
  <c r="AA445" i="4"/>
  <c r="S445" i="4"/>
  <c r="AI445" i="4"/>
  <c r="BG445" i="4"/>
  <c r="AM445" i="4"/>
  <c r="AU445" i="4"/>
  <c r="M19" i="2"/>
  <c r="M30" i="2"/>
  <c r="M451" i="2"/>
  <c r="M482" i="2"/>
  <c r="AM9" i="4"/>
  <c r="AU32" i="4"/>
  <c r="S32" i="4"/>
  <c r="BG32" i="4"/>
  <c r="BC32" i="4"/>
  <c r="O32" i="4"/>
  <c r="AM32" i="4"/>
  <c r="AA32" i="4"/>
  <c r="W32" i="4"/>
  <c r="AY32" i="4"/>
  <c r="AI32" i="4"/>
  <c r="AE32" i="4"/>
  <c r="BG37" i="4"/>
  <c r="AE37" i="4"/>
  <c r="AY37" i="4"/>
  <c r="S37" i="4"/>
  <c r="AU37" i="4"/>
  <c r="O37" i="4"/>
  <c r="AQ37" i="4"/>
  <c r="AA37" i="4"/>
  <c r="BC37" i="4"/>
  <c r="W37" i="4"/>
  <c r="AI40" i="4"/>
  <c r="AM40" i="4"/>
  <c r="BG40" i="4"/>
  <c r="AY40" i="4"/>
  <c r="O40" i="4"/>
  <c r="W40" i="4"/>
  <c r="S40" i="4"/>
  <c r="BC40" i="4"/>
  <c r="AU40" i="4"/>
  <c r="AE40" i="4"/>
  <c r="AA40" i="4"/>
  <c r="AQ47" i="4"/>
  <c r="O47" i="4"/>
  <c r="BH47" i="4" s="1"/>
  <c r="BI47" i="4" s="1"/>
  <c r="AA47" i="4"/>
  <c r="W47" i="4"/>
  <c r="BC47" i="4"/>
  <c r="AY47" i="4"/>
  <c r="S47" i="4"/>
  <c r="AI47" i="4"/>
  <c r="AE47" i="4"/>
  <c r="BG47" i="4"/>
  <c r="BH70" i="4"/>
  <c r="BI70" i="4" s="1"/>
  <c r="BH109" i="4"/>
  <c r="BI109" i="4" s="1"/>
  <c r="AU113" i="4"/>
  <c r="S113" i="4"/>
  <c r="BC113" i="4"/>
  <c r="AA113" i="4"/>
  <c r="BG113" i="4"/>
  <c r="W113" i="4"/>
  <c r="AY113" i="4"/>
  <c r="O113" i="4"/>
  <c r="AI113" i="4"/>
  <c r="AE113" i="4"/>
  <c r="AY202" i="4"/>
  <c r="W202" i="4"/>
  <c r="AI202" i="4"/>
  <c r="AE202" i="4"/>
  <c r="BG202" i="4"/>
  <c r="AA202" i="4"/>
  <c r="BC202" i="4"/>
  <c r="S202" i="4"/>
  <c r="AM202" i="4"/>
  <c r="O202" i="4"/>
  <c r="AU202" i="4"/>
  <c r="AQ202" i="4"/>
  <c r="M244" i="2"/>
  <c r="M398" i="2"/>
  <c r="M440" i="2"/>
  <c r="BH14" i="4"/>
  <c r="BI14" i="4" s="1"/>
  <c r="BC134" i="4"/>
  <c r="AA134" i="4"/>
  <c r="AE134" i="4"/>
  <c r="BG134" i="4"/>
  <c r="AY134" i="4"/>
  <c r="AQ134" i="4"/>
  <c r="AI134" i="4"/>
  <c r="W134" i="4"/>
  <c r="S134" i="4"/>
  <c r="O134" i="4"/>
  <c r="AM134" i="4"/>
  <c r="BH234" i="4"/>
  <c r="BI234" i="4" s="1"/>
  <c r="BC257" i="4"/>
  <c r="AA257" i="4"/>
  <c r="AI257" i="4"/>
  <c r="AY257" i="4"/>
  <c r="S257" i="4"/>
  <c r="BG257" i="4"/>
  <c r="AE257" i="4"/>
  <c r="W257" i="4"/>
  <c r="AU257" i="4"/>
  <c r="AM257" i="4"/>
  <c r="AQ257" i="4"/>
  <c r="O257" i="4"/>
  <c r="BC434" i="4"/>
  <c r="AA434" i="4"/>
  <c r="AQ434" i="4"/>
  <c r="O434" i="4"/>
  <c r="AE434" i="4"/>
  <c r="S434" i="4"/>
  <c r="AM434" i="4"/>
  <c r="W434" i="4"/>
  <c r="BG434" i="4"/>
  <c r="AY434" i="4"/>
  <c r="AI434" i="4"/>
  <c r="AU434" i="4"/>
  <c r="M60" i="2"/>
  <c r="M77" i="2"/>
  <c r="M333" i="2"/>
  <c r="M484" i="2"/>
  <c r="AU4" i="4"/>
  <c r="S4" i="4"/>
  <c r="BG4" i="4"/>
  <c r="BC4" i="4"/>
  <c r="O4" i="4"/>
  <c r="BH4" i="4" s="1"/>
  <c r="BI4" i="4" s="1"/>
  <c r="AM4" i="4"/>
  <c r="AA4" i="4"/>
  <c r="AY4" i="4"/>
  <c r="AI4" i="4"/>
  <c r="AE4" i="4"/>
  <c r="BC29" i="4"/>
  <c r="AA29" i="4"/>
  <c r="AY29" i="4"/>
  <c r="AU29" i="4"/>
  <c r="S29" i="4"/>
  <c r="O29" i="4"/>
  <c r="AQ29" i="4"/>
  <c r="AE29" i="4"/>
  <c r="BG29" i="4"/>
  <c r="W29" i="4"/>
  <c r="S63" i="4"/>
  <c r="AI96" i="4"/>
  <c r="AM96" i="4"/>
  <c r="BG96" i="4"/>
  <c r="AY96" i="4"/>
  <c r="O96" i="4"/>
  <c r="BC96" i="4"/>
  <c r="W96" i="4"/>
  <c r="S96" i="4"/>
  <c r="AQ96" i="4"/>
  <c r="AE96" i="4"/>
  <c r="AA96" i="4"/>
  <c r="AI124" i="4"/>
  <c r="AM124" i="4"/>
  <c r="BG124" i="4"/>
  <c r="AY124" i="4"/>
  <c r="O124" i="4"/>
  <c r="W124" i="4"/>
  <c r="BC124" i="4"/>
  <c r="S124" i="4"/>
  <c r="AU124" i="4"/>
  <c r="AQ124" i="4"/>
  <c r="AE124" i="4"/>
  <c r="AA124" i="4"/>
  <c r="BG164" i="4"/>
  <c r="AE164" i="4"/>
  <c r="AQ164" i="4"/>
  <c r="O164" i="4"/>
  <c r="BC164" i="4"/>
  <c r="W164" i="4"/>
  <c r="AU164" i="4"/>
  <c r="AM164" i="4"/>
  <c r="AA164" i="4"/>
  <c r="S164" i="4"/>
  <c r="AI164" i="4"/>
  <c r="BH259" i="4"/>
  <c r="BI259" i="4" s="1"/>
  <c r="BH6" i="4"/>
  <c r="BI6" i="4" s="1"/>
  <c r="M61" i="2"/>
  <c r="M375" i="2"/>
  <c r="AU57" i="4"/>
  <c r="S57" i="4"/>
  <c r="BC57" i="4"/>
  <c r="AA57" i="4"/>
  <c r="AE57" i="4"/>
  <c r="BG57" i="4"/>
  <c r="W57" i="4"/>
  <c r="O57" i="4"/>
  <c r="BH57" i="4" s="1"/>
  <c r="BI57" i="4" s="1"/>
  <c r="AM57" i="4"/>
  <c r="AI57" i="4"/>
  <c r="M4" i="2"/>
  <c r="M159" i="2"/>
  <c r="BH154" i="4"/>
  <c r="BI154" i="4" s="1"/>
  <c r="M102" i="2"/>
  <c r="M200" i="2"/>
  <c r="AI68" i="4"/>
  <c r="AM68" i="4"/>
  <c r="BG68" i="4"/>
  <c r="AY68" i="4"/>
  <c r="O68" i="4"/>
  <c r="AA68" i="4"/>
  <c r="W68" i="4"/>
  <c r="BC68" i="4"/>
  <c r="AU68" i="4"/>
  <c r="AE68" i="4"/>
  <c r="BG2" i="4"/>
  <c r="AI12" i="4"/>
  <c r="AM12" i="4"/>
  <c r="BG12" i="4"/>
  <c r="AY12" i="4"/>
  <c r="O12" i="4"/>
  <c r="W12" i="4"/>
  <c r="BC12" i="4"/>
  <c r="AU12" i="4"/>
  <c r="AE12" i="4"/>
  <c r="AA12" i="4"/>
  <c r="BC87" i="4"/>
  <c r="AA87" i="4"/>
  <c r="AI87" i="4"/>
  <c r="W87" i="4"/>
  <c r="BG87" i="4"/>
  <c r="AY87" i="4"/>
  <c r="S87" i="4"/>
  <c r="AM87" i="4"/>
  <c r="AE87" i="4"/>
  <c r="AI117" i="4"/>
  <c r="AQ117" i="4"/>
  <c r="O117" i="4"/>
  <c r="BG117" i="4"/>
  <c r="AA117" i="4"/>
  <c r="BC117" i="4"/>
  <c r="W117" i="4"/>
  <c r="AY117" i="4"/>
  <c r="S117" i="4"/>
  <c r="AU117" i="4"/>
  <c r="AM117" i="4"/>
  <c r="AE117" i="4"/>
  <c r="BH118" i="4"/>
  <c r="BI118" i="4" s="1"/>
  <c r="BH131" i="4"/>
  <c r="BI131" i="4" s="1"/>
  <c r="AQ119" i="4"/>
  <c r="O119" i="4"/>
  <c r="AY119" i="4"/>
  <c r="W119" i="4"/>
  <c r="BG119" i="4"/>
  <c r="AA119" i="4"/>
  <c r="BC119" i="4"/>
  <c r="S119" i="4"/>
  <c r="AU119" i="4"/>
  <c r="AI119" i="4"/>
  <c r="AE119" i="4"/>
  <c r="BH288" i="4"/>
  <c r="BI288" i="4" s="1"/>
  <c r="BG9" i="4"/>
  <c r="AE9" i="4"/>
  <c r="AY9" i="4"/>
  <c r="S9" i="4"/>
  <c r="O9" i="4"/>
  <c r="AQ9" i="4"/>
  <c r="AA9" i="4"/>
  <c r="BC9" i="4"/>
  <c r="W9" i="4"/>
  <c r="AQ102" i="4"/>
  <c r="BH121" i="4"/>
  <c r="BI121" i="4" s="1"/>
  <c r="AM37" i="4"/>
  <c r="M201" i="2"/>
  <c r="M354" i="2"/>
  <c r="AQ19" i="4"/>
  <c r="O19" i="4"/>
  <c r="AA19" i="4"/>
  <c r="BC19" i="4"/>
  <c r="AY19" i="4"/>
  <c r="S19" i="4"/>
  <c r="AI19" i="4"/>
  <c r="AE19" i="4"/>
  <c r="BG19" i="4"/>
  <c r="AM47" i="4"/>
  <c r="BH80" i="4"/>
  <c r="BI80" i="4" s="1"/>
  <c r="AM113" i="4"/>
  <c r="AQ223" i="4"/>
  <c r="O223" i="4"/>
  <c r="AY223" i="4"/>
  <c r="W223" i="4"/>
  <c r="AE223" i="4"/>
  <c r="AM223" i="4"/>
  <c r="S223" i="4"/>
  <c r="BC223" i="4"/>
  <c r="AU223" i="4"/>
  <c r="AI223" i="4"/>
  <c r="AA223" i="4"/>
  <c r="BG223" i="4"/>
  <c r="BH224" i="4"/>
  <c r="BI224" i="4" s="1"/>
  <c r="AU267" i="4"/>
  <c r="S267" i="4"/>
  <c r="BC267" i="4"/>
  <c r="AA267" i="4"/>
  <c r="AE267" i="4"/>
  <c r="BG267" i="4"/>
  <c r="AM267" i="4"/>
  <c r="AI267" i="4"/>
  <c r="W267" i="4"/>
  <c r="AY267" i="4"/>
  <c r="AQ267" i="4"/>
  <c r="O267" i="4"/>
  <c r="AQ16" i="4"/>
  <c r="O16" i="4"/>
  <c r="BC16" i="4"/>
  <c r="AY16" i="4"/>
  <c r="AU16" i="4"/>
  <c r="AE16" i="4"/>
  <c r="AM16" i="4"/>
  <c r="W16" i="4"/>
  <c r="BG16" i="4"/>
  <c r="S16" i="4"/>
  <c r="AQ40" i="4"/>
  <c r="S68" i="4"/>
  <c r="O87" i="4"/>
  <c r="BH126" i="4"/>
  <c r="BI126" i="4" s="1"/>
  <c r="AY199" i="4"/>
  <c r="W199" i="4"/>
  <c r="BG199" i="4"/>
  <c r="AE199" i="4"/>
  <c r="BC199" i="4"/>
  <c r="S199" i="4"/>
  <c r="AU199" i="4"/>
  <c r="O199" i="4"/>
  <c r="AM199" i="4"/>
  <c r="AA199" i="4"/>
  <c r="AI199" i="4"/>
  <c r="AU486" i="4"/>
  <c r="S486" i="4"/>
  <c r="BG486" i="4"/>
  <c r="AY486" i="4"/>
  <c r="O486" i="4"/>
  <c r="AI486" i="4"/>
  <c r="W486" i="4"/>
  <c r="BC486" i="4"/>
  <c r="AM486" i="4"/>
  <c r="AE486" i="4"/>
  <c r="AA486" i="4"/>
  <c r="AQ486" i="4"/>
  <c r="AQ30" i="4"/>
  <c r="O30" i="4"/>
  <c r="BC30" i="4"/>
  <c r="AY30" i="4"/>
  <c r="AU30" i="4"/>
  <c r="AE30" i="4"/>
  <c r="AA30" i="4"/>
  <c r="W30" i="4"/>
  <c r="AM30" i="4"/>
  <c r="AI30" i="4"/>
  <c r="AY65" i="4"/>
  <c r="W65" i="4"/>
  <c r="BG65" i="4"/>
  <c r="AE65" i="4"/>
  <c r="S65" i="4"/>
  <c r="BC65" i="4"/>
  <c r="AU65" i="4"/>
  <c r="O65" i="4"/>
  <c r="AI65" i="4"/>
  <c r="AA65" i="4"/>
  <c r="AM119" i="4"/>
  <c r="AY157" i="4"/>
  <c r="W157" i="4"/>
  <c r="BC157" i="4"/>
  <c r="S157" i="4"/>
  <c r="O157" i="4"/>
  <c r="AQ157" i="4"/>
  <c r="AE157" i="4"/>
  <c r="BG157" i="4"/>
  <c r="AI157" i="4"/>
  <c r="AA157" i="4"/>
  <c r="AM157" i="4"/>
  <c r="M270" i="2"/>
  <c r="AQ2" i="4"/>
  <c r="BC2" i="4"/>
  <c r="AY2" i="4"/>
  <c r="AU2" i="4"/>
  <c r="AE2" i="4"/>
  <c r="W2" i="4"/>
  <c r="AM2" i="4"/>
  <c r="AI2" i="4"/>
  <c r="S30" i="4"/>
  <c r="AI149" i="4"/>
  <c r="AU149" i="4"/>
  <c r="O149" i="4"/>
  <c r="AQ149" i="4"/>
  <c r="AM149" i="4"/>
  <c r="BG149" i="4"/>
  <c r="W149" i="4"/>
  <c r="AY149" i="4"/>
  <c r="AE149" i="4"/>
  <c r="AA149" i="4"/>
  <c r="AY240" i="4"/>
  <c r="W240" i="4"/>
  <c r="AQ240" i="4"/>
  <c r="O240" i="4"/>
  <c r="BC240" i="4"/>
  <c r="AU240" i="4"/>
  <c r="AE240" i="4"/>
  <c r="AA240" i="4"/>
  <c r="AI240" i="4"/>
  <c r="AM240" i="4"/>
  <c r="S240" i="4"/>
  <c r="BG240" i="4"/>
  <c r="BH262" i="4"/>
  <c r="BI262" i="4" s="1"/>
  <c r="AQ32" i="4"/>
  <c r="BH42" i="4"/>
  <c r="BI42" i="4" s="1"/>
  <c r="M133" i="2"/>
  <c r="M312" i="2"/>
  <c r="M355" i="2"/>
  <c r="M402" i="2"/>
  <c r="M408" i="2"/>
  <c r="AI9" i="4"/>
  <c r="S12" i="4"/>
  <c r="AU63" i="4"/>
  <c r="AI89" i="4"/>
  <c r="AQ89" i="4"/>
  <c r="O89" i="4"/>
  <c r="AE89" i="4"/>
  <c r="AA89" i="4"/>
  <c r="BG89" i="4"/>
  <c r="BC89" i="4"/>
  <c r="W89" i="4"/>
  <c r="AM89" i="4"/>
  <c r="BH98" i="4"/>
  <c r="BI98" i="4" s="1"/>
  <c r="AQ113" i="4"/>
  <c r="AI177" i="4"/>
  <c r="AQ177" i="4"/>
  <c r="O177" i="4"/>
  <c r="AM177" i="4"/>
  <c r="AE177" i="4"/>
  <c r="BC177" i="4"/>
  <c r="W177" i="4"/>
  <c r="AU177" i="4"/>
  <c r="AA177" i="4"/>
  <c r="BG177" i="4"/>
  <c r="AY177" i="4"/>
  <c r="BC363" i="4"/>
  <c r="AA363" i="4"/>
  <c r="AI363" i="4"/>
  <c r="S363" i="4"/>
  <c r="AQ363" i="4"/>
  <c r="BG363" i="4"/>
  <c r="W363" i="4"/>
  <c r="AY363" i="4"/>
  <c r="O363" i="4"/>
  <c r="BH363" i="4" s="1"/>
  <c r="BI363" i="4" s="1"/>
  <c r="AM363" i="4"/>
  <c r="AE363" i="4"/>
  <c r="AU363" i="4"/>
  <c r="AU18" i="4"/>
  <c r="S18" i="4"/>
  <c r="BG18" i="4"/>
  <c r="BC18" i="4"/>
  <c r="O18" i="4"/>
  <c r="AM18" i="4"/>
  <c r="S44" i="4"/>
  <c r="AU46" i="4"/>
  <c r="S46" i="4"/>
  <c r="BG46" i="4"/>
  <c r="BC46" i="4"/>
  <c r="O46" i="4"/>
  <c r="AM46" i="4"/>
  <c r="S54" i="4"/>
  <c r="AE91" i="4"/>
  <c r="AU99" i="4"/>
  <c r="S99" i="4"/>
  <c r="BC99" i="4"/>
  <c r="AA99" i="4"/>
  <c r="AQ99" i="4"/>
  <c r="AA100" i="4"/>
  <c r="AQ105" i="4"/>
  <c r="O105" i="4"/>
  <c r="BH105" i="4" s="1"/>
  <c r="BI105" i="4" s="1"/>
  <c r="AY105" i="4"/>
  <c r="W105" i="4"/>
  <c r="AI110" i="4"/>
  <c r="AM110" i="4"/>
  <c r="BG110" i="4"/>
  <c r="AY110" i="4"/>
  <c r="O110" i="4"/>
  <c r="BH110" i="4" s="1"/>
  <c r="BI110" i="4" s="1"/>
  <c r="AU127" i="4"/>
  <c r="S127" i="4"/>
  <c r="BC127" i="4"/>
  <c r="AA127" i="4"/>
  <c r="AQ127" i="4"/>
  <c r="AA128" i="4"/>
  <c r="AA150" i="4"/>
  <c r="AE181" i="4"/>
  <c r="AY226" i="4"/>
  <c r="W226" i="4"/>
  <c r="AQ226" i="4"/>
  <c r="O226" i="4"/>
  <c r="BG226" i="4"/>
  <c r="AA226" i="4"/>
  <c r="S226" i="4"/>
  <c r="AI226" i="4"/>
  <c r="AM226" i="4"/>
  <c r="BC226" i="4"/>
  <c r="AU226" i="4"/>
  <c r="M33" i="2"/>
  <c r="M74" i="2"/>
  <c r="M131" i="2"/>
  <c r="M172" i="2"/>
  <c r="M257" i="2"/>
  <c r="M347" i="2"/>
  <c r="M368" i="2"/>
  <c r="M427" i="2"/>
  <c r="M470" i="2"/>
  <c r="BC15" i="4"/>
  <c r="AA15" i="4"/>
  <c r="BG23" i="4"/>
  <c r="AE23" i="4"/>
  <c r="AI26" i="4"/>
  <c r="AM26" i="4"/>
  <c r="BG26" i="4"/>
  <c r="AY26" i="4"/>
  <c r="O26" i="4"/>
  <c r="BC43" i="4"/>
  <c r="AA43" i="4"/>
  <c r="BG44" i="4"/>
  <c r="AM53" i="4"/>
  <c r="BH53" i="4" s="1"/>
  <c r="BI53" i="4" s="1"/>
  <c r="BC54" i="4"/>
  <c r="AI72" i="4"/>
  <c r="S73" i="4"/>
  <c r="AY73" i="4"/>
  <c r="AY79" i="4"/>
  <c r="W79" i="4"/>
  <c r="BG79" i="4"/>
  <c r="AE79" i="4"/>
  <c r="AQ79" i="4"/>
  <c r="AU105" i="4"/>
  <c r="AU110" i="4"/>
  <c r="AQ114" i="4"/>
  <c r="O114" i="4"/>
  <c r="BC114" i="4"/>
  <c r="W114" i="4"/>
  <c r="AY114" i="4"/>
  <c r="AU114" i="4"/>
  <c r="AE114" i="4"/>
  <c r="AU116" i="4"/>
  <c r="S116" i="4"/>
  <c r="AE116" i="4"/>
  <c r="BG116" i="4"/>
  <c r="BC116" i="4"/>
  <c r="O116" i="4"/>
  <c r="AM116" i="4"/>
  <c r="AA135" i="4"/>
  <c r="BH145" i="4"/>
  <c r="BI145" i="4" s="1"/>
  <c r="AI163" i="4"/>
  <c r="AU163" i="4"/>
  <c r="O163" i="4"/>
  <c r="AQ163" i="4"/>
  <c r="AM163" i="4"/>
  <c r="BG163" i="4"/>
  <c r="W163" i="4"/>
  <c r="AY163" i="4"/>
  <c r="AI194" i="4"/>
  <c r="AU194" i="4"/>
  <c r="S194" i="4"/>
  <c r="AE194" i="4"/>
  <c r="BC194" i="4"/>
  <c r="W194" i="4"/>
  <c r="O194" i="4"/>
  <c r="AM194" i="4"/>
  <c r="AU197" i="4"/>
  <c r="S197" i="4"/>
  <c r="BC197" i="4"/>
  <c r="AA197" i="4"/>
  <c r="AI197" i="4"/>
  <c r="AE197" i="4"/>
  <c r="BG197" i="4"/>
  <c r="W197" i="4"/>
  <c r="O197" i="4"/>
  <c r="AM197" i="4"/>
  <c r="BC201" i="4"/>
  <c r="AA201" i="4"/>
  <c r="AI201" i="4"/>
  <c r="AU201" i="4"/>
  <c r="O201" i="4"/>
  <c r="AM201" i="4"/>
  <c r="AE201" i="4"/>
  <c r="W201" i="4"/>
  <c r="BC215" i="4"/>
  <c r="AA215" i="4"/>
  <c r="AI215" i="4"/>
  <c r="AM215" i="4"/>
  <c r="AE215" i="4"/>
  <c r="AU215" i="4"/>
  <c r="O215" i="4"/>
  <c r="BH215" i="4" s="1"/>
  <c r="BI215" i="4" s="1"/>
  <c r="W215" i="4"/>
  <c r="AY255" i="4"/>
  <c r="W255" i="4"/>
  <c r="BG255" i="4"/>
  <c r="AE255" i="4"/>
  <c r="AA255" i="4"/>
  <c r="S255" i="4"/>
  <c r="AI255" i="4"/>
  <c r="BC255" i="4"/>
  <c r="O255" i="4"/>
  <c r="AM255" i="4"/>
  <c r="BH281" i="4"/>
  <c r="BI281" i="4" s="1"/>
  <c r="BH402" i="4"/>
  <c r="BI402" i="4" s="1"/>
  <c r="AE85" i="4"/>
  <c r="AA102" i="4"/>
  <c r="W54" i="4"/>
  <c r="AI61" i="4"/>
  <c r="AQ61" i="4"/>
  <c r="O61" i="4"/>
  <c r="O99" i="4"/>
  <c r="AY107" i="4"/>
  <c r="W107" i="4"/>
  <c r="BH107" i="4" s="1"/>
  <c r="BI107" i="4" s="1"/>
  <c r="BG107" i="4"/>
  <c r="AE107" i="4"/>
  <c r="AQ107" i="4"/>
  <c r="AY116" i="4"/>
  <c r="O127" i="4"/>
  <c r="BC163" i="4"/>
  <c r="AI205" i="4"/>
  <c r="AQ205" i="4"/>
  <c r="O205" i="4"/>
  <c r="AE205" i="4"/>
  <c r="BG205" i="4"/>
  <c r="AA205" i="4"/>
  <c r="BC205" i="4"/>
  <c r="W205" i="4"/>
  <c r="AU205" i="4"/>
  <c r="AM205" i="4"/>
  <c r="AE256" i="4"/>
  <c r="AU287" i="4"/>
  <c r="S287" i="4"/>
  <c r="BG287" i="4"/>
  <c r="AA287" i="4"/>
  <c r="AY287" i="4"/>
  <c r="AI287" i="4"/>
  <c r="O287" i="4"/>
  <c r="AQ287" i="4"/>
  <c r="W287" i="4"/>
  <c r="AM287" i="4"/>
  <c r="BH388" i="4"/>
  <c r="BI388" i="4" s="1"/>
  <c r="AQ86" i="4"/>
  <c r="O86" i="4"/>
  <c r="BC86" i="4"/>
  <c r="W86" i="4"/>
  <c r="AY86" i="4"/>
  <c r="AU86" i="4"/>
  <c r="AE86" i="4"/>
  <c r="AU88" i="4"/>
  <c r="S88" i="4"/>
  <c r="AE88" i="4"/>
  <c r="BG88" i="4"/>
  <c r="BC88" i="4"/>
  <c r="O88" i="4"/>
  <c r="BH88" i="4" s="1"/>
  <c r="BI88" i="4" s="1"/>
  <c r="AM88" i="4"/>
  <c r="AY18" i="4"/>
  <c r="W44" i="4"/>
  <c r="AY46" i="4"/>
  <c r="M18" i="2"/>
  <c r="M75" i="2"/>
  <c r="M116" i="2"/>
  <c r="M173" i="2"/>
  <c r="M263" i="2"/>
  <c r="M284" i="2"/>
  <c r="M369" i="2"/>
  <c r="AY5" i="4"/>
  <c r="AY7" i="4"/>
  <c r="W7" i="4"/>
  <c r="BH7" i="4" s="1"/>
  <c r="BI7" i="4" s="1"/>
  <c r="O15" i="4"/>
  <c r="AI17" i="4"/>
  <c r="BH17" i="4" s="1"/>
  <c r="BI17" i="4" s="1"/>
  <c r="O23" i="4"/>
  <c r="AY33" i="4"/>
  <c r="AY35" i="4"/>
  <c r="W35" i="4"/>
  <c r="BH35" i="4" s="1"/>
  <c r="BI35" i="4" s="1"/>
  <c r="O43" i="4"/>
  <c r="AI45" i="4"/>
  <c r="BH45" i="4" s="1"/>
  <c r="BI45" i="4" s="1"/>
  <c r="BC59" i="4"/>
  <c r="AA59" i="4"/>
  <c r="BH59" i="4" s="1"/>
  <c r="BI59" i="4" s="1"/>
  <c r="AI59" i="4"/>
  <c r="AQ59" i="4"/>
  <c r="AU61" i="4"/>
  <c r="W73" i="4"/>
  <c r="AA75" i="4"/>
  <c r="O79" i="4"/>
  <c r="BH79" i="4" s="1"/>
  <c r="BI79" i="4" s="1"/>
  <c r="AU79" i="4"/>
  <c r="AM81" i="4"/>
  <c r="BH81" i="4" s="1"/>
  <c r="BI81" i="4" s="1"/>
  <c r="BC82" i="4"/>
  <c r="S86" i="4"/>
  <c r="BG86" i="4"/>
  <c r="AY99" i="4"/>
  <c r="S101" i="4"/>
  <c r="AI102" i="4"/>
  <c r="W103" i="4"/>
  <c r="S105" i="4"/>
  <c r="S110" i="4"/>
  <c r="AY127" i="4"/>
  <c r="AI158" i="4"/>
  <c r="BC173" i="4"/>
  <c r="AA173" i="4"/>
  <c r="AI173" i="4"/>
  <c r="BG173" i="4"/>
  <c r="W173" i="4"/>
  <c r="AU173" i="4"/>
  <c r="O173" i="4"/>
  <c r="AE173" i="4"/>
  <c r="AY173" i="4"/>
  <c r="AU186" i="4"/>
  <c r="S186" i="4"/>
  <c r="BG186" i="4"/>
  <c r="AE186" i="4"/>
  <c r="AM186" i="4"/>
  <c r="BC186" i="4"/>
  <c r="W186" i="4"/>
  <c r="O186" i="4"/>
  <c r="AY186" i="4"/>
  <c r="BG194" i="4"/>
  <c r="BG201" i="4"/>
  <c r="BG215" i="4"/>
  <c r="AE277" i="4"/>
  <c r="BG346" i="4"/>
  <c r="AE346" i="4"/>
  <c r="AU346" i="4"/>
  <c r="S346" i="4"/>
  <c r="BC346" i="4"/>
  <c r="W346" i="4"/>
  <c r="AI346" i="4"/>
  <c r="AA346" i="4"/>
  <c r="AQ346" i="4"/>
  <c r="O346" i="4"/>
  <c r="AY346" i="4"/>
  <c r="AM346" i="4"/>
  <c r="BH351" i="4"/>
  <c r="BI351" i="4" s="1"/>
  <c r="BH409" i="4"/>
  <c r="BI409" i="4" s="1"/>
  <c r="AU438" i="4"/>
  <c r="S438" i="4"/>
  <c r="BC438" i="4"/>
  <c r="AA438" i="4"/>
  <c r="AY438" i="4"/>
  <c r="O438" i="4"/>
  <c r="AI438" i="4"/>
  <c r="W438" i="4"/>
  <c r="AQ438" i="4"/>
  <c r="AM438" i="4"/>
  <c r="AE438" i="4"/>
  <c r="BH664" i="4"/>
  <c r="BI664" i="4" s="1"/>
  <c r="AQ72" i="4"/>
  <c r="O72" i="4"/>
  <c r="BC72" i="4"/>
  <c r="W72" i="4"/>
  <c r="AY72" i="4"/>
  <c r="AU72" i="4"/>
  <c r="AE72" i="4"/>
  <c r="AU74" i="4"/>
  <c r="S74" i="4"/>
  <c r="AE74" i="4"/>
  <c r="BG74" i="4"/>
  <c r="BC74" i="4"/>
  <c r="O74" i="4"/>
  <c r="AM74" i="4"/>
  <c r="AU85" i="4"/>
  <c r="S85" i="4"/>
  <c r="BC85" i="4"/>
  <c r="AA85" i="4"/>
  <c r="AQ85" i="4"/>
  <c r="BH85" i="4" s="1"/>
  <c r="BI85" i="4" s="1"/>
  <c r="AQ91" i="4"/>
  <c r="O91" i="4"/>
  <c r="AY91" i="4"/>
  <c r="W91" i="4"/>
  <c r="BC115" i="4"/>
  <c r="AA115" i="4"/>
  <c r="AI115" i="4"/>
  <c r="AQ115" i="4"/>
  <c r="BG127" i="4"/>
  <c r="AY174" i="4"/>
  <c r="W174" i="4"/>
  <c r="AI174" i="4"/>
  <c r="AM174" i="4"/>
  <c r="AE174" i="4"/>
  <c r="BC174" i="4"/>
  <c r="AU174" i="4"/>
  <c r="O174" i="4"/>
  <c r="AA194" i="4"/>
  <c r="AE226" i="4"/>
  <c r="BH232" i="4"/>
  <c r="BI232" i="4" s="1"/>
  <c r="AU301" i="4"/>
  <c r="S301" i="4"/>
  <c r="BG301" i="4"/>
  <c r="AA301" i="4"/>
  <c r="AY301" i="4"/>
  <c r="AI301" i="4"/>
  <c r="AE301" i="4"/>
  <c r="W301" i="4"/>
  <c r="AM301" i="4"/>
  <c r="O301" i="4"/>
  <c r="AQ301" i="4"/>
  <c r="BH378" i="4"/>
  <c r="BI378" i="4" s="1"/>
  <c r="AY403" i="4"/>
  <c r="W403" i="4"/>
  <c r="AQ403" i="4"/>
  <c r="BC403" i="4"/>
  <c r="AU403" i="4"/>
  <c r="O403" i="4"/>
  <c r="AA403" i="4"/>
  <c r="AM403" i="4"/>
  <c r="AE403" i="4"/>
  <c r="S403" i="4"/>
  <c r="BG403" i="4"/>
  <c r="AU990" i="4"/>
  <c r="S990" i="4"/>
  <c r="AQ990" i="4"/>
  <c r="O990" i="4"/>
  <c r="BG990" i="4"/>
  <c r="AE990" i="4"/>
  <c r="BC990" i="4"/>
  <c r="AA990" i="4"/>
  <c r="AY990" i="4"/>
  <c r="W990" i="4"/>
  <c r="AM990" i="4"/>
  <c r="AI990" i="4"/>
  <c r="AQ100" i="4"/>
  <c r="O100" i="4"/>
  <c r="BC100" i="4"/>
  <c r="W100" i="4"/>
  <c r="AY100" i="4"/>
  <c r="AU100" i="4"/>
  <c r="AE100" i="4"/>
  <c r="AU102" i="4"/>
  <c r="S102" i="4"/>
  <c r="AE102" i="4"/>
  <c r="BG102" i="4"/>
  <c r="BC102" i="4"/>
  <c r="O102" i="4"/>
  <c r="AM102" i="4"/>
  <c r="AQ128" i="4"/>
  <c r="O128" i="4"/>
  <c r="BC128" i="4"/>
  <c r="W128" i="4"/>
  <c r="AY128" i="4"/>
  <c r="AU128" i="4"/>
  <c r="AE128" i="4"/>
  <c r="AI135" i="4"/>
  <c r="AM135" i="4"/>
  <c r="BG135" i="4"/>
  <c r="AY135" i="4"/>
  <c r="O135" i="4"/>
  <c r="AQ135" i="4"/>
  <c r="AU135" i="4"/>
  <c r="AM144" i="4"/>
  <c r="BH144" i="4" s="1"/>
  <c r="BI144" i="4" s="1"/>
  <c r="BG150" i="4"/>
  <c r="AE150" i="4"/>
  <c r="AQ150" i="4"/>
  <c r="O150" i="4"/>
  <c r="BC150" i="4"/>
  <c r="W150" i="4"/>
  <c r="AU150" i="4"/>
  <c r="AM150" i="4"/>
  <c r="AY150" i="4"/>
  <c r="AQ181" i="4"/>
  <c r="O181" i="4"/>
  <c r="AY181" i="4"/>
  <c r="W181" i="4"/>
  <c r="S181" i="4"/>
  <c r="AU181" i="4"/>
  <c r="AM181" i="4"/>
  <c r="BG181" i="4"/>
  <c r="AA181" i="4"/>
  <c r="BC181" i="4"/>
  <c r="BH183" i="4"/>
  <c r="BI183" i="4" s="1"/>
  <c r="M5" i="2"/>
  <c r="M46" i="2"/>
  <c r="M103" i="2"/>
  <c r="M144" i="2"/>
  <c r="M207" i="2"/>
  <c r="M228" i="2"/>
  <c r="M313" i="2"/>
  <c r="BG15" i="4"/>
  <c r="AA23" i="4"/>
  <c r="BG43" i="4"/>
  <c r="AA61" i="4"/>
  <c r="BG61" i="4"/>
  <c r="AM67" i="4"/>
  <c r="S72" i="4"/>
  <c r="BG72" i="4"/>
  <c r="AY85" i="4"/>
  <c r="AI86" i="4"/>
  <c r="AI88" i="4"/>
  <c r="S91" i="4"/>
  <c r="AY93" i="4"/>
  <c r="W93" i="4"/>
  <c r="BG93" i="4"/>
  <c r="AE93" i="4"/>
  <c r="AQ93" i="4"/>
  <c r="AY102" i="4"/>
  <c r="AA107" i="4"/>
  <c r="AE110" i="4"/>
  <c r="AY121" i="4"/>
  <c r="W121" i="4"/>
  <c r="BG121" i="4"/>
  <c r="AE121" i="4"/>
  <c r="AQ121" i="4"/>
  <c r="AY132" i="4"/>
  <c r="W132" i="4"/>
  <c r="AU132" i="4"/>
  <c r="O132" i="4"/>
  <c r="AQ132" i="4"/>
  <c r="AM132" i="4"/>
  <c r="AE132" i="4"/>
  <c r="BC132" i="4"/>
  <c r="BH137" i="4"/>
  <c r="BI137" i="4" s="1"/>
  <c r="AU158" i="4"/>
  <c r="S158" i="4"/>
  <c r="BG158" i="4"/>
  <c r="AE158" i="4"/>
  <c r="AA158" i="4"/>
  <c r="BC158" i="4"/>
  <c r="W158" i="4"/>
  <c r="BH158" i="4" s="1"/>
  <c r="BI158" i="4" s="1"/>
  <c r="AM158" i="4"/>
  <c r="AY158" i="4"/>
  <c r="AE163" i="4"/>
  <c r="AQ184" i="4"/>
  <c r="O184" i="4"/>
  <c r="BH184" i="4" s="1"/>
  <c r="BI184" i="4" s="1"/>
  <c r="BC184" i="4"/>
  <c r="AA184" i="4"/>
  <c r="AY184" i="4"/>
  <c r="S184" i="4"/>
  <c r="AU184" i="4"/>
  <c r="AM184" i="4"/>
  <c r="BG184" i="4"/>
  <c r="W184" i="4"/>
  <c r="BH187" i="4"/>
  <c r="BI187" i="4" s="1"/>
  <c r="BH196" i="4"/>
  <c r="BI196" i="4" s="1"/>
  <c r="BH319" i="4"/>
  <c r="BI319" i="4" s="1"/>
  <c r="BC406" i="4"/>
  <c r="AA406" i="4"/>
  <c r="O406" i="4"/>
  <c r="BH406" i="4" s="1"/>
  <c r="BI406" i="4" s="1"/>
  <c r="AQ406" i="4"/>
  <c r="AE406" i="4"/>
  <c r="W406" i="4"/>
  <c r="AM406" i="4"/>
  <c r="AI406" i="4"/>
  <c r="AU406" i="4"/>
  <c r="AY406" i="4"/>
  <c r="S406" i="4"/>
  <c r="BG406" i="4"/>
  <c r="AU413" i="4"/>
  <c r="M361" i="2"/>
  <c r="M382" i="2"/>
  <c r="AI3" i="4"/>
  <c r="AI5" i="4"/>
  <c r="AE15" i="4"/>
  <c r="AI18" i="4"/>
  <c r="AY21" i="4"/>
  <c r="W21" i="4"/>
  <c r="AE26" i="4"/>
  <c r="AI31" i="4"/>
  <c r="AI33" i="4"/>
  <c r="AE43" i="4"/>
  <c r="AI46" i="4"/>
  <c r="AQ49" i="4"/>
  <c r="O49" i="4"/>
  <c r="BH49" i="4" s="1"/>
  <c r="BI49" i="4" s="1"/>
  <c r="AY49" i="4"/>
  <c r="W49" i="4"/>
  <c r="W74" i="4"/>
  <c r="AI75" i="4"/>
  <c r="AQ75" i="4"/>
  <c r="O75" i="4"/>
  <c r="BC91" i="4"/>
  <c r="AI99" i="4"/>
  <c r="AI105" i="4"/>
  <c r="AI114" i="4"/>
  <c r="S115" i="4"/>
  <c r="BH115" i="4" s="1"/>
  <c r="BI115" i="4" s="1"/>
  <c r="AY115" i="4"/>
  <c r="AI116" i="4"/>
  <c r="AI127" i="4"/>
  <c r="AQ133" i="4"/>
  <c r="AQ142" i="4"/>
  <c r="O142" i="4"/>
  <c r="BH142" i="4" s="1"/>
  <c r="BI142" i="4" s="1"/>
  <c r="W142" i="4"/>
  <c r="AY142" i="4"/>
  <c r="S142" i="4"/>
  <c r="AI142" i="4"/>
  <c r="BG142" i="4"/>
  <c r="AA142" i="4"/>
  <c r="BG147" i="4"/>
  <c r="AE147" i="4"/>
  <c r="AA147" i="4"/>
  <c r="BC147" i="4"/>
  <c r="AY147" i="4"/>
  <c r="S147" i="4"/>
  <c r="AQ147" i="4"/>
  <c r="AI147" i="4"/>
  <c r="AY171" i="4"/>
  <c r="W171" i="4"/>
  <c r="BG171" i="4"/>
  <c r="AE171" i="4"/>
  <c r="AI171" i="4"/>
  <c r="BC171" i="4"/>
  <c r="AU171" i="4"/>
  <c r="O171" i="4"/>
  <c r="AM171" i="4"/>
  <c r="BH193" i="4"/>
  <c r="BI193" i="4" s="1"/>
  <c r="AQ197" i="4"/>
  <c r="BC229" i="4"/>
  <c r="AA229" i="4"/>
  <c r="AI229" i="4"/>
  <c r="AM229" i="4"/>
  <c r="BG229" i="4"/>
  <c r="W229" i="4"/>
  <c r="S229" i="4"/>
  <c r="O229" i="4"/>
  <c r="AU229" i="4"/>
  <c r="AE229" i="4"/>
  <c r="AQ255" i="4"/>
  <c r="AQ265" i="4"/>
  <c r="O265" i="4"/>
  <c r="AY265" i="4"/>
  <c r="W265" i="4"/>
  <c r="AU265" i="4"/>
  <c r="BG265" i="4"/>
  <c r="AA265" i="4"/>
  <c r="AI265" i="4"/>
  <c r="AE265" i="4"/>
  <c r="AM265" i="4"/>
  <c r="AY269" i="4"/>
  <c r="W269" i="4"/>
  <c r="BG269" i="4"/>
  <c r="AE269" i="4"/>
  <c r="BC269" i="4"/>
  <c r="S269" i="4"/>
  <c r="AU269" i="4"/>
  <c r="O269" i="4"/>
  <c r="AM269" i="4"/>
  <c r="AI269" i="4"/>
  <c r="AA269" i="4"/>
  <c r="AQ269" i="4"/>
  <c r="AQ312" i="4"/>
  <c r="O312" i="4"/>
  <c r="AY312" i="4"/>
  <c r="W312" i="4"/>
  <c r="AM312" i="4"/>
  <c r="AI312" i="4"/>
  <c r="AU312" i="4"/>
  <c r="AE312" i="4"/>
  <c r="BC312" i="4"/>
  <c r="BG386" i="4"/>
  <c r="AE386" i="4"/>
  <c r="AI386" i="4"/>
  <c r="S386" i="4"/>
  <c r="AQ386" i="4"/>
  <c r="W386" i="4"/>
  <c r="BC386" i="4"/>
  <c r="AY386" i="4"/>
  <c r="O386" i="4"/>
  <c r="AA386" i="4"/>
  <c r="AQ456" i="4"/>
  <c r="O456" i="4"/>
  <c r="AY456" i="4"/>
  <c r="AI456" i="4"/>
  <c r="BG456" i="4"/>
  <c r="W456" i="4"/>
  <c r="BC456" i="4"/>
  <c r="AE456" i="4"/>
  <c r="AA456" i="4"/>
  <c r="AU456" i="4"/>
  <c r="S456" i="4"/>
  <c r="AM456" i="4"/>
  <c r="AU415" i="4"/>
  <c r="S415" i="4"/>
  <c r="AI415" i="4"/>
  <c r="O415" i="4"/>
  <c r="BH415" i="4" s="1"/>
  <c r="BI415" i="4" s="1"/>
  <c r="BG415" i="4"/>
  <c r="AA415" i="4"/>
  <c r="AQ415" i="4"/>
  <c r="BC415" i="4"/>
  <c r="AE415" i="4"/>
  <c r="AM415" i="4"/>
  <c r="AY415" i="4"/>
  <c r="W415" i="4"/>
  <c r="AI54" i="4"/>
  <c r="AM54" i="4"/>
  <c r="BG54" i="4"/>
  <c r="AY54" i="4"/>
  <c r="O54" i="4"/>
  <c r="BH67" i="4"/>
  <c r="BI67" i="4" s="1"/>
  <c r="BC73" i="4"/>
  <c r="AA73" i="4"/>
  <c r="AI73" i="4"/>
  <c r="W85" i="4"/>
  <c r="AM86" i="4"/>
  <c r="S128" i="4"/>
  <c r="BG128" i="4"/>
  <c r="BC135" i="4"/>
  <c r="BG230" i="4"/>
  <c r="AE230" i="4"/>
  <c r="AY230" i="4"/>
  <c r="W230" i="4"/>
  <c r="AI230" i="4"/>
  <c r="AU230" i="4"/>
  <c r="O230" i="4"/>
  <c r="AQ230" i="4"/>
  <c r="BC230" i="4"/>
  <c r="AY254" i="4"/>
  <c r="W254" i="4"/>
  <c r="AQ254" i="4"/>
  <c r="O254" i="4"/>
  <c r="BG254" i="4"/>
  <c r="AA254" i="4"/>
  <c r="AM254" i="4"/>
  <c r="AI254" i="4"/>
  <c r="AM266" i="4"/>
  <c r="BH266" i="4" s="1"/>
  <c r="BI266" i="4" s="1"/>
  <c r="M63" i="2"/>
  <c r="M161" i="2"/>
  <c r="M187" i="2"/>
  <c r="M277" i="2"/>
  <c r="M298" i="2"/>
  <c r="M383" i="2"/>
  <c r="M415" i="2"/>
  <c r="O3" i="4"/>
  <c r="BH3" i="4" s="1"/>
  <c r="BI3" i="4" s="1"/>
  <c r="AE7" i="4"/>
  <c r="AM11" i="4"/>
  <c r="BH11" i="4" s="1"/>
  <c r="BI11" i="4" s="1"/>
  <c r="AI15" i="4"/>
  <c r="BG17" i="4"/>
  <c r="O21" i="4"/>
  <c r="AI23" i="4"/>
  <c r="AI24" i="4"/>
  <c r="O31" i="4"/>
  <c r="AE35" i="4"/>
  <c r="AM39" i="4"/>
  <c r="BH39" i="4" s="1"/>
  <c r="BI39" i="4" s="1"/>
  <c r="AI43" i="4"/>
  <c r="BG45" i="4"/>
  <c r="AU54" i="4"/>
  <c r="AQ58" i="4"/>
  <c r="O58" i="4"/>
  <c r="BC58" i="4"/>
  <c r="W58" i="4"/>
  <c r="AY58" i="4"/>
  <c r="AU58" i="4"/>
  <c r="AE58" i="4"/>
  <c r="AE59" i="4"/>
  <c r="AU60" i="4"/>
  <c r="S60" i="4"/>
  <c r="AE60" i="4"/>
  <c r="BG60" i="4"/>
  <c r="BC60" i="4"/>
  <c r="O60" i="4"/>
  <c r="AM60" i="4"/>
  <c r="AU71" i="4"/>
  <c r="S71" i="4"/>
  <c r="BH71" i="4" s="1"/>
  <c r="BI71" i="4" s="1"/>
  <c r="BC71" i="4"/>
  <c r="AA71" i="4"/>
  <c r="AQ71" i="4"/>
  <c r="AA72" i="4"/>
  <c r="AA74" i="4"/>
  <c r="AQ77" i="4"/>
  <c r="O77" i="4"/>
  <c r="AY77" i="4"/>
  <c r="W77" i="4"/>
  <c r="BG85" i="4"/>
  <c r="AQ88" i="4"/>
  <c r="AA91" i="4"/>
  <c r="BG91" i="4"/>
  <c r="AM99" i="4"/>
  <c r="W102" i="4"/>
  <c r="AI103" i="4"/>
  <c r="AQ103" i="4"/>
  <c r="O103" i="4"/>
  <c r="AM105" i="4"/>
  <c r="AI107" i="4"/>
  <c r="AM114" i="4"/>
  <c r="W115" i="4"/>
  <c r="AM127" i="4"/>
  <c r="S132" i="4"/>
  <c r="O147" i="4"/>
  <c r="AM173" i="4"/>
  <c r="AA174" i="4"/>
  <c r="AI185" i="4"/>
  <c r="BH217" i="4"/>
  <c r="BI217" i="4" s="1"/>
  <c r="AA251" i="4"/>
  <c r="BC254" i="4"/>
  <c r="AU255" i="4"/>
  <c r="AI408" i="4"/>
  <c r="BG408" i="4"/>
  <c r="AA408" i="4"/>
  <c r="O408" i="4"/>
  <c r="AM408" i="4"/>
  <c r="AE408" i="4"/>
  <c r="W408" i="4"/>
  <c r="S408" i="4"/>
  <c r="AQ408" i="4"/>
  <c r="AY408" i="4"/>
  <c r="AQ44" i="4"/>
  <c r="O44" i="4"/>
  <c r="BC44" i="4"/>
  <c r="AY44" i="4"/>
  <c r="AU44" i="4"/>
  <c r="AE44" i="4"/>
  <c r="AQ73" i="4"/>
  <c r="S100" i="4"/>
  <c r="BG100" i="4"/>
  <c r="AI108" i="4"/>
  <c r="S135" i="4"/>
  <c r="BH140" i="4"/>
  <c r="BI140" i="4" s="1"/>
  <c r="S150" i="4"/>
  <c r="AQ5" i="4"/>
  <c r="O5" i="4"/>
  <c r="AQ18" i="4"/>
  <c r="AQ33" i="4"/>
  <c r="O33" i="4"/>
  <c r="BH33" i="4" s="1"/>
  <c r="BI33" i="4" s="1"/>
  <c r="AQ46" i="4"/>
  <c r="AY51" i="4"/>
  <c r="W51" i="4"/>
  <c r="BH51" i="4" s="1"/>
  <c r="BI51" i="4" s="1"/>
  <c r="BG51" i="4"/>
  <c r="AE51" i="4"/>
  <c r="AQ51" i="4"/>
  <c r="O73" i="4"/>
  <c r="BH73" i="4" s="1"/>
  <c r="BI73" i="4" s="1"/>
  <c r="AU73" i="4"/>
  <c r="AY75" i="4"/>
  <c r="AM79" i="4"/>
  <c r="AI82" i="4"/>
  <c r="AM82" i="4"/>
  <c r="BG82" i="4"/>
  <c r="AY82" i="4"/>
  <c r="O82" i="4"/>
  <c r="BH82" i="4" s="1"/>
  <c r="BI82" i="4" s="1"/>
  <c r="S93" i="4"/>
  <c r="BH93" i="4" s="1"/>
  <c r="BI93" i="4" s="1"/>
  <c r="BH95" i="4"/>
  <c r="BI95" i="4" s="1"/>
  <c r="BC101" i="4"/>
  <c r="AA101" i="4"/>
  <c r="AI101" i="4"/>
  <c r="AQ101" i="4"/>
  <c r="AQ110" i="4"/>
  <c r="BG115" i="4"/>
  <c r="AQ116" i="4"/>
  <c r="S121" i="4"/>
  <c r="BH123" i="4"/>
  <c r="BI123" i="4" s="1"/>
  <c r="AY129" i="4"/>
  <c r="BG129" i="4"/>
  <c r="AA129" i="4"/>
  <c r="BC129" i="4"/>
  <c r="AI129" i="4"/>
  <c r="AQ129" i="4"/>
  <c r="BG133" i="4"/>
  <c r="AE133" i="4"/>
  <c r="W133" i="4"/>
  <c r="AY133" i="4"/>
  <c r="S133" i="4"/>
  <c r="O133" i="4"/>
  <c r="AA133" i="4"/>
  <c r="W135" i="4"/>
  <c r="S171" i="4"/>
  <c r="BH179" i="4"/>
  <c r="BI179" i="4" s="1"/>
  <c r="AY197" i="4"/>
  <c r="BH207" i="4"/>
  <c r="BI207" i="4" s="1"/>
  <c r="AU214" i="4"/>
  <c r="S214" i="4"/>
  <c r="BG214" i="4"/>
  <c r="W214" i="4"/>
  <c r="AI214" i="4"/>
  <c r="AQ214" i="4"/>
  <c r="AM214" i="4"/>
  <c r="AE214" i="4"/>
  <c r="AY214" i="4"/>
  <c r="O214" i="4"/>
  <c r="AI246" i="4"/>
  <c r="BC246" i="4"/>
  <c r="AA246" i="4"/>
  <c r="BG246" i="4"/>
  <c r="AY246" i="4"/>
  <c r="S246" i="4"/>
  <c r="BH246" i="4" s="1"/>
  <c r="BI246" i="4" s="1"/>
  <c r="AE246" i="4"/>
  <c r="W246" i="4"/>
  <c r="AU246" i="4"/>
  <c r="AM246" i="4"/>
  <c r="S265" i="4"/>
  <c r="BG272" i="4"/>
  <c r="AE272" i="4"/>
  <c r="AY272" i="4"/>
  <c r="W272" i="4"/>
  <c r="AA272" i="4"/>
  <c r="S272" i="4"/>
  <c r="BH272" i="4" s="1"/>
  <c r="BI272" i="4" s="1"/>
  <c r="AI272" i="4"/>
  <c r="AM272" i="4"/>
  <c r="AQ272" i="4"/>
  <c r="BC272" i="4"/>
  <c r="AQ298" i="4"/>
  <c r="O298" i="4"/>
  <c r="AY298" i="4"/>
  <c r="W298" i="4"/>
  <c r="BG298" i="4"/>
  <c r="AA298" i="4"/>
  <c r="BC298" i="4"/>
  <c r="S298" i="4"/>
  <c r="AI298" i="4"/>
  <c r="AM298" i="4"/>
  <c r="AE298" i="4"/>
  <c r="AU298" i="4"/>
  <c r="AU303" i="4"/>
  <c r="S312" i="4"/>
  <c r="AI340" i="4"/>
  <c r="AY340" i="4"/>
  <c r="W340" i="4"/>
  <c r="AU340" i="4"/>
  <c r="O340" i="4"/>
  <c r="AM340" i="4"/>
  <c r="BC340" i="4"/>
  <c r="AQ340" i="4"/>
  <c r="BG340" i="4"/>
  <c r="S340" i="4"/>
  <c r="AA340" i="4"/>
  <c r="AI403" i="4"/>
  <c r="AI436" i="4"/>
  <c r="AY436" i="4"/>
  <c r="W436" i="4"/>
  <c r="BC436" i="4"/>
  <c r="AE436" i="4"/>
  <c r="BG436" i="4"/>
  <c r="AQ436" i="4"/>
  <c r="AM436" i="4"/>
  <c r="O436" i="4"/>
  <c r="AU436" i="4"/>
  <c r="BC448" i="4"/>
  <c r="AA448" i="4"/>
  <c r="AQ448" i="4"/>
  <c r="O448" i="4"/>
  <c r="BH448" i="4" s="1"/>
  <c r="BI448" i="4" s="1"/>
  <c r="W448" i="4"/>
  <c r="AY448" i="4"/>
  <c r="S448" i="4"/>
  <c r="AM448" i="4"/>
  <c r="BG448" i="4"/>
  <c r="AI448" i="4"/>
  <c r="AE448" i="4"/>
  <c r="AU448" i="4"/>
  <c r="AA247" i="4"/>
  <c r="S254" i="4"/>
  <c r="AU376" i="4"/>
  <c r="S376" i="4"/>
  <c r="BC376" i="4"/>
  <c r="AA376" i="4"/>
  <c r="AE376" i="4"/>
  <c r="AM376" i="4"/>
  <c r="W376" i="4"/>
  <c r="BG376" i="4"/>
  <c r="O376" i="4"/>
  <c r="AI376" i="4"/>
  <c r="AQ376" i="4"/>
  <c r="AY376" i="4"/>
  <c r="AI394" i="4"/>
  <c r="AM394" i="4"/>
  <c r="W394" i="4"/>
  <c r="AU394" i="4"/>
  <c r="BG394" i="4"/>
  <c r="BC394" i="4"/>
  <c r="S394" i="4"/>
  <c r="AY394" i="4"/>
  <c r="O394" i="4"/>
  <c r="AE394" i="4"/>
  <c r="AA394" i="4"/>
  <c r="AQ394" i="4"/>
  <c r="BC518" i="4"/>
  <c r="AA518" i="4"/>
  <c r="O518" i="4"/>
  <c r="AQ518" i="4"/>
  <c r="AY518" i="4"/>
  <c r="S518" i="4"/>
  <c r="AM518" i="4"/>
  <c r="AI518" i="4"/>
  <c r="W518" i="4"/>
  <c r="AU518" i="4"/>
  <c r="AE518" i="4"/>
  <c r="S136" i="4"/>
  <c r="AE138" i="4"/>
  <c r="BH138" i="4" s="1"/>
  <c r="BI138" i="4" s="1"/>
  <c r="AY141" i="4"/>
  <c r="BC148" i="4"/>
  <c r="AA153" i="4"/>
  <c r="AU155" i="4"/>
  <c r="S155" i="4"/>
  <c r="BH155" i="4" s="1"/>
  <c r="BI155" i="4" s="1"/>
  <c r="S156" i="4"/>
  <c r="AY156" i="4"/>
  <c r="BC162" i="4"/>
  <c r="AY172" i="4"/>
  <c r="AI180" i="4"/>
  <c r="AU180" i="4"/>
  <c r="S180" i="4"/>
  <c r="BH180" i="4" s="1"/>
  <c r="BI180" i="4" s="1"/>
  <c r="AQ180" i="4"/>
  <c r="AU183" i="4"/>
  <c r="S183" i="4"/>
  <c r="BC183" i="4"/>
  <c r="AA183" i="4"/>
  <c r="AQ183" i="4"/>
  <c r="S195" i="4"/>
  <c r="S198" i="4"/>
  <c r="AU239" i="4"/>
  <c r="S239" i="4"/>
  <c r="BC239" i="4"/>
  <c r="AA239" i="4"/>
  <c r="AI239" i="4"/>
  <c r="AY239" i="4"/>
  <c r="O239" i="4"/>
  <c r="S241" i="4"/>
  <c r="S243" i="4"/>
  <c r="BG260" i="4"/>
  <c r="S271" i="4"/>
  <c r="AM294" i="4"/>
  <c r="AI374" i="4"/>
  <c r="AY374" i="4"/>
  <c r="W374" i="4"/>
  <c r="AE374" i="4"/>
  <c r="AA374" i="4"/>
  <c r="BG374" i="4"/>
  <c r="O374" i="4"/>
  <c r="AQ374" i="4"/>
  <c r="AM374" i="4"/>
  <c r="BC374" i="4"/>
  <c r="BH439" i="4"/>
  <c r="BI439" i="4" s="1"/>
  <c r="AU691" i="4"/>
  <c r="S691" i="4"/>
  <c r="AE691" i="4"/>
  <c r="BG691" i="4"/>
  <c r="AI691" i="4"/>
  <c r="AY691" i="4"/>
  <c r="O691" i="4"/>
  <c r="W691" i="4"/>
  <c r="AA691" i="4"/>
  <c r="AQ691" i="4"/>
  <c r="AM691" i="4"/>
  <c r="BC691" i="4"/>
  <c r="M401" i="2"/>
  <c r="AU130" i="4"/>
  <c r="S130" i="4"/>
  <c r="AQ139" i="4"/>
  <c r="O139" i="4"/>
  <c r="AU144" i="4"/>
  <c r="S144" i="4"/>
  <c r="AA146" i="4"/>
  <c r="AM151" i="4"/>
  <c r="BH151" i="4" s="1"/>
  <c r="BI151" i="4" s="1"/>
  <c r="BG153" i="4"/>
  <c r="AQ155" i="4"/>
  <c r="AA160" i="4"/>
  <c r="AM165" i="4"/>
  <c r="BH165" i="4" s="1"/>
  <c r="BI165" i="4" s="1"/>
  <c r="AA178" i="4"/>
  <c r="AY188" i="4"/>
  <c r="W188" i="4"/>
  <c r="AI188" i="4"/>
  <c r="AQ188" i="4"/>
  <c r="BH188" i="4" s="1"/>
  <c r="BI188" i="4" s="1"/>
  <c r="AI191" i="4"/>
  <c r="AQ191" i="4"/>
  <c r="O191" i="4"/>
  <c r="W192" i="4"/>
  <c r="AU200" i="4"/>
  <c r="S200" i="4"/>
  <c r="BH200" i="4" s="1"/>
  <c r="BI200" i="4" s="1"/>
  <c r="BG200" i="4"/>
  <c r="AE200" i="4"/>
  <c r="AQ200" i="4"/>
  <c r="BC228" i="4"/>
  <c r="AA228" i="4"/>
  <c r="AU228" i="4"/>
  <c r="S228" i="4"/>
  <c r="O228" i="4"/>
  <c r="BH228" i="4" s="1"/>
  <c r="BI228" i="4" s="1"/>
  <c r="BG228" i="4"/>
  <c r="W228" i="4"/>
  <c r="S232" i="4"/>
  <c r="BG232" i="4"/>
  <c r="AQ250" i="4"/>
  <c r="O250" i="4"/>
  <c r="AI250" i="4"/>
  <c r="AY250" i="4"/>
  <c r="S250" i="4"/>
  <c r="AU250" i="4"/>
  <c r="W256" i="4"/>
  <c r="BG256" i="4"/>
  <c r="AA258" i="4"/>
  <c r="BG271" i="4"/>
  <c r="W278" i="4"/>
  <c r="BG278" i="4"/>
  <c r="BG288" i="4"/>
  <c r="AY303" i="4"/>
  <c r="W303" i="4"/>
  <c r="AI303" i="4"/>
  <c r="BG303" i="4"/>
  <c r="AQ303" i="4"/>
  <c r="BC303" i="4"/>
  <c r="S303" i="4"/>
  <c r="BH303" i="4" s="1"/>
  <c r="BI303" i="4" s="1"/>
  <c r="AE303" i="4"/>
  <c r="BH332" i="4"/>
  <c r="BI332" i="4" s="1"/>
  <c r="BC356" i="4"/>
  <c r="AA356" i="4"/>
  <c r="AQ356" i="4"/>
  <c r="O356" i="4"/>
  <c r="BG356" i="4"/>
  <c r="W356" i="4"/>
  <c r="AY356" i="4"/>
  <c r="S356" i="4"/>
  <c r="AI356" i="4"/>
  <c r="AM356" i="4"/>
  <c r="BG10" i="4"/>
  <c r="AE10" i="4"/>
  <c r="BG24" i="4"/>
  <c r="AE24" i="4"/>
  <c r="BG38" i="4"/>
  <c r="AE38" i="4"/>
  <c r="BG52" i="4"/>
  <c r="AE52" i="4"/>
  <c r="BG66" i="4"/>
  <c r="AE66" i="4"/>
  <c r="BG80" i="4"/>
  <c r="AE80" i="4"/>
  <c r="BG94" i="4"/>
  <c r="AE94" i="4"/>
  <c r="BG108" i="4"/>
  <c r="AE108" i="4"/>
  <c r="BG122" i="4"/>
  <c r="BH122" i="4" s="1"/>
  <c r="BI122" i="4" s="1"/>
  <c r="AE122" i="4"/>
  <c r="AY143" i="4"/>
  <c r="W143" i="4"/>
  <c r="AM154" i="4"/>
  <c r="BC176" i="4"/>
  <c r="AM182" i="4"/>
  <c r="BH182" i="4" s="1"/>
  <c r="BI182" i="4" s="1"/>
  <c r="AY185" i="4"/>
  <c r="W185" i="4"/>
  <c r="BH185" i="4" s="1"/>
  <c r="BI185" i="4" s="1"/>
  <c r="BG185" i="4"/>
  <c r="AE185" i="4"/>
  <c r="AQ185" i="4"/>
  <c r="AI208" i="4"/>
  <c r="AU208" i="4"/>
  <c r="S208" i="4"/>
  <c r="BH208" i="4" s="1"/>
  <c r="BI208" i="4" s="1"/>
  <c r="AQ208" i="4"/>
  <c r="AU211" i="4"/>
  <c r="S211" i="4"/>
  <c r="BH211" i="4" s="1"/>
  <c r="BI211" i="4" s="1"/>
  <c r="BC211" i="4"/>
  <c r="AA211" i="4"/>
  <c r="BG211" i="4"/>
  <c r="AM211" i="4"/>
  <c r="W239" i="4"/>
  <c r="BC250" i="4"/>
  <c r="AM263" i="4"/>
  <c r="AU306" i="4"/>
  <c r="S306" i="4"/>
  <c r="BC306" i="4"/>
  <c r="AA306" i="4"/>
  <c r="BH306" i="4" s="1"/>
  <c r="BI306" i="4" s="1"/>
  <c r="AE306" i="4"/>
  <c r="BG306" i="4"/>
  <c r="AM306" i="4"/>
  <c r="BH481" i="4"/>
  <c r="BI481" i="4" s="1"/>
  <c r="AQ153" i="4"/>
  <c r="O153" i="4"/>
  <c r="AQ167" i="4"/>
  <c r="O167" i="4"/>
  <c r="AY167" i="4"/>
  <c r="W167" i="4"/>
  <c r="AQ170" i="4"/>
  <c r="O170" i="4"/>
  <c r="BC170" i="4"/>
  <c r="AA170" i="4"/>
  <c r="BC187" i="4"/>
  <c r="AA187" i="4"/>
  <c r="AI187" i="4"/>
  <c r="AQ187" i="4"/>
  <c r="AM207" i="4"/>
  <c r="AQ236" i="4"/>
  <c r="O236" i="4"/>
  <c r="AI236" i="4"/>
  <c r="AU236" i="4"/>
  <c r="AM236" i="4"/>
  <c r="BC236" i="4"/>
  <c r="W236" i="4"/>
  <c r="AY236" i="4"/>
  <c r="BG330" i="4"/>
  <c r="AE330" i="4"/>
  <c r="AA330" i="4"/>
  <c r="AU330" i="4"/>
  <c r="O330" i="4"/>
  <c r="AM330" i="4"/>
  <c r="W330" i="4"/>
  <c r="AQ330" i="4"/>
  <c r="AI353" i="4"/>
  <c r="AY353" i="4"/>
  <c r="AM353" i="4"/>
  <c r="BC353" i="4"/>
  <c r="W353" i="4"/>
  <c r="AU353" i="4"/>
  <c r="O353" i="4"/>
  <c r="AQ353" i="4"/>
  <c r="AE353" i="4"/>
  <c r="S353" i="4"/>
  <c r="BG353" i="4"/>
  <c r="BH533" i="4"/>
  <c r="BI533" i="4" s="1"/>
  <c r="M499" i="2"/>
  <c r="BC8" i="4"/>
  <c r="AA8" i="4"/>
  <c r="BC22" i="4"/>
  <c r="AA22" i="4"/>
  <c r="BC36" i="4"/>
  <c r="AA36" i="4"/>
  <c r="BC50" i="4"/>
  <c r="AA50" i="4"/>
  <c r="BC64" i="4"/>
  <c r="AA64" i="4"/>
  <c r="BC78" i="4"/>
  <c r="AA78" i="4"/>
  <c r="BC92" i="4"/>
  <c r="AA92" i="4"/>
  <c r="BC106" i="4"/>
  <c r="AA106" i="4"/>
  <c r="BC120" i="4"/>
  <c r="AA120" i="4"/>
  <c r="AY146" i="4"/>
  <c r="W146" i="4"/>
  <c r="AI146" i="4"/>
  <c r="AQ146" i="4"/>
  <c r="AY160" i="4"/>
  <c r="W160" i="4"/>
  <c r="AI160" i="4"/>
  <c r="AQ160" i="4"/>
  <c r="AU167" i="4"/>
  <c r="AU170" i="4"/>
  <c r="BG178" i="4"/>
  <c r="AE178" i="4"/>
  <c r="AQ178" i="4"/>
  <c r="O178" i="4"/>
  <c r="BH178" i="4" s="1"/>
  <c r="BI178" i="4" s="1"/>
  <c r="BC204" i="4"/>
  <c r="AI247" i="4"/>
  <c r="AQ247" i="4"/>
  <c r="O247" i="4"/>
  <c r="AY247" i="4"/>
  <c r="S247" i="4"/>
  <c r="AU247" i="4"/>
  <c r="AQ251" i="4"/>
  <c r="O251" i="4"/>
  <c r="AY251" i="4"/>
  <c r="W251" i="4"/>
  <c r="BC251" i="4"/>
  <c r="AU251" i="4"/>
  <c r="AE251" i="4"/>
  <c r="BG258" i="4"/>
  <c r="AE258" i="4"/>
  <c r="AY258" i="4"/>
  <c r="W258" i="4"/>
  <c r="AM258" i="4"/>
  <c r="AY275" i="4"/>
  <c r="AI275" i="4"/>
  <c r="BG275" i="4"/>
  <c r="AQ275" i="4"/>
  <c r="O275" i="4"/>
  <c r="BH275" i="4" s="1"/>
  <c r="BI275" i="4" s="1"/>
  <c r="AE275" i="4"/>
  <c r="AM275" i="4"/>
  <c r="BC277" i="4"/>
  <c r="AA277" i="4"/>
  <c r="O277" i="4"/>
  <c r="AQ277" i="4"/>
  <c r="AY277" i="4"/>
  <c r="BG277" i="4"/>
  <c r="W277" i="4"/>
  <c r="S277" i="4"/>
  <c r="AI277" i="4"/>
  <c r="BG293" i="4"/>
  <c r="AE293" i="4"/>
  <c r="W293" i="4"/>
  <c r="AY293" i="4"/>
  <c r="O293" i="4"/>
  <c r="AM293" i="4"/>
  <c r="AU293" i="4"/>
  <c r="BC330" i="4"/>
  <c r="BH362" i="4"/>
  <c r="BI362" i="4" s="1"/>
  <c r="BG464" i="4"/>
  <c r="AE464" i="4"/>
  <c r="W464" i="4"/>
  <c r="AA464" i="4"/>
  <c r="AY464" i="4"/>
  <c r="O464" i="4"/>
  <c r="AU464" i="4"/>
  <c r="AQ464" i="4"/>
  <c r="S464" i="4"/>
  <c r="AI464" i="4"/>
  <c r="M471" i="2"/>
  <c r="O8" i="4"/>
  <c r="W10" i="4"/>
  <c r="AM13" i="4"/>
  <c r="O22" i="4"/>
  <c r="W24" i="4"/>
  <c r="BH24" i="4" s="1"/>
  <c r="BI24" i="4" s="1"/>
  <c r="AM27" i="4"/>
  <c r="O36" i="4"/>
  <c r="BH36" i="4" s="1"/>
  <c r="BI36" i="4" s="1"/>
  <c r="W38" i="4"/>
  <c r="AM41" i="4"/>
  <c r="O50" i="4"/>
  <c r="BH50" i="4" s="1"/>
  <c r="BI50" i="4" s="1"/>
  <c r="W52" i="4"/>
  <c r="BH52" i="4" s="1"/>
  <c r="BI52" i="4" s="1"/>
  <c r="AM55" i="4"/>
  <c r="O64" i="4"/>
  <c r="W66" i="4"/>
  <c r="BH66" i="4" s="1"/>
  <c r="BI66" i="4" s="1"/>
  <c r="AM69" i="4"/>
  <c r="O78" i="4"/>
  <c r="W80" i="4"/>
  <c r="AM83" i="4"/>
  <c r="O92" i="4"/>
  <c r="W94" i="4"/>
  <c r="BH94" i="4" s="1"/>
  <c r="BI94" i="4" s="1"/>
  <c r="AM97" i="4"/>
  <c r="O106" i="4"/>
  <c r="W108" i="4"/>
  <c r="BH108" i="4" s="1"/>
  <c r="BI108" i="4" s="1"/>
  <c r="AM111" i="4"/>
  <c r="O120" i="4"/>
  <c r="W122" i="4"/>
  <c r="AM125" i="4"/>
  <c r="BG136" i="4"/>
  <c r="AE136" i="4"/>
  <c r="W138" i="4"/>
  <c r="AU141" i="4"/>
  <c r="S141" i="4"/>
  <c r="BC143" i="4"/>
  <c r="O146" i="4"/>
  <c r="AU146" i="4"/>
  <c r="S153" i="4"/>
  <c r="O160" i="4"/>
  <c r="AU160" i="4"/>
  <c r="S167" i="4"/>
  <c r="S170" i="4"/>
  <c r="AY170" i="4"/>
  <c r="BG189" i="4"/>
  <c r="BG192" i="4"/>
  <c r="AE192" i="4"/>
  <c r="AQ192" i="4"/>
  <c r="O192" i="4"/>
  <c r="BH192" i="4" s="1"/>
  <c r="BI192" i="4" s="1"/>
  <c r="BH204" i="4"/>
  <c r="BI204" i="4" s="1"/>
  <c r="AU225" i="4"/>
  <c r="S225" i="4"/>
  <c r="BC225" i="4"/>
  <c r="AA225" i="4"/>
  <c r="AM225" i="4"/>
  <c r="W225" i="4"/>
  <c r="S236" i="4"/>
  <c r="BG236" i="4"/>
  <c r="AY241" i="4"/>
  <c r="W241" i="4"/>
  <c r="BG241" i="4"/>
  <c r="AE241" i="4"/>
  <c r="AM241" i="4"/>
  <c r="BC243" i="4"/>
  <c r="AA243" i="4"/>
  <c r="AI243" i="4"/>
  <c r="W243" i="4"/>
  <c r="AE243" i="4"/>
  <c r="AU243" i="4"/>
  <c r="O258" i="4"/>
  <c r="AI260" i="4"/>
  <c r="BC260" i="4"/>
  <c r="AA260" i="4"/>
  <c r="AU260" i="4"/>
  <c r="O260" i="4"/>
  <c r="AE260" i="4"/>
  <c r="BC275" i="4"/>
  <c r="AY314" i="4"/>
  <c r="W314" i="4"/>
  <c r="BG314" i="4"/>
  <c r="AE314" i="4"/>
  <c r="AA314" i="4"/>
  <c r="AM314" i="4"/>
  <c r="AU314" i="4"/>
  <c r="S330" i="4"/>
  <c r="BC372" i="4"/>
  <c r="AA372" i="4"/>
  <c r="AI372" i="4"/>
  <c r="BG372" i="4"/>
  <c r="W372" i="4"/>
  <c r="AY372" i="4"/>
  <c r="S372" i="4"/>
  <c r="O372" i="4"/>
  <c r="BH372" i="4" s="1"/>
  <c r="BI372" i="4" s="1"/>
  <c r="AU106" i="4"/>
  <c r="AU120" i="4"/>
  <c r="AY153" i="4"/>
  <c r="AI326" i="4"/>
  <c r="AY326" i="4"/>
  <c r="W326" i="4"/>
  <c r="S326" i="4"/>
  <c r="BG326" i="4"/>
  <c r="AA326" i="4"/>
  <c r="O326" i="4"/>
  <c r="AU326" i="4"/>
  <c r="AQ326" i="4"/>
  <c r="BC326" i="4"/>
  <c r="BC338" i="4"/>
  <c r="AA338" i="4"/>
  <c r="AI338" i="4"/>
  <c r="AY338" i="4"/>
  <c r="S338" i="4"/>
  <c r="O338" i="4"/>
  <c r="AQ338" i="4"/>
  <c r="AE338" i="4"/>
  <c r="AY347" i="4"/>
  <c r="W347" i="4"/>
  <c r="BC347" i="4"/>
  <c r="AI347" i="4"/>
  <c r="O347" i="4"/>
  <c r="AM347" i="4"/>
  <c r="S347" i="4"/>
  <c r="AQ347" i="4"/>
  <c r="AA347" i="4"/>
  <c r="AQ156" i="4"/>
  <c r="O156" i="4"/>
  <c r="BC156" i="4"/>
  <c r="AA156" i="4"/>
  <c r="BC167" i="4"/>
  <c r="AU172" i="4"/>
  <c r="S172" i="4"/>
  <c r="BH172" i="4" s="1"/>
  <c r="BI172" i="4" s="1"/>
  <c r="BG172" i="4"/>
  <c r="AE172" i="4"/>
  <c r="AQ172" i="4"/>
  <c r="S178" i="4"/>
  <c r="AY178" i="4"/>
  <c r="S187" i="4"/>
  <c r="AY187" i="4"/>
  <c r="AQ195" i="4"/>
  <c r="O195" i="4"/>
  <c r="AY195" i="4"/>
  <c r="W195" i="4"/>
  <c r="AQ198" i="4"/>
  <c r="O198" i="4"/>
  <c r="BH198" i="4" s="1"/>
  <c r="BI198" i="4" s="1"/>
  <c r="BC198" i="4"/>
  <c r="AA198" i="4"/>
  <c r="BH210" i="4"/>
  <c r="BI210" i="4" s="1"/>
  <c r="AI212" i="4"/>
  <c r="AI232" i="4"/>
  <c r="BC232" i="4"/>
  <c r="AA232" i="4"/>
  <c r="AE232" i="4"/>
  <c r="W232" i="4"/>
  <c r="AM232" i="4"/>
  <c r="BH245" i="4"/>
  <c r="BI245" i="4" s="1"/>
  <c r="BC247" i="4"/>
  <c r="S251" i="4"/>
  <c r="BG251" i="4"/>
  <c r="BC256" i="4"/>
  <c r="AA256" i="4"/>
  <c r="AU256" i="4"/>
  <c r="S256" i="4"/>
  <c r="AM256" i="4"/>
  <c r="O256" i="4"/>
  <c r="BC271" i="4"/>
  <c r="AA271" i="4"/>
  <c r="AI271" i="4"/>
  <c r="AU271" i="4"/>
  <c r="O271" i="4"/>
  <c r="W271" i="4"/>
  <c r="S275" i="4"/>
  <c r="AU278" i="4"/>
  <c r="S278" i="4"/>
  <c r="BC278" i="4"/>
  <c r="AA278" i="4"/>
  <c r="AM278" i="4"/>
  <c r="O278" i="4"/>
  <c r="S293" i="4"/>
  <c r="BC293" i="4"/>
  <c r="M443" i="2"/>
  <c r="AY6" i="4"/>
  <c r="W6" i="4"/>
  <c r="S8" i="4"/>
  <c r="AA10" i="4"/>
  <c r="BH10" i="4" s="1"/>
  <c r="BI10" i="4" s="1"/>
  <c r="O13" i="4"/>
  <c r="BH13" i="4" s="1"/>
  <c r="BI13" i="4" s="1"/>
  <c r="AY20" i="4"/>
  <c r="W20" i="4"/>
  <c r="BH20" i="4" s="1"/>
  <c r="BI20" i="4" s="1"/>
  <c r="S22" i="4"/>
  <c r="AA24" i="4"/>
  <c r="O27" i="4"/>
  <c r="AY34" i="4"/>
  <c r="W34" i="4"/>
  <c r="BH34" i="4" s="1"/>
  <c r="BI34" i="4" s="1"/>
  <c r="S36" i="4"/>
  <c r="AA38" i="4"/>
  <c r="O41" i="4"/>
  <c r="AY48" i="4"/>
  <c r="W48" i="4"/>
  <c r="BH48" i="4" s="1"/>
  <c r="BI48" i="4" s="1"/>
  <c r="S50" i="4"/>
  <c r="AA52" i="4"/>
  <c r="O55" i="4"/>
  <c r="BH55" i="4" s="1"/>
  <c r="BI55" i="4" s="1"/>
  <c r="AY62" i="4"/>
  <c r="BH62" i="4" s="1"/>
  <c r="BI62" i="4" s="1"/>
  <c r="W62" i="4"/>
  <c r="S64" i="4"/>
  <c r="AA66" i="4"/>
  <c r="O69" i="4"/>
  <c r="AY76" i="4"/>
  <c r="W76" i="4"/>
  <c r="BH76" i="4" s="1"/>
  <c r="BI76" i="4" s="1"/>
  <c r="S78" i="4"/>
  <c r="AA80" i="4"/>
  <c r="O83" i="4"/>
  <c r="BH83" i="4" s="1"/>
  <c r="BI83" i="4" s="1"/>
  <c r="AY90" i="4"/>
  <c r="W90" i="4"/>
  <c r="BH90" i="4" s="1"/>
  <c r="BI90" i="4" s="1"/>
  <c r="S92" i="4"/>
  <c r="AA94" i="4"/>
  <c r="O97" i="4"/>
  <c r="BH97" i="4" s="1"/>
  <c r="BI97" i="4" s="1"/>
  <c r="AY104" i="4"/>
  <c r="W104" i="4"/>
  <c r="BH104" i="4" s="1"/>
  <c r="BI104" i="4" s="1"/>
  <c r="S106" i="4"/>
  <c r="AA108" i="4"/>
  <c r="O111" i="4"/>
  <c r="AY118" i="4"/>
  <c r="W118" i="4"/>
  <c r="S120" i="4"/>
  <c r="AA122" i="4"/>
  <c r="O125" i="4"/>
  <c r="BH125" i="4" s="1"/>
  <c r="BI125" i="4" s="1"/>
  <c r="AI130" i="4"/>
  <c r="BH130" i="4" s="1"/>
  <c r="BI130" i="4" s="1"/>
  <c r="BC131" i="4"/>
  <c r="AA131" i="4"/>
  <c r="O136" i="4"/>
  <c r="BH136" i="4" s="1"/>
  <c r="BI136" i="4" s="1"/>
  <c r="AA138" i="4"/>
  <c r="AI139" i="4"/>
  <c r="AM140" i="4"/>
  <c r="O141" i="4"/>
  <c r="BG143" i="4"/>
  <c r="AI144" i="4"/>
  <c r="BC145" i="4"/>
  <c r="AA145" i="4"/>
  <c r="S146" i="4"/>
  <c r="AI152" i="4"/>
  <c r="AU152" i="4"/>
  <c r="S152" i="4"/>
  <c r="AQ152" i="4"/>
  <c r="W153" i="4"/>
  <c r="AU156" i="4"/>
  <c r="BC159" i="4"/>
  <c r="AA159" i="4"/>
  <c r="BH159" i="4" s="1"/>
  <c r="BI159" i="4" s="1"/>
  <c r="S160" i="4"/>
  <c r="AI166" i="4"/>
  <c r="AU166" i="4"/>
  <c r="S166" i="4"/>
  <c r="AQ166" i="4"/>
  <c r="AU169" i="4"/>
  <c r="S169" i="4"/>
  <c r="BC169" i="4"/>
  <c r="AA169" i="4"/>
  <c r="AQ169" i="4"/>
  <c r="W170" i="4"/>
  <c r="AM180" i="4"/>
  <c r="AM183" i="4"/>
  <c r="AU195" i="4"/>
  <c r="AU198" i="4"/>
  <c r="BG203" i="4"/>
  <c r="BG206" i="4"/>
  <c r="AE206" i="4"/>
  <c r="AQ206" i="4"/>
  <c r="O206" i="4"/>
  <c r="BH206" i="4" s="1"/>
  <c r="BI206" i="4" s="1"/>
  <c r="AE211" i="4"/>
  <c r="O225" i="4"/>
  <c r="AY232" i="4"/>
  <c r="AQ237" i="4"/>
  <c r="O237" i="4"/>
  <c r="BH237" i="4" s="1"/>
  <c r="BI237" i="4" s="1"/>
  <c r="AY237" i="4"/>
  <c r="W237" i="4"/>
  <c r="BG237" i="4"/>
  <c r="AA237" i="4"/>
  <c r="S237" i="4"/>
  <c r="AI237" i="4"/>
  <c r="AQ239" i="4"/>
  <c r="O241" i="4"/>
  <c r="O243" i="4"/>
  <c r="AY243" i="4"/>
  <c r="W247" i="4"/>
  <c r="AM250" i="4"/>
  <c r="AY256" i="4"/>
  <c r="S258" i="4"/>
  <c r="BC258" i="4"/>
  <c r="AY271" i="4"/>
  <c r="AY278" i="4"/>
  <c r="BC308" i="4"/>
  <c r="AA308" i="4"/>
  <c r="AI308" i="4"/>
  <c r="BG308" i="4"/>
  <c r="W308" i="4"/>
  <c r="AY308" i="4"/>
  <c r="S308" i="4"/>
  <c r="BH308" i="4" s="1"/>
  <c r="BI308" i="4" s="1"/>
  <c r="AU308" i="4"/>
  <c r="BH310" i="4"/>
  <c r="BI310" i="4" s="1"/>
  <c r="O314" i="4"/>
  <c r="AY320" i="4"/>
  <c r="BH320" i="4" s="1"/>
  <c r="BI320" i="4" s="1"/>
  <c r="W320" i="4"/>
  <c r="AM320" i="4"/>
  <c r="AI320" i="4"/>
  <c r="BG320" i="4"/>
  <c r="AA320" i="4"/>
  <c r="S320" i="4"/>
  <c r="AM327" i="4"/>
  <c r="BC327" i="4"/>
  <c r="S327" i="4"/>
  <c r="AE327" i="4"/>
  <c r="AQ327" i="4"/>
  <c r="O327" i="4"/>
  <c r="AI327" i="4"/>
  <c r="AA327" i="4"/>
  <c r="AU327" i="4"/>
  <c r="BG347" i="4"/>
  <c r="AA353" i="4"/>
  <c r="AU356" i="4"/>
  <c r="AU366" i="4"/>
  <c r="S366" i="4"/>
  <c r="AI366" i="4"/>
  <c r="AY366" i="4"/>
  <c r="AE366" i="4"/>
  <c r="BG366" i="4"/>
  <c r="W366" i="4"/>
  <c r="AA366" i="4"/>
  <c r="BH366" i="4" s="1"/>
  <c r="BI366" i="4" s="1"/>
  <c r="AQ366" i="4"/>
  <c r="BC366" i="4"/>
  <c r="AM148" i="4"/>
  <c r="AM162" i="4"/>
  <c r="AM176" i="4"/>
  <c r="AM190" i="4"/>
  <c r="BH190" i="4" s="1"/>
  <c r="BI190" i="4" s="1"/>
  <c r="AM204" i="4"/>
  <c r="AI218" i="4"/>
  <c r="BC218" i="4"/>
  <c r="AA218" i="4"/>
  <c r="BH218" i="4" s="1"/>
  <c r="BI218" i="4" s="1"/>
  <c r="AQ218" i="4"/>
  <c r="AY227" i="4"/>
  <c r="W227" i="4"/>
  <c r="BG227" i="4"/>
  <c r="BH227" i="4" s="1"/>
  <c r="BI227" i="4" s="1"/>
  <c r="AE227" i="4"/>
  <c r="AQ227" i="4"/>
  <c r="AM238" i="4"/>
  <c r="BH238" i="4" s="1"/>
  <c r="BI238" i="4" s="1"/>
  <c r="BG244" i="4"/>
  <c r="AE244" i="4"/>
  <c r="AY244" i="4"/>
  <c r="W244" i="4"/>
  <c r="BH244" i="4" s="1"/>
  <c r="BI244" i="4" s="1"/>
  <c r="AQ244" i="4"/>
  <c r="AU253" i="4"/>
  <c r="S253" i="4"/>
  <c r="BH253" i="4" s="1"/>
  <c r="BI253" i="4" s="1"/>
  <c r="BC253" i="4"/>
  <c r="AA253" i="4"/>
  <c r="AQ253" i="4"/>
  <c r="AI261" i="4"/>
  <c r="AQ261" i="4"/>
  <c r="O261" i="4"/>
  <c r="AQ264" i="4"/>
  <c r="O264" i="4"/>
  <c r="AI264" i="4"/>
  <c r="BC284" i="4"/>
  <c r="AY286" i="4"/>
  <c r="W286" i="4"/>
  <c r="BH286" i="4" s="1"/>
  <c r="BI286" i="4" s="1"/>
  <c r="BG286" i="4"/>
  <c r="AE286" i="4"/>
  <c r="AQ286" i="4"/>
  <c r="BC291" i="4"/>
  <c r="AA291" i="4"/>
  <c r="O291" i="4"/>
  <c r="BH291" i="4" s="1"/>
  <c r="BI291" i="4" s="1"/>
  <c r="AQ291" i="4"/>
  <c r="AY291" i="4"/>
  <c r="S294" i="4"/>
  <c r="AY294" i="4"/>
  <c r="AA299" i="4"/>
  <c r="S307" i="4"/>
  <c r="BC315" i="4"/>
  <c r="AQ329" i="4"/>
  <c r="O329" i="4"/>
  <c r="AU329" i="4"/>
  <c r="AA329" i="4"/>
  <c r="AY329" i="4"/>
  <c r="AE329" i="4"/>
  <c r="BG329" i="4"/>
  <c r="W329" i="4"/>
  <c r="AM329" i="4"/>
  <c r="BC329" i="4"/>
  <c r="BG337" i="4"/>
  <c r="AE337" i="4"/>
  <c r="AY337" i="4"/>
  <c r="S337" i="4"/>
  <c r="AM337" i="4"/>
  <c r="AI337" i="4"/>
  <c r="W337" i="4"/>
  <c r="BH337" i="4" s="1"/>
  <c r="BI337" i="4" s="1"/>
  <c r="AQ337" i="4"/>
  <c r="W354" i="4"/>
  <c r="AY361" i="4"/>
  <c r="W361" i="4"/>
  <c r="BH361" i="4" s="1"/>
  <c r="BI361" i="4" s="1"/>
  <c r="BC361" i="4"/>
  <c r="AM361" i="4"/>
  <c r="AI361" i="4"/>
  <c r="AA361" i="4"/>
  <c r="AU361" i="4"/>
  <c r="W429" i="4"/>
  <c r="AM175" i="4"/>
  <c r="AM189" i="4"/>
  <c r="AM203" i="4"/>
  <c r="AM235" i="4"/>
  <c r="BH235" i="4" s="1"/>
  <c r="BI235" i="4" s="1"/>
  <c r="BC270" i="4"/>
  <c r="AA270" i="4"/>
  <c r="AU270" i="4"/>
  <c r="BH270" i="4" s="1"/>
  <c r="BI270" i="4" s="1"/>
  <c r="S270" i="4"/>
  <c r="AQ270" i="4"/>
  <c r="BC280" i="4"/>
  <c r="AA280" i="4"/>
  <c r="BH280" i="4" s="1"/>
  <c r="BI280" i="4" s="1"/>
  <c r="AI280" i="4"/>
  <c r="AQ280" i="4"/>
  <c r="BH309" i="4"/>
  <c r="BI309" i="4" s="1"/>
  <c r="BC322" i="4"/>
  <c r="AA322" i="4"/>
  <c r="W322" i="4"/>
  <c r="BG322" i="4"/>
  <c r="AU322" i="4"/>
  <c r="O322" i="4"/>
  <c r="AI322" i="4"/>
  <c r="BG324" i="4"/>
  <c r="AE324" i="4"/>
  <c r="AI324" i="4"/>
  <c r="AM324" i="4"/>
  <c r="AA324" i="4"/>
  <c r="AU324" i="4"/>
  <c r="O324" i="4"/>
  <c r="AY324" i="4"/>
  <c r="BH334" i="4"/>
  <c r="BI334" i="4" s="1"/>
  <c r="AQ343" i="4"/>
  <c r="O343" i="4"/>
  <c r="S343" i="4"/>
  <c r="AU343" i="4"/>
  <c r="AA343" i="4"/>
  <c r="AY343" i="4"/>
  <c r="BC343" i="4"/>
  <c r="AI380" i="4"/>
  <c r="AU380" i="4"/>
  <c r="O380" i="4"/>
  <c r="AE380" i="4"/>
  <c r="BC380" i="4"/>
  <c r="AA380" i="4"/>
  <c r="BG380" i="4"/>
  <c r="W380" i="4"/>
  <c r="S380" i="4"/>
  <c r="AY380" i="4"/>
  <c r="BH397" i="4"/>
  <c r="BI397" i="4" s="1"/>
  <c r="BC410" i="4"/>
  <c r="AA410" i="4"/>
  <c r="O410" i="4"/>
  <c r="AQ410" i="4"/>
  <c r="AE410" i="4"/>
  <c r="W410" i="4"/>
  <c r="AI410" i="4"/>
  <c r="AM410" i="4"/>
  <c r="AU410" i="4"/>
  <c r="BH588" i="4"/>
  <c r="BI588" i="4" s="1"/>
  <c r="AA148" i="4"/>
  <c r="BH148" i="4" s="1"/>
  <c r="BI148" i="4" s="1"/>
  <c r="AA162" i="4"/>
  <c r="BH162" i="4" s="1"/>
  <c r="BI162" i="4" s="1"/>
  <c r="AA176" i="4"/>
  <c r="BH176" i="4" s="1"/>
  <c r="BI176" i="4" s="1"/>
  <c r="AA190" i="4"/>
  <c r="AA204" i="4"/>
  <c r="AQ209" i="4"/>
  <c r="AY209" i="4"/>
  <c r="W209" i="4"/>
  <c r="BH209" i="4" s="1"/>
  <c r="BI209" i="4" s="1"/>
  <c r="AY213" i="4"/>
  <c r="W213" i="4"/>
  <c r="BH213" i="4" s="1"/>
  <c r="BI213" i="4" s="1"/>
  <c r="BG213" i="4"/>
  <c r="AE213" i="4"/>
  <c r="AQ213" i="4"/>
  <c r="AY216" i="4"/>
  <c r="W216" i="4"/>
  <c r="BH216" i="4" s="1"/>
  <c r="BI216" i="4" s="1"/>
  <c r="AI219" i="4"/>
  <c r="AQ219" i="4"/>
  <c r="O219" i="4"/>
  <c r="AQ222" i="4"/>
  <c r="O222" i="4"/>
  <c r="AI222" i="4"/>
  <c r="AE253" i="4"/>
  <c r="AI274" i="4"/>
  <c r="BC274" i="4"/>
  <c r="AA274" i="4"/>
  <c r="BH274" i="4" s="1"/>
  <c r="BI274" i="4" s="1"/>
  <c r="AQ274" i="4"/>
  <c r="BG279" i="4"/>
  <c r="AE279" i="4"/>
  <c r="W279" i="4"/>
  <c r="AY279" i="4"/>
  <c r="O279" i="4"/>
  <c r="BG280" i="4"/>
  <c r="AE291" i="4"/>
  <c r="AU292" i="4"/>
  <c r="S292" i="4"/>
  <c r="BC292" i="4"/>
  <c r="AA292" i="4"/>
  <c r="AQ292" i="4"/>
  <c r="AY300" i="4"/>
  <c r="W300" i="4"/>
  <c r="BG300" i="4"/>
  <c r="AE300" i="4"/>
  <c r="BH300" i="4" s="1"/>
  <c r="BI300" i="4" s="1"/>
  <c r="AQ300" i="4"/>
  <c r="BC305" i="4"/>
  <c r="AA305" i="4"/>
  <c r="O305" i="4"/>
  <c r="AQ305" i="4"/>
  <c r="AY305" i="4"/>
  <c r="AM307" i="4"/>
  <c r="AA313" i="4"/>
  <c r="AM315" i="4"/>
  <c r="AM319" i="4"/>
  <c r="AE322" i="4"/>
  <c r="AI329" i="4"/>
  <c r="AE343" i="4"/>
  <c r="AE361" i="4"/>
  <c r="AU404" i="4"/>
  <c r="S404" i="4"/>
  <c r="BG404" i="4"/>
  <c r="AA404" i="4"/>
  <c r="AQ404" i="4"/>
  <c r="AI404" i="4"/>
  <c r="W404" i="4"/>
  <c r="BC404" i="4"/>
  <c r="O404" i="4"/>
  <c r="BH404" i="4" s="1"/>
  <c r="BI404" i="4" s="1"/>
  <c r="BC420" i="4"/>
  <c r="AA420" i="4"/>
  <c r="AI420" i="4"/>
  <c r="AY420" i="4"/>
  <c r="O420" i="4"/>
  <c r="S420" i="4"/>
  <c r="AU420" i="4"/>
  <c r="AQ420" i="4"/>
  <c r="AQ427" i="4"/>
  <c r="O427" i="4"/>
  <c r="BG427" i="4"/>
  <c r="AA427" i="4"/>
  <c r="AM427" i="4"/>
  <c r="AY427" i="4"/>
  <c r="S427" i="4"/>
  <c r="AU427" i="4"/>
  <c r="AE427" i="4"/>
  <c r="BC427" i="4"/>
  <c r="BH457" i="4"/>
  <c r="BI457" i="4" s="1"/>
  <c r="BG483" i="4"/>
  <c r="AE483" i="4"/>
  <c r="AU483" i="4"/>
  <c r="S483" i="4"/>
  <c r="AM483" i="4"/>
  <c r="AY483" i="4"/>
  <c r="O483" i="4"/>
  <c r="AA483" i="4"/>
  <c r="AI483" i="4"/>
  <c r="W483" i="4"/>
  <c r="AQ483" i="4"/>
  <c r="BH523" i="4"/>
  <c r="BI523" i="4" s="1"/>
  <c r="AU542" i="4"/>
  <c r="S542" i="4"/>
  <c r="BC542" i="4"/>
  <c r="AA542" i="4"/>
  <c r="AE542" i="4"/>
  <c r="AI542" i="4"/>
  <c r="O542" i="4"/>
  <c r="AY542" i="4"/>
  <c r="AM542" i="4"/>
  <c r="AQ542" i="4"/>
  <c r="BG542" i="4"/>
  <c r="W542" i="4"/>
  <c r="BC559" i="4"/>
  <c r="AA559" i="4"/>
  <c r="AI559" i="4"/>
  <c r="AY559" i="4"/>
  <c r="S559" i="4"/>
  <c r="BG559" i="4"/>
  <c r="W559" i="4"/>
  <c r="O559" i="4"/>
  <c r="AE559" i="4"/>
  <c r="AQ559" i="4"/>
  <c r="AU559" i="4"/>
  <c r="AU305" i="4"/>
  <c r="AI321" i="4"/>
  <c r="AU321" i="4"/>
  <c r="O321" i="4"/>
  <c r="BH321" i="4" s="1"/>
  <c r="BI321" i="4" s="1"/>
  <c r="AM321" i="4"/>
  <c r="BC321" i="4"/>
  <c r="W321" i="4"/>
  <c r="BC333" i="4"/>
  <c r="AQ348" i="4"/>
  <c r="O348" i="4"/>
  <c r="AY348" i="4"/>
  <c r="W348" i="4"/>
  <c r="S348" i="4"/>
  <c r="AI348" i="4"/>
  <c r="BG348" i="4"/>
  <c r="AA348" i="4"/>
  <c r="AM380" i="4"/>
  <c r="AY431" i="4"/>
  <c r="W431" i="4"/>
  <c r="O431" i="4"/>
  <c r="AQ431" i="4"/>
  <c r="AE431" i="4"/>
  <c r="BC431" i="4"/>
  <c r="S431" i="4"/>
  <c r="AI431" i="4"/>
  <c r="BG431" i="4"/>
  <c r="BG442" i="4"/>
  <c r="AE442" i="4"/>
  <c r="AU442" i="4"/>
  <c r="S442" i="4"/>
  <c r="AI442" i="4"/>
  <c r="BC442" i="4"/>
  <c r="AA442" i="4"/>
  <c r="W442" i="4"/>
  <c r="AY442" i="4"/>
  <c r="O442" i="4"/>
  <c r="BG478" i="4"/>
  <c r="AE478" i="4"/>
  <c r="W478" i="4"/>
  <c r="AA478" i="4"/>
  <c r="BC478" i="4"/>
  <c r="S478" i="4"/>
  <c r="AY478" i="4"/>
  <c r="AI478" i="4"/>
  <c r="O478" i="4"/>
  <c r="AQ478" i="4"/>
  <c r="AM478" i="4"/>
  <c r="AU478" i="4"/>
  <c r="AY544" i="4"/>
  <c r="W544" i="4"/>
  <c r="BG544" i="4"/>
  <c r="AE544" i="4"/>
  <c r="AU544" i="4"/>
  <c r="O544" i="4"/>
  <c r="BC544" i="4"/>
  <c r="S544" i="4"/>
  <c r="AI544" i="4"/>
  <c r="AA544" i="4"/>
  <c r="AM544" i="4"/>
  <c r="AQ544" i="4"/>
  <c r="AE280" i="4"/>
  <c r="AQ284" i="4"/>
  <c r="O284" i="4"/>
  <c r="AY284" i="4"/>
  <c r="W284" i="4"/>
  <c r="AI286" i="4"/>
  <c r="AI291" i="4"/>
  <c r="BC294" i="4"/>
  <c r="AA294" i="4"/>
  <c r="AI294" i="4"/>
  <c r="BH294" i="4" s="1"/>
  <c r="BI294" i="4" s="1"/>
  <c r="AQ294" i="4"/>
  <c r="BG302" i="4"/>
  <c r="AI331" i="4"/>
  <c r="AI343" i="4"/>
  <c r="BC354" i="4"/>
  <c r="AA354" i="4"/>
  <c r="AU354" i="4"/>
  <c r="O354" i="4"/>
  <c r="AI354" i="4"/>
  <c r="AE354" i="4"/>
  <c r="S354" i="4"/>
  <c r="AM354" i="4"/>
  <c r="AU373" i="4"/>
  <c r="S373" i="4"/>
  <c r="O373" i="4"/>
  <c r="AE373" i="4"/>
  <c r="AY373" i="4"/>
  <c r="AQ373" i="4"/>
  <c r="AM373" i="4"/>
  <c r="AI373" i="4"/>
  <c r="BC373" i="4"/>
  <c r="BH379" i="4"/>
  <c r="BI379" i="4" s="1"/>
  <c r="AU390" i="4"/>
  <c r="S390" i="4"/>
  <c r="AI390" i="4"/>
  <c r="W390" i="4"/>
  <c r="O390" i="4"/>
  <c r="AE390" i="4"/>
  <c r="BG390" i="4"/>
  <c r="AA390" i="4"/>
  <c r="BC390" i="4"/>
  <c r="AM390" i="4"/>
  <c r="AY417" i="4"/>
  <c r="W417" i="4"/>
  <c r="AQ417" i="4"/>
  <c r="BH417" i="4" s="1"/>
  <c r="BI417" i="4" s="1"/>
  <c r="BC417" i="4"/>
  <c r="AM417" i="4"/>
  <c r="BG417" i="4"/>
  <c r="AE417" i="4"/>
  <c r="AA417" i="4"/>
  <c r="S417" i="4"/>
  <c r="BG420" i="4"/>
  <c r="BG428" i="4"/>
  <c r="AE428" i="4"/>
  <c r="S428" i="4"/>
  <c r="AU428" i="4"/>
  <c r="AI428" i="4"/>
  <c r="AA428" i="4"/>
  <c r="W428" i="4"/>
  <c r="BC428" i="4"/>
  <c r="O428" i="4"/>
  <c r="AY428" i="4"/>
  <c r="AM428" i="4"/>
  <c r="AU429" i="4"/>
  <c r="S429" i="4"/>
  <c r="AI429" i="4"/>
  <c r="O429" i="4"/>
  <c r="AE429" i="4"/>
  <c r="AM429" i="4"/>
  <c r="AA429" i="4"/>
  <c r="BG429" i="4"/>
  <c r="BH479" i="4"/>
  <c r="BI479" i="4" s="1"/>
  <c r="AY491" i="4"/>
  <c r="W491" i="4"/>
  <c r="AU491" i="4"/>
  <c r="S491" i="4"/>
  <c r="BG491" i="4"/>
  <c r="AE491" i="4"/>
  <c r="AQ491" i="4"/>
  <c r="AM491" i="4"/>
  <c r="AA491" i="4"/>
  <c r="BC491" i="4"/>
  <c r="O491" i="4"/>
  <c r="AI491" i="4"/>
  <c r="AA508" i="4"/>
  <c r="AE175" i="4"/>
  <c r="BH175" i="4" s="1"/>
  <c r="BI175" i="4" s="1"/>
  <c r="AE189" i="4"/>
  <c r="BH189" i="4" s="1"/>
  <c r="BI189" i="4" s="1"/>
  <c r="AE203" i="4"/>
  <c r="BH203" i="4" s="1"/>
  <c r="BI203" i="4" s="1"/>
  <c r="AQ212" i="4"/>
  <c r="O212" i="4"/>
  <c r="BH212" i="4" s="1"/>
  <c r="BI212" i="4" s="1"/>
  <c r="BC242" i="4"/>
  <c r="AA242" i="4"/>
  <c r="BH242" i="4" s="1"/>
  <c r="BI242" i="4" s="1"/>
  <c r="AU242" i="4"/>
  <c r="S242" i="4"/>
  <c r="AQ242" i="4"/>
  <c r="BG259" i="4"/>
  <c r="AY268" i="4"/>
  <c r="W268" i="4"/>
  <c r="AQ268" i="4"/>
  <c r="O268" i="4"/>
  <c r="BH268" i="4" s="1"/>
  <c r="BI268" i="4" s="1"/>
  <c r="AI270" i="4"/>
  <c r="AU284" i="4"/>
  <c r="AY289" i="4"/>
  <c r="W289" i="4"/>
  <c r="BH289" i="4" s="1"/>
  <c r="BI289" i="4" s="1"/>
  <c r="AI289" i="4"/>
  <c r="BG289" i="4"/>
  <c r="AQ289" i="4"/>
  <c r="BG307" i="4"/>
  <c r="AE307" i="4"/>
  <c r="W307" i="4"/>
  <c r="AY307" i="4"/>
  <c r="O307" i="4"/>
  <c r="BH307" i="4" s="1"/>
  <c r="BI307" i="4" s="1"/>
  <c r="AU315" i="4"/>
  <c r="S315" i="4"/>
  <c r="BH315" i="4" s="1"/>
  <c r="BI315" i="4" s="1"/>
  <c r="BG315" i="4"/>
  <c r="AA315" i="4"/>
  <c r="AY315" i="4"/>
  <c r="AI315" i="4"/>
  <c r="AI319" i="4"/>
  <c r="BG319" i="4"/>
  <c r="AA319" i="4"/>
  <c r="AY319" i="4"/>
  <c r="S319" i="4"/>
  <c r="AM322" i="4"/>
  <c r="AU336" i="4"/>
  <c r="S336" i="4"/>
  <c r="BC336" i="4"/>
  <c r="AA336" i="4"/>
  <c r="BG336" i="4"/>
  <c r="AY336" i="4"/>
  <c r="O336" i="4"/>
  <c r="AM336" i="4"/>
  <c r="AU360" i="4"/>
  <c r="S360" i="4"/>
  <c r="AI360" i="4"/>
  <c r="AY360" i="4"/>
  <c r="BG360" i="4"/>
  <c r="W360" i="4"/>
  <c r="BC360" i="4"/>
  <c r="O360" i="4"/>
  <c r="AE360" i="4"/>
  <c r="AQ370" i="4"/>
  <c r="O370" i="4"/>
  <c r="BG370" i="4"/>
  <c r="AE370" i="4"/>
  <c r="AM370" i="4"/>
  <c r="AA370" i="4"/>
  <c r="BC370" i="4"/>
  <c r="S370" i="4"/>
  <c r="AY370" i="4"/>
  <c r="AQ380" i="4"/>
  <c r="AQ413" i="4"/>
  <c r="O413" i="4"/>
  <c r="AA413" i="4"/>
  <c r="AM413" i="4"/>
  <c r="AY413" i="4"/>
  <c r="S413" i="4"/>
  <c r="BC413" i="4"/>
  <c r="W413" i="4"/>
  <c r="AI413" i="4"/>
  <c r="BC487" i="4"/>
  <c r="AA487" i="4"/>
  <c r="AQ487" i="4"/>
  <c r="O487" i="4"/>
  <c r="AM487" i="4"/>
  <c r="BG487" i="4"/>
  <c r="AY487" i="4"/>
  <c r="S487" i="4"/>
  <c r="AU487" i="4"/>
  <c r="AI487" i="4"/>
  <c r="AI497" i="4"/>
  <c r="AY497" i="4"/>
  <c r="W497" i="4"/>
  <c r="BC497" i="4"/>
  <c r="S497" i="4"/>
  <c r="BH497" i="4" s="1"/>
  <c r="BI497" i="4" s="1"/>
  <c r="AM497" i="4"/>
  <c r="AE497" i="4"/>
  <c r="BG497" i="4"/>
  <c r="AA497" i="4"/>
  <c r="AU497" i="4"/>
  <c r="AQ497" i="4"/>
  <c r="AM217" i="4"/>
  <c r="S221" i="4"/>
  <c r="AU221" i="4"/>
  <c r="BH221" i="4" s="1"/>
  <c r="BI221" i="4" s="1"/>
  <c r="AM231" i="4"/>
  <c r="AM245" i="4"/>
  <c r="S249" i="4"/>
  <c r="AU249" i="4"/>
  <c r="BH249" i="4" s="1"/>
  <c r="BI249" i="4" s="1"/>
  <c r="AM259" i="4"/>
  <c r="S263" i="4"/>
  <c r="BH263" i="4" s="1"/>
  <c r="BI263" i="4" s="1"/>
  <c r="AU263" i="4"/>
  <c r="AM273" i="4"/>
  <c r="S276" i="4"/>
  <c r="BH276" i="4" s="1"/>
  <c r="BI276" i="4" s="1"/>
  <c r="AU276" i="4"/>
  <c r="AI281" i="4"/>
  <c r="AM288" i="4"/>
  <c r="S290" i="4"/>
  <c r="BH290" i="4" s="1"/>
  <c r="BI290" i="4" s="1"/>
  <c r="AU290" i="4"/>
  <c r="AI295" i="4"/>
  <c r="AM302" i="4"/>
  <c r="S304" i="4"/>
  <c r="BH304" i="4" s="1"/>
  <c r="BI304" i="4" s="1"/>
  <c r="AU304" i="4"/>
  <c r="AI309" i="4"/>
  <c r="AQ316" i="4"/>
  <c r="O316" i="4"/>
  <c r="W316" i="4"/>
  <c r="AA318" i="4"/>
  <c r="AM323" i="4"/>
  <c r="BH323" i="4" s="1"/>
  <c r="BI323" i="4" s="1"/>
  <c r="AM332" i="4"/>
  <c r="AQ342" i="4"/>
  <c r="O342" i="4"/>
  <c r="AY342" i="4"/>
  <c r="W342" i="4"/>
  <c r="AI342" i="4"/>
  <c r="AU342" i="4"/>
  <c r="AY344" i="4"/>
  <c r="W344" i="4"/>
  <c r="BG344" i="4"/>
  <c r="AE344" i="4"/>
  <c r="AQ344" i="4"/>
  <c r="S357" i="4"/>
  <c r="BH364" i="4"/>
  <c r="BI364" i="4" s="1"/>
  <c r="BG405" i="4"/>
  <c r="AY412" i="4"/>
  <c r="W412" i="4"/>
  <c r="AE412" i="4"/>
  <c r="BG412" i="4"/>
  <c r="O412" i="4"/>
  <c r="AM412" i="4"/>
  <c r="AU412" i="4"/>
  <c r="S414" i="4"/>
  <c r="AY414" i="4"/>
  <c r="BC433" i="4"/>
  <c r="AA433" i="4"/>
  <c r="W433" i="4"/>
  <c r="AY433" i="4"/>
  <c r="AM433" i="4"/>
  <c r="O433" i="4"/>
  <c r="BH433" i="4" s="1"/>
  <c r="BI433" i="4" s="1"/>
  <c r="AU433" i="4"/>
  <c r="S433" i="4"/>
  <c r="AQ441" i="4"/>
  <c r="O441" i="4"/>
  <c r="BG441" i="4"/>
  <c r="AA441" i="4"/>
  <c r="BC441" i="4"/>
  <c r="W441" i="4"/>
  <c r="AI441" i="4"/>
  <c r="AE441" i="4"/>
  <c r="AY441" i="4"/>
  <c r="BH444" i="4"/>
  <c r="BI444" i="4" s="1"/>
  <c r="AU458" i="4"/>
  <c r="S458" i="4"/>
  <c r="BG458" i="4"/>
  <c r="O458" i="4"/>
  <c r="AQ458" i="4"/>
  <c r="AE458" i="4"/>
  <c r="BC458" i="4"/>
  <c r="AM458" i="4"/>
  <c r="AA458" i="4"/>
  <c r="AY458" i="4"/>
  <c r="BG543" i="4"/>
  <c r="AE543" i="4"/>
  <c r="AM543" i="4"/>
  <c r="O543" i="4"/>
  <c r="AQ543" i="4"/>
  <c r="AI543" i="4"/>
  <c r="W543" i="4"/>
  <c r="AY543" i="4"/>
  <c r="BC543" i="4"/>
  <c r="AY571" i="4"/>
  <c r="W571" i="4"/>
  <c r="BG571" i="4"/>
  <c r="AE571" i="4"/>
  <c r="BC571" i="4"/>
  <c r="S571" i="4"/>
  <c r="AA571" i="4"/>
  <c r="AI571" i="4"/>
  <c r="O571" i="4"/>
  <c r="BH571" i="4" s="1"/>
  <c r="BI571" i="4" s="1"/>
  <c r="AM571" i="4"/>
  <c r="AQ571" i="4"/>
  <c r="BH641" i="4"/>
  <c r="BI641" i="4" s="1"/>
  <c r="AU646" i="4"/>
  <c r="S646" i="4"/>
  <c r="AM646" i="4"/>
  <c r="AI646" i="4"/>
  <c r="O646" i="4"/>
  <c r="AQ646" i="4"/>
  <c r="BC646" i="4"/>
  <c r="AA646" i="4"/>
  <c r="AE646" i="4"/>
  <c r="BG646" i="4"/>
  <c r="AY646" i="4"/>
  <c r="W646" i="4"/>
  <c r="AY328" i="4"/>
  <c r="W328" i="4"/>
  <c r="AM328" i="4"/>
  <c r="AQ328" i="4"/>
  <c r="AY384" i="4"/>
  <c r="W384" i="4"/>
  <c r="AU384" i="4"/>
  <c r="O384" i="4"/>
  <c r="AA384" i="4"/>
  <c r="BC384" i="4"/>
  <c r="S384" i="4"/>
  <c r="BC396" i="4"/>
  <c r="AA396" i="4"/>
  <c r="W396" i="4"/>
  <c r="BH396" i="4" s="1"/>
  <c r="BI396" i="4" s="1"/>
  <c r="AY396" i="4"/>
  <c r="AM396" i="4"/>
  <c r="AQ396" i="4"/>
  <c r="AU396" i="4"/>
  <c r="BH467" i="4"/>
  <c r="BI467" i="4" s="1"/>
  <c r="AU499" i="4"/>
  <c r="S499" i="4"/>
  <c r="AI499" i="4"/>
  <c r="AY499" i="4"/>
  <c r="O499" i="4"/>
  <c r="AQ499" i="4"/>
  <c r="BG499" i="4"/>
  <c r="W499" i="4"/>
  <c r="AY513" i="4"/>
  <c r="W513" i="4"/>
  <c r="BG513" i="4"/>
  <c r="AA513" i="4"/>
  <c r="BC513" i="4"/>
  <c r="AQ513" i="4"/>
  <c r="S513" i="4"/>
  <c r="O513" i="4"/>
  <c r="AU513" i="4"/>
  <c r="AE513" i="4"/>
  <c r="AI513" i="4"/>
  <c r="AM513" i="4"/>
  <c r="AU514" i="4"/>
  <c r="S514" i="4"/>
  <c r="BG514" i="4"/>
  <c r="AA514" i="4"/>
  <c r="AI514" i="4"/>
  <c r="AM514" i="4"/>
  <c r="AE514" i="4"/>
  <c r="BC514" i="4"/>
  <c r="AQ514" i="4"/>
  <c r="W514" i="4"/>
  <c r="O514" i="4"/>
  <c r="BG515" i="4"/>
  <c r="AE515" i="4"/>
  <c r="AU515" i="4"/>
  <c r="O515" i="4"/>
  <c r="BH515" i="4" s="1"/>
  <c r="BI515" i="4" s="1"/>
  <c r="AQ515" i="4"/>
  <c r="BC515" i="4"/>
  <c r="S515" i="4"/>
  <c r="AY515" i="4"/>
  <c r="W515" i="4"/>
  <c r="AU528" i="4"/>
  <c r="S528" i="4"/>
  <c r="BH528" i="4" s="1"/>
  <c r="BI528" i="4" s="1"/>
  <c r="BG528" i="4"/>
  <c r="AA528" i="4"/>
  <c r="AI528" i="4"/>
  <c r="AQ528" i="4"/>
  <c r="AM528" i="4"/>
  <c r="AE528" i="4"/>
  <c r="W528" i="4"/>
  <c r="BC528" i="4"/>
  <c r="AI945" i="4"/>
  <c r="BG945" i="4"/>
  <c r="AE945" i="4"/>
  <c r="AY945" i="4"/>
  <c r="W945" i="4"/>
  <c r="AM945" i="4"/>
  <c r="AA945" i="4"/>
  <c r="AU945" i="4"/>
  <c r="AQ945" i="4"/>
  <c r="BC945" i="4"/>
  <c r="O945" i="4"/>
  <c r="S945" i="4"/>
  <c r="AE220" i="4"/>
  <c r="BH220" i="4" s="1"/>
  <c r="BI220" i="4" s="1"/>
  <c r="BG220" i="4"/>
  <c r="AE234" i="4"/>
  <c r="BG234" i="4"/>
  <c r="AE248" i="4"/>
  <c r="BH248" i="4" s="1"/>
  <c r="BI248" i="4" s="1"/>
  <c r="BG248" i="4"/>
  <c r="AE262" i="4"/>
  <c r="BG262" i="4"/>
  <c r="AE282" i="4"/>
  <c r="BH282" i="4" s="1"/>
  <c r="BI282" i="4" s="1"/>
  <c r="BG282" i="4"/>
  <c r="AQ285" i="4"/>
  <c r="O285" i="4"/>
  <c r="AE296" i="4"/>
  <c r="BH296" i="4" s="1"/>
  <c r="BI296" i="4" s="1"/>
  <c r="BG296" i="4"/>
  <c r="AQ299" i="4"/>
  <c r="O299" i="4"/>
  <c r="AQ313" i="4"/>
  <c r="O313" i="4"/>
  <c r="AU318" i="4"/>
  <c r="S318" i="4"/>
  <c r="AE318" i="4"/>
  <c r="AQ318" i="4"/>
  <c r="AU424" i="4"/>
  <c r="S424" i="4"/>
  <c r="BC424" i="4"/>
  <c r="AA424" i="4"/>
  <c r="AM424" i="4"/>
  <c r="BG424" i="4"/>
  <c r="AY424" i="4"/>
  <c r="AI424" i="4"/>
  <c r="AU432" i="4"/>
  <c r="S432" i="4"/>
  <c r="AI432" i="4"/>
  <c r="BC432" i="4"/>
  <c r="W432" i="4"/>
  <c r="AQ484" i="4"/>
  <c r="O484" i="4"/>
  <c r="AY484" i="4"/>
  <c r="BC484" i="4"/>
  <c r="AI484" i="4"/>
  <c r="W484" i="4"/>
  <c r="AU484" i="4"/>
  <c r="BG484" i="4"/>
  <c r="S484" i="4"/>
  <c r="AM484" i="4"/>
  <c r="BC499" i="4"/>
  <c r="AU507" i="4"/>
  <c r="AY527" i="4"/>
  <c r="W527" i="4"/>
  <c r="BG527" i="4"/>
  <c r="AE527" i="4"/>
  <c r="AA527" i="4"/>
  <c r="AM527" i="4"/>
  <c r="S527" i="4"/>
  <c r="BC527" i="4"/>
  <c r="O527" i="4"/>
  <c r="AQ527" i="4"/>
  <c r="AI527" i="4"/>
  <c r="AU527" i="4"/>
  <c r="AI713" i="4"/>
  <c r="AQ713" i="4"/>
  <c r="O713" i="4"/>
  <c r="BC713" i="4"/>
  <c r="W713" i="4"/>
  <c r="AY713" i="4"/>
  <c r="S713" i="4"/>
  <c r="BG713" i="4"/>
  <c r="AA713" i="4"/>
  <c r="AE713" i="4"/>
  <c r="AM713" i="4"/>
  <c r="AU713" i="4"/>
  <c r="BC349" i="4"/>
  <c r="AA349" i="4"/>
  <c r="AU349" i="4"/>
  <c r="O349" i="4"/>
  <c r="AE349" i="4"/>
  <c r="BG384" i="4"/>
  <c r="AQ399" i="4"/>
  <c r="O399" i="4"/>
  <c r="AA399" i="4"/>
  <c r="AY399" i="4"/>
  <c r="S399" i="4"/>
  <c r="AI399" i="4"/>
  <c r="BG399" i="4"/>
  <c r="AE399" i="4"/>
  <c r="AI412" i="4"/>
  <c r="AM416" i="4"/>
  <c r="BH416" i="4" s="1"/>
  <c r="BI416" i="4" s="1"/>
  <c r="AU418" i="4"/>
  <c r="S418" i="4"/>
  <c r="AY418" i="4"/>
  <c r="AI418" i="4"/>
  <c r="BG418" i="4"/>
  <c r="AQ418" i="4"/>
  <c r="AI422" i="4"/>
  <c r="AY422" i="4"/>
  <c r="S422" i="4"/>
  <c r="BG422" i="4"/>
  <c r="BC422" i="4"/>
  <c r="AE422" i="4"/>
  <c r="O424" i="4"/>
  <c r="O432" i="4"/>
  <c r="AY432" i="4"/>
  <c r="AM441" i="4"/>
  <c r="AU452" i="4"/>
  <c r="S452" i="4"/>
  <c r="BH452" i="4" s="1"/>
  <c r="BI452" i="4" s="1"/>
  <c r="BC452" i="4"/>
  <c r="AA452" i="4"/>
  <c r="AM452" i="4"/>
  <c r="BG452" i="4"/>
  <c r="AY452" i="4"/>
  <c r="AM468" i="4"/>
  <c r="BH468" i="4" s="1"/>
  <c r="BI468" i="4" s="1"/>
  <c r="AU480" i="4"/>
  <c r="AU500" i="4"/>
  <c r="S500" i="4"/>
  <c r="BG500" i="4"/>
  <c r="BC500" i="4"/>
  <c r="W500" i="4"/>
  <c r="AY500" i="4"/>
  <c r="AM500" i="4"/>
  <c r="AE500" i="4"/>
  <c r="O500" i="4"/>
  <c r="AQ500" i="4"/>
  <c r="AE217" i="4"/>
  <c r="AE231" i="4"/>
  <c r="BH231" i="4" s="1"/>
  <c r="BI231" i="4" s="1"/>
  <c r="AE245" i="4"/>
  <c r="AE259" i="4"/>
  <c r="AE273" i="4"/>
  <c r="BH273" i="4" s="1"/>
  <c r="BI273" i="4" s="1"/>
  <c r="AE281" i="4"/>
  <c r="AM283" i="4"/>
  <c r="BH283" i="4" s="1"/>
  <c r="BI283" i="4" s="1"/>
  <c r="S285" i="4"/>
  <c r="AE288" i="4"/>
  <c r="AE295" i="4"/>
  <c r="BH295" i="4" s="1"/>
  <c r="BI295" i="4" s="1"/>
  <c r="AM297" i="4"/>
  <c r="BH297" i="4" s="1"/>
  <c r="BI297" i="4" s="1"/>
  <c r="S299" i="4"/>
  <c r="AE302" i="4"/>
  <c r="BH302" i="4" s="1"/>
  <c r="BI302" i="4" s="1"/>
  <c r="AE309" i="4"/>
  <c r="AM311" i="4"/>
  <c r="BH311" i="4" s="1"/>
  <c r="BI311" i="4" s="1"/>
  <c r="S313" i="4"/>
  <c r="AI316" i="4"/>
  <c r="BC317" i="4"/>
  <c r="AA317" i="4"/>
  <c r="BH317" i="4" s="1"/>
  <c r="BI317" i="4" s="1"/>
  <c r="AY318" i="4"/>
  <c r="BH318" i="4" s="1"/>
  <c r="BI318" i="4" s="1"/>
  <c r="S328" i="4"/>
  <c r="BH328" i="4" s="1"/>
  <c r="BI328" i="4" s="1"/>
  <c r="AI344" i="4"/>
  <c r="BH344" i="4" s="1"/>
  <c r="BI344" i="4" s="1"/>
  <c r="AQ371" i="4"/>
  <c r="O371" i="4"/>
  <c r="W371" i="4"/>
  <c r="AY371" i="4"/>
  <c r="AE371" i="4"/>
  <c r="AU371" i="4"/>
  <c r="S396" i="4"/>
  <c r="BG396" i="4"/>
  <c r="AU443" i="4"/>
  <c r="S443" i="4"/>
  <c r="AI443" i="4"/>
  <c r="W443" i="4"/>
  <c r="O443" i="4"/>
  <c r="BC443" i="4"/>
  <c r="AM443" i="4"/>
  <c r="AE443" i="4"/>
  <c r="BG443" i="4"/>
  <c r="AA443" i="4"/>
  <c r="AU571" i="4"/>
  <c r="AY654" i="4"/>
  <c r="W654" i="4"/>
  <c r="BC654" i="4"/>
  <c r="AA654" i="4"/>
  <c r="BG654" i="4"/>
  <c r="AI654" i="4"/>
  <c r="S654" i="4"/>
  <c r="AQ654" i="4"/>
  <c r="AM654" i="4"/>
  <c r="AU654" i="4"/>
  <c r="O654" i="4"/>
  <c r="AY299" i="4"/>
  <c r="AY313" i="4"/>
  <c r="BC328" i="4"/>
  <c r="AY333" i="4"/>
  <c r="W333" i="4"/>
  <c r="AI333" i="4"/>
  <c r="S333" i="4"/>
  <c r="AQ333" i="4"/>
  <c r="AU333" i="4"/>
  <c r="AQ357" i="4"/>
  <c r="O357" i="4"/>
  <c r="AI357" i="4"/>
  <c r="AY357" i="4"/>
  <c r="BH369" i="4"/>
  <c r="BI369" i="4" s="1"/>
  <c r="BC405" i="4"/>
  <c r="AA405" i="4"/>
  <c r="AY405" i="4"/>
  <c r="AI405" i="4"/>
  <c r="S405" i="4"/>
  <c r="AQ405" i="4"/>
  <c r="O405" i="4"/>
  <c r="BG414" i="4"/>
  <c r="AE414" i="4"/>
  <c r="AU414" i="4"/>
  <c r="O414" i="4"/>
  <c r="BC414" i="4"/>
  <c r="AQ414" i="4"/>
  <c r="BH422" i="4"/>
  <c r="BI422" i="4" s="1"/>
  <c r="BC465" i="4"/>
  <c r="AA465" i="4"/>
  <c r="AY465" i="4"/>
  <c r="W465" i="4"/>
  <c r="BH465" i="4" s="1"/>
  <c r="BI465" i="4" s="1"/>
  <c r="AI465" i="4"/>
  <c r="AE465" i="4"/>
  <c r="AU465" i="4"/>
  <c r="BG465" i="4"/>
  <c r="BH473" i="4"/>
  <c r="BI473" i="4" s="1"/>
  <c r="BH495" i="4"/>
  <c r="BI495" i="4" s="1"/>
  <c r="AA499" i="4"/>
  <c r="BG501" i="4"/>
  <c r="AE501" i="4"/>
  <c r="AI501" i="4"/>
  <c r="S501" i="4"/>
  <c r="AQ501" i="4"/>
  <c r="BC501" i="4"/>
  <c r="AY501" i="4"/>
  <c r="O501" i="4"/>
  <c r="AM501" i="4"/>
  <c r="AA515" i="4"/>
  <c r="BG596" i="4"/>
  <c r="AE596" i="4"/>
  <c r="BC596" i="4"/>
  <c r="AA596" i="4"/>
  <c r="AI596" i="4"/>
  <c r="S596" i="4"/>
  <c r="AY596" i="4"/>
  <c r="W596" i="4"/>
  <c r="AU596" i="4"/>
  <c r="AQ596" i="4"/>
  <c r="O596" i="4"/>
  <c r="AM596" i="4"/>
  <c r="BG684" i="4"/>
  <c r="AE684" i="4"/>
  <c r="AI684" i="4"/>
  <c r="AA684" i="4"/>
  <c r="BC684" i="4"/>
  <c r="W684" i="4"/>
  <c r="AQ684" i="4"/>
  <c r="S684" i="4"/>
  <c r="O684" i="4"/>
  <c r="AY684" i="4"/>
  <c r="AM684" i="4"/>
  <c r="AU684" i="4"/>
  <c r="AU702" i="4"/>
  <c r="S702" i="4"/>
  <c r="AY702" i="4"/>
  <c r="W702" i="4"/>
  <c r="AE702" i="4"/>
  <c r="BG702" i="4"/>
  <c r="AA702" i="4"/>
  <c r="AI702" i="4"/>
  <c r="AM702" i="4"/>
  <c r="O702" i="4"/>
  <c r="BC702" i="4"/>
  <c r="AQ702" i="4"/>
  <c r="BH496" i="4"/>
  <c r="BI496" i="4" s="1"/>
  <c r="AM503" i="4"/>
  <c r="BH503" i="4" s="1"/>
  <c r="BI503" i="4" s="1"/>
  <c r="AU519" i="4"/>
  <c r="S519" i="4"/>
  <c r="BC519" i="4"/>
  <c r="AA519" i="4"/>
  <c r="BH519" i="4" s="1"/>
  <c r="BI519" i="4" s="1"/>
  <c r="BG519" i="4"/>
  <c r="W519" i="4"/>
  <c r="AI519" i="4"/>
  <c r="AM519" i="4"/>
  <c r="AY519" i="4"/>
  <c r="O569" i="4"/>
  <c r="BG772" i="4"/>
  <c r="AE772" i="4"/>
  <c r="AQ772" i="4"/>
  <c r="AY772" i="4"/>
  <c r="S772" i="4"/>
  <c r="W772" i="4"/>
  <c r="BC772" i="4"/>
  <c r="AA772" i="4"/>
  <c r="AI772" i="4"/>
  <c r="AM772" i="4"/>
  <c r="O772" i="4"/>
  <c r="AU772" i="4"/>
  <c r="AQ775" i="4"/>
  <c r="O775" i="4"/>
  <c r="AU775" i="4"/>
  <c r="S775" i="4"/>
  <c r="AI775" i="4"/>
  <c r="AE775" i="4"/>
  <c r="AM775" i="4"/>
  <c r="W775" i="4"/>
  <c r="AA775" i="4"/>
  <c r="BG775" i="4"/>
  <c r="AY775" i="4"/>
  <c r="BC775" i="4"/>
  <c r="AQ485" i="4"/>
  <c r="O485" i="4"/>
  <c r="BG485" i="4"/>
  <c r="AE485" i="4"/>
  <c r="AM485" i="4"/>
  <c r="AY485" i="4"/>
  <c r="S485" i="4"/>
  <c r="AU485" i="4"/>
  <c r="BC507" i="4"/>
  <c r="AA507" i="4"/>
  <c r="BG507" i="4"/>
  <c r="W507" i="4"/>
  <c r="AQ507" i="4"/>
  <c r="AE507" i="4"/>
  <c r="O507" i="4"/>
  <c r="BH575" i="4"/>
  <c r="BI575" i="4" s="1"/>
  <c r="BH625" i="4"/>
  <c r="BI625" i="4" s="1"/>
  <c r="AY880" i="4"/>
  <c r="W880" i="4"/>
  <c r="BG880" i="4"/>
  <c r="BC880" i="4"/>
  <c r="AI880" i="4"/>
  <c r="AM880" i="4"/>
  <c r="AU880" i="4"/>
  <c r="O880" i="4"/>
  <c r="S880" i="4"/>
  <c r="AE880" i="4"/>
  <c r="AA880" i="4"/>
  <c r="AQ880" i="4"/>
  <c r="AQ540" i="4"/>
  <c r="O540" i="4"/>
  <c r="BH540" i="4" s="1"/>
  <c r="BI540" i="4" s="1"/>
  <c r="AY540" i="4"/>
  <c r="S540" i="4"/>
  <c r="AA540" i="4"/>
  <c r="BC540" i="4"/>
  <c r="BG540" i="4"/>
  <c r="W540" i="4"/>
  <c r="AI540" i="4"/>
  <c r="AE540" i="4"/>
  <c r="BH766" i="4"/>
  <c r="BI766" i="4" s="1"/>
  <c r="AY767" i="4"/>
  <c r="W767" i="4"/>
  <c r="O767" i="4"/>
  <c r="AQ767" i="4"/>
  <c r="AE767" i="4"/>
  <c r="AM767" i="4"/>
  <c r="AI767" i="4"/>
  <c r="AU767" i="4"/>
  <c r="S767" i="4"/>
  <c r="AA767" i="4"/>
  <c r="BC767" i="4"/>
  <c r="BG767" i="4"/>
  <c r="BH870" i="4"/>
  <c r="BI870" i="4" s="1"/>
  <c r="AQ325" i="4"/>
  <c r="O325" i="4"/>
  <c r="AY350" i="4"/>
  <c r="BC368" i="4"/>
  <c r="BH368" i="4" s="1"/>
  <c r="BI368" i="4" s="1"/>
  <c r="AA368" i="4"/>
  <c r="AI368" i="4"/>
  <c r="S368" i="4"/>
  <c r="AQ368" i="4"/>
  <c r="AU368" i="4"/>
  <c r="AM375" i="4"/>
  <c r="BC377" i="4"/>
  <c r="AA377" i="4"/>
  <c r="AY377" i="4"/>
  <c r="S377" i="4"/>
  <c r="BH377" i="4" s="1"/>
  <c r="BI377" i="4" s="1"/>
  <c r="AE377" i="4"/>
  <c r="AY381" i="4"/>
  <c r="BC392" i="4"/>
  <c r="AA392" i="4"/>
  <c r="BH392" i="4" s="1"/>
  <c r="BI392" i="4" s="1"/>
  <c r="W392" i="4"/>
  <c r="AY392" i="4"/>
  <c r="AM392" i="4"/>
  <c r="AY398" i="4"/>
  <c r="W398" i="4"/>
  <c r="BH398" i="4" s="1"/>
  <c r="BI398" i="4" s="1"/>
  <c r="AM398" i="4"/>
  <c r="BC398" i="4"/>
  <c r="AU398" i="4"/>
  <c r="AQ398" i="4"/>
  <c r="AY459" i="4"/>
  <c r="W459" i="4"/>
  <c r="BH459" i="4" s="1"/>
  <c r="BI459" i="4" s="1"/>
  <c r="BG459" i="4"/>
  <c r="AE459" i="4"/>
  <c r="AA459" i="4"/>
  <c r="AM459" i="4"/>
  <c r="AI459" i="4"/>
  <c r="BC462" i="4"/>
  <c r="AA462" i="4"/>
  <c r="O462" i="4"/>
  <c r="AM462" i="4"/>
  <c r="AI462" i="4"/>
  <c r="W462" i="4"/>
  <c r="AU462" i="4"/>
  <c r="AQ462" i="4"/>
  <c r="BG462" i="4"/>
  <c r="S462" i="4"/>
  <c r="BH471" i="4"/>
  <c r="BI471" i="4" s="1"/>
  <c r="AI507" i="4"/>
  <c r="AQ567" i="4"/>
  <c r="O567" i="4"/>
  <c r="AY567" i="4"/>
  <c r="W567" i="4"/>
  <c r="AM567" i="4"/>
  <c r="AU567" i="4"/>
  <c r="BG567" i="4"/>
  <c r="S567" i="4"/>
  <c r="AA567" i="4"/>
  <c r="BC567" i="4"/>
  <c r="AI577" i="4"/>
  <c r="AQ577" i="4"/>
  <c r="O577" i="4"/>
  <c r="BC577" i="4"/>
  <c r="W577" i="4"/>
  <c r="AE577" i="4"/>
  <c r="AM577" i="4"/>
  <c r="BG577" i="4"/>
  <c r="AY577" i="4"/>
  <c r="AA577" i="4"/>
  <c r="AU577" i="4"/>
  <c r="AU600" i="4"/>
  <c r="S600" i="4"/>
  <c r="AQ600" i="4"/>
  <c r="O600" i="4"/>
  <c r="AY600" i="4"/>
  <c r="W600" i="4"/>
  <c r="BC600" i="4"/>
  <c r="AA600" i="4"/>
  <c r="BG600" i="4"/>
  <c r="AM600" i="4"/>
  <c r="BH618" i="4"/>
  <c r="BI618" i="4" s="1"/>
  <c r="AY623" i="4"/>
  <c r="W623" i="4"/>
  <c r="AA623" i="4"/>
  <c r="BC623" i="4"/>
  <c r="AE623" i="4"/>
  <c r="BG623" i="4"/>
  <c r="AI623" i="4"/>
  <c r="S623" i="4"/>
  <c r="AQ623" i="4"/>
  <c r="AM623" i="4"/>
  <c r="AI480" i="4"/>
  <c r="AM480" i="4"/>
  <c r="BC480" i="4"/>
  <c r="W480" i="4"/>
  <c r="S480" i="4"/>
  <c r="BH480" i="4" s="1"/>
  <c r="BI480" i="4" s="1"/>
  <c r="AY480" i="4"/>
  <c r="AE480" i="4"/>
  <c r="AA480" i="4"/>
  <c r="AM507" i="4"/>
  <c r="AQ519" i="4"/>
  <c r="BC535" i="4"/>
  <c r="AA535" i="4"/>
  <c r="AI535" i="4"/>
  <c r="BG535" i="4"/>
  <c r="W535" i="4"/>
  <c r="AM535" i="4"/>
  <c r="AE535" i="4"/>
  <c r="AY535" i="4"/>
  <c r="O535" i="4"/>
  <c r="AU583" i="4"/>
  <c r="S583" i="4"/>
  <c r="BC583" i="4"/>
  <c r="AA583" i="4"/>
  <c r="AE583" i="4"/>
  <c r="AM583" i="4"/>
  <c r="BG583" i="4"/>
  <c r="O583" i="4"/>
  <c r="BH583" i="4" s="1"/>
  <c r="BI583" i="4" s="1"/>
  <c r="AY583" i="4"/>
  <c r="AQ583" i="4"/>
  <c r="BH623" i="4"/>
  <c r="BI623" i="4" s="1"/>
  <c r="BH631" i="4"/>
  <c r="BI631" i="4" s="1"/>
  <c r="AI718" i="4"/>
  <c r="BG718" i="4"/>
  <c r="AE718" i="4"/>
  <c r="AM718" i="4"/>
  <c r="W718" i="4"/>
  <c r="BC718" i="4"/>
  <c r="AQ718" i="4"/>
  <c r="AY718" i="4"/>
  <c r="O718" i="4"/>
  <c r="AA718" i="4"/>
  <c r="S718" i="4"/>
  <c r="AU718" i="4"/>
  <c r="AU569" i="4"/>
  <c r="S569" i="4"/>
  <c r="BC569" i="4"/>
  <c r="AA569" i="4"/>
  <c r="AE569" i="4"/>
  <c r="AM569" i="4"/>
  <c r="AY569" i="4"/>
  <c r="AQ569" i="4"/>
  <c r="AQ736" i="4"/>
  <c r="O736" i="4"/>
  <c r="AU736" i="4"/>
  <c r="AM736" i="4"/>
  <c r="BC736" i="4"/>
  <c r="S736" i="4"/>
  <c r="AY736" i="4"/>
  <c r="AA736" i="4"/>
  <c r="BG736" i="4"/>
  <c r="AI736" i="4"/>
  <c r="W736" i="4"/>
  <c r="AE736" i="4"/>
  <c r="AQ737" i="4"/>
  <c r="O737" i="4"/>
  <c r="AY737" i="4"/>
  <c r="W737" i="4"/>
  <c r="AE737" i="4"/>
  <c r="AM737" i="4"/>
  <c r="S737" i="4"/>
  <c r="BC737" i="4"/>
  <c r="AI737" i="4"/>
  <c r="AA737" i="4"/>
  <c r="AU737" i="4"/>
  <c r="BC447" i="4"/>
  <c r="AA447" i="4"/>
  <c r="W447" i="4"/>
  <c r="AY447" i="4"/>
  <c r="AM447" i="4"/>
  <c r="S450" i="4"/>
  <c r="BC469" i="4"/>
  <c r="AA469" i="4"/>
  <c r="AQ469" i="4"/>
  <c r="O469" i="4"/>
  <c r="BH474" i="4"/>
  <c r="BI474" i="4" s="1"/>
  <c r="W511" i="4"/>
  <c r="BG511" i="4"/>
  <c r="BC521" i="4"/>
  <c r="AA521" i="4"/>
  <c r="AI521" i="4"/>
  <c r="AY521" i="4"/>
  <c r="S521" i="4"/>
  <c r="AU521" i="4"/>
  <c r="O521" i="4"/>
  <c r="BC532" i="4"/>
  <c r="AA532" i="4"/>
  <c r="O532" i="4"/>
  <c r="AQ532" i="4"/>
  <c r="AY532" i="4"/>
  <c r="S532" i="4"/>
  <c r="AE532" i="4"/>
  <c r="AI563" i="4"/>
  <c r="AQ563" i="4"/>
  <c r="O563" i="4"/>
  <c r="BG563" i="4"/>
  <c r="AA563" i="4"/>
  <c r="S563" i="4"/>
  <c r="AY563" i="4"/>
  <c r="BC574" i="4"/>
  <c r="AA574" i="4"/>
  <c r="AI574" i="4"/>
  <c r="BG574" i="4"/>
  <c r="AE574" i="4"/>
  <c r="AU574" i="4"/>
  <c r="O574" i="4"/>
  <c r="AY594" i="4"/>
  <c r="W594" i="4"/>
  <c r="AU594" i="4"/>
  <c r="S594" i="4"/>
  <c r="BC594" i="4"/>
  <c r="AA594" i="4"/>
  <c r="O594" i="4"/>
  <c r="BH594" i="4" s="1"/>
  <c r="BI594" i="4" s="1"/>
  <c r="AE594" i="4"/>
  <c r="AM594" i="4"/>
  <c r="AY608" i="4"/>
  <c r="W608" i="4"/>
  <c r="AU608" i="4"/>
  <c r="S608" i="4"/>
  <c r="BC608" i="4"/>
  <c r="AA608" i="4"/>
  <c r="AE608" i="4"/>
  <c r="AM608" i="4"/>
  <c r="AQ608" i="4"/>
  <c r="BC616" i="4"/>
  <c r="AA616" i="4"/>
  <c r="AI616" i="4"/>
  <c r="AE616" i="4"/>
  <c r="AM616" i="4"/>
  <c r="AY616" i="4"/>
  <c r="O616" i="4"/>
  <c r="AQ633" i="4"/>
  <c r="O633" i="4"/>
  <c r="AM633" i="4"/>
  <c r="AI633" i="4"/>
  <c r="AU633" i="4"/>
  <c r="BC633" i="4"/>
  <c r="S633" i="4"/>
  <c r="BG633" i="4"/>
  <c r="W633" i="4"/>
  <c r="AA633" i="4"/>
  <c r="AE633" i="4"/>
  <c r="AY651" i="4"/>
  <c r="W651" i="4"/>
  <c r="AM651" i="4"/>
  <c r="O651" i="4"/>
  <c r="BC651" i="4"/>
  <c r="S651" i="4"/>
  <c r="AE651" i="4"/>
  <c r="AA651" i="4"/>
  <c r="AQ651" i="4"/>
  <c r="AI651" i="4"/>
  <c r="BG651" i="4"/>
  <c r="AU660" i="4"/>
  <c r="S660" i="4"/>
  <c r="AY660" i="4"/>
  <c r="W660" i="4"/>
  <c r="BG660" i="4"/>
  <c r="AA660" i="4"/>
  <c r="AI660" i="4"/>
  <c r="AE660" i="4"/>
  <c r="AM660" i="4"/>
  <c r="AQ660" i="4"/>
  <c r="BG697" i="4"/>
  <c r="AE697" i="4"/>
  <c r="BC697" i="4"/>
  <c r="W697" i="4"/>
  <c r="AI697" i="4"/>
  <c r="AM697" i="4"/>
  <c r="AY697" i="4"/>
  <c r="O697" i="4"/>
  <c r="S697" i="4"/>
  <c r="AQ697" i="4"/>
  <c r="AA697" i="4"/>
  <c r="AQ703" i="4"/>
  <c r="O703" i="4"/>
  <c r="W703" i="4"/>
  <c r="AY703" i="4"/>
  <c r="BG703" i="4"/>
  <c r="AA703" i="4"/>
  <c r="AM703" i="4"/>
  <c r="AE703" i="4"/>
  <c r="AU703" i="4"/>
  <c r="AI703" i="4"/>
  <c r="S703" i="4"/>
  <c r="AQ764" i="4"/>
  <c r="O764" i="4"/>
  <c r="AM764" i="4"/>
  <c r="BC764" i="4"/>
  <c r="W764" i="4"/>
  <c r="AA764" i="4"/>
  <c r="BG764" i="4"/>
  <c r="AI764" i="4"/>
  <c r="AE764" i="4"/>
  <c r="AU764" i="4"/>
  <c r="AY764" i="4"/>
  <c r="AQ765" i="4"/>
  <c r="O765" i="4"/>
  <c r="AE765" i="4"/>
  <c r="AM765" i="4"/>
  <c r="AU765" i="4"/>
  <c r="BG765" i="4"/>
  <c r="W765" i="4"/>
  <c r="AI765" i="4"/>
  <c r="AY765" i="4"/>
  <c r="BC765" i="4"/>
  <c r="AQ793" i="4"/>
  <c r="O793" i="4"/>
  <c r="AY793" i="4"/>
  <c r="S793" i="4"/>
  <c r="BC793" i="4"/>
  <c r="AE793" i="4"/>
  <c r="AM793" i="4"/>
  <c r="AI793" i="4"/>
  <c r="BG793" i="4"/>
  <c r="AU793" i="4"/>
  <c r="AA793" i="4"/>
  <c r="W793" i="4"/>
  <c r="S334" i="4"/>
  <c r="AU334" i="4"/>
  <c r="AI339" i="4"/>
  <c r="BH339" i="4" s="1"/>
  <c r="BI339" i="4" s="1"/>
  <c r="S358" i="4"/>
  <c r="AU358" i="4"/>
  <c r="S375" i="4"/>
  <c r="BH375" i="4" s="1"/>
  <c r="BI375" i="4" s="1"/>
  <c r="BC378" i="4"/>
  <c r="AA378" i="4"/>
  <c r="BC382" i="4"/>
  <c r="AA382" i="4"/>
  <c r="BH382" i="4" s="1"/>
  <c r="BI382" i="4" s="1"/>
  <c r="W387" i="4"/>
  <c r="BC387" i="4"/>
  <c r="AU401" i="4"/>
  <c r="S401" i="4"/>
  <c r="AI401" i="4"/>
  <c r="O401" i="4"/>
  <c r="O447" i="4"/>
  <c r="BH447" i="4" s="1"/>
  <c r="BI447" i="4" s="1"/>
  <c r="AU477" i="4"/>
  <c r="S477" i="4"/>
  <c r="AQ477" i="4"/>
  <c r="O477" i="4"/>
  <c r="BC477" i="4"/>
  <c r="AA477" i="4"/>
  <c r="BC493" i="4"/>
  <c r="AI549" i="4"/>
  <c r="AQ549" i="4"/>
  <c r="O549" i="4"/>
  <c r="AE549" i="4"/>
  <c r="AM549" i="4"/>
  <c r="AU549" i="4"/>
  <c r="BC549" i="4"/>
  <c r="S549" i="4"/>
  <c r="AU556" i="4"/>
  <c r="S556" i="4"/>
  <c r="BC556" i="4"/>
  <c r="AA556" i="4"/>
  <c r="O556" i="4"/>
  <c r="W556" i="4"/>
  <c r="AI556" i="4"/>
  <c r="AY556" i="4"/>
  <c r="BC563" i="4"/>
  <c r="BH566" i="4"/>
  <c r="BI566" i="4" s="1"/>
  <c r="O608" i="4"/>
  <c r="BH637" i="4"/>
  <c r="BI637" i="4" s="1"/>
  <c r="O660" i="4"/>
  <c r="BH790" i="4"/>
  <c r="BI790" i="4" s="1"/>
  <c r="AU331" i="4"/>
  <c r="S331" i="4"/>
  <c r="BH331" i="4" s="1"/>
  <c r="BI331" i="4" s="1"/>
  <c r="AU345" i="4"/>
  <c r="S345" i="4"/>
  <c r="O345" i="4"/>
  <c r="AQ345" i="4"/>
  <c r="AM350" i="4"/>
  <c r="AI367" i="4"/>
  <c r="AY367" i="4"/>
  <c r="AA375" i="4"/>
  <c r="BG375" i="4"/>
  <c r="AQ385" i="4"/>
  <c r="O385" i="4"/>
  <c r="AA385" i="4"/>
  <c r="AY389" i="4"/>
  <c r="W389" i="4"/>
  <c r="BH389" i="4" s="1"/>
  <c r="BI389" i="4" s="1"/>
  <c r="AQ389" i="4"/>
  <c r="BC389" i="4"/>
  <c r="BG400" i="4"/>
  <c r="AE400" i="4"/>
  <c r="BC419" i="4"/>
  <c r="AA419" i="4"/>
  <c r="AY419" i="4"/>
  <c r="AU446" i="4"/>
  <c r="S446" i="4"/>
  <c r="AI446" i="4"/>
  <c r="AQ446" i="4"/>
  <c r="BG447" i="4"/>
  <c r="AY451" i="4"/>
  <c r="BG461" i="4"/>
  <c r="AE461" i="4"/>
  <c r="AU461" i="4"/>
  <c r="S461" i="4"/>
  <c r="BH461" i="4" s="1"/>
  <c r="BI461" i="4" s="1"/>
  <c r="AQ461" i="4"/>
  <c r="W469" i="4"/>
  <c r="AI475" i="4"/>
  <c r="BG475" i="4"/>
  <c r="AE475" i="4"/>
  <c r="AQ475" i="4"/>
  <c r="O475" i="4"/>
  <c r="AU475" i="4"/>
  <c r="AU505" i="4"/>
  <c r="S505" i="4"/>
  <c r="AM505" i="4"/>
  <c r="AI505" i="4"/>
  <c r="BH505" i="4" s="1"/>
  <c r="BI505" i="4" s="1"/>
  <c r="BC505" i="4"/>
  <c r="BH547" i="4"/>
  <c r="BI547" i="4" s="1"/>
  <c r="W574" i="4"/>
  <c r="AY585" i="4"/>
  <c r="W585" i="4"/>
  <c r="BG585" i="4"/>
  <c r="AE585" i="4"/>
  <c r="AA585" i="4"/>
  <c r="AI585" i="4"/>
  <c r="S585" i="4"/>
  <c r="BH585" i="4" s="1"/>
  <c r="BI585" i="4" s="1"/>
  <c r="AM585" i="4"/>
  <c r="BH597" i="4"/>
  <c r="BI597" i="4" s="1"/>
  <c r="W616" i="4"/>
  <c r="AM748" i="4"/>
  <c r="BH748" i="4" s="1"/>
  <c r="BI748" i="4" s="1"/>
  <c r="BH802" i="4"/>
  <c r="BI802" i="4" s="1"/>
  <c r="BG803" i="4"/>
  <c r="AE803" i="4"/>
  <c r="AQ803" i="4"/>
  <c r="O803" i="4"/>
  <c r="AI803" i="4"/>
  <c r="AA803" i="4"/>
  <c r="AM803" i="4"/>
  <c r="AU803" i="4"/>
  <c r="AY803" i="4"/>
  <c r="BC803" i="4"/>
  <c r="BG811" i="4"/>
  <c r="BC811" i="4"/>
  <c r="AA811" i="4"/>
  <c r="AU811" i="4"/>
  <c r="O811" i="4"/>
  <c r="AQ811" i="4"/>
  <c r="W811" i="4"/>
  <c r="AY811" i="4"/>
  <c r="S811" i="4"/>
  <c r="AE811" i="4"/>
  <c r="AI811" i="4"/>
  <c r="AM811" i="4"/>
  <c r="BH866" i="4"/>
  <c r="BI866" i="4" s="1"/>
  <c r="AI508" i="4"/>
  <c r="AE508" i="4"/>
  <c r="AM508" i="4"/>
  <c r="AQ508" i="4"/>
  <c r="W508" i="4"/>
  <c r="AY508" i="4"/>
  <c r="BH517" i="4"/>
  <c r="BI517" i="4" s="1"/>
  <c r="AY541" i="4"/>
  <c r="W541" i="4"/>
  <c r="BG541" i="4"/>
  <c r="AE541" i="4"/>
  <c r="AM541" i="4"/>
  <c r="AI541" i="4"/>
  <c r="BC541" i="4"/>
  <c r="AU541" i="4"/>
  <c r="O541" i="4"/>
  <c r="BH541" i="4" s="1"/>
  <c r="BI541" i="4" s="1"/>
  <c r="BH734" i="4"/>
  <c r="BI734" i="4" s="1"/>
  <c r="AI450" i="4"/>
  <c r="AY450" i="4"/>
  <c r="W450" i="4"/>
  <c r="AQ450" i="4"/>
  <c r="AM455" i="4"/>
  <c r="BH455" i="4" s="1"/>
  <c r="BI455" i="4" s="1"/>
  <c r="AI466" i="4"/>
  <c r="AM466" i="4"/>
  <c r="AE466" i="4"/>
  <c r="AY466" i="4"/>
  <c r="S466" i="4"/>
  <c r="AU466" i="4"/>
  <c r="AQ511" i="4"/>
  <c r="O511" i="4"/>
  <c r="BH511" i="4" s="1"/>
  <c r="BI511" i="4" s="1"/>
  <c r="AM511" i="4"/>
  <c r="AI511" i="4"/>
  <c r="BC511" i="4"/>
  <c r="S511" i="4"/>
  <c r="AQ568" i="4"/>
  <c r="O568" i="4"/>
  <c r="AY568" i="4"/>
  <c r="W568" i="4"/>
  <c r="BC568" i="4"/>
  <c r="S568" i="4"/>
  <c r="BG568" i="4"/>
  <c r="AA568" i="4"/>
  <c r="AM568" i="4"/>
  <c r="AY572" i="4"/>
  <c r="W572" i="4"/>
  <c r="BG572" i="4"/>
  <c r="AE572" i="4"/>
  <c r="AI572" i="4"/>
  <c r="AM572" i="4"/>
  <c r="S572" i="4"/>
  <c r="BC572" i="4"/>
  <c r="AQ572" i="4"/>
  <c r="BC602" i="4"/>
  <c r="AA602" i="4"/>
  <c r="AI602" i="4"/>
  <c r="AY602" i="4"/>
  <c r="S602" i="4"/>
  <c r="BG602" i="4"/>
  <c r="W602" i="4"/>
  <c r="AQ602" i="4"/>
  <c r="AM602" i="4"/>
  <c r="BH720" i="4"/>
  <c r="BI720" i="4" s="1"/>
  <c r="BC756" i="4"/>
  <c r="AA756" i="4"/>
  <c r="AI756" i="4"/>
  <c r="BG756" i="4"/>
  <c r="AE756" i="4"/>
  <c r="AM756" i="4"/>
  <c r="AY756" i="4"/>
  <c r="O756" i="4"/>
  <c r="W756" i="4"/>
  <c r="S756" i="4"/>
  <c r="AQ756" i="4"/>
  <c r="AU756" i="4"/>
  <c r="AQ938" i="4"/>
  <c r="O938" i="4"/>
  <c r="BC938" i="4"/>
  <c r="W938" i="4"/>
  <c r="AY938" i="4"/>
  <c r="AE938" i="4"/>
  <c r="AA938" i="4"/>
  <c r="AM938" i="4"/>
  <c r="AI938" i="4"/>
  <c r="BG938" i="4"/>
  <c r="AU938" i="4"/>
  <c r="S938" i="4"/>
  <c r="BC331" i="4"/>
  <c r="BC335" i="4"/>
  <c r="AA335" i="4"/>
  <c r="BH335" i="4" s="1"/>
  <c r="BI335" i="4" s="1"/>
  <c r="BG339" i="4"/>
  <c r="AA345" i="4"/>
  <c r="W350" i="4"/>
  <c r="BH350" i="4" s="1"/>
  <c r="BI350" i="4" s="1"/>
  <c r="AU359" i="4"/>
  <c r="S359" i="4"/>
  <c r="O359" i="4"/>
  <c r="AQ359" i="4"/>
  <c r="W367" i="4"/>
  <c r="BC367" i="4"/>
  <c r="AE378" i="4"/>
  <c r="AE382" i="4"/>
  <c r="BG389" i="4"/>
  <c r="BC391" i="4"/>
  <c r="AA391" i="4"/>
  <c r="BH391" i="4" s="1"/>
  <c r="BI391" i="4" s="1"/>
  <c r="AY391" i="4"/>
  <c r="W400" i="4"/>
  <c r="BH400" i="4" s="1"/>
  <c r="BI400" i="4" s="1"/>
  <c r="AM402" i="4"/>
  <c r="W419" i="4"/>
  <c r="BH419" i="4" s="1"/>
  <c r="BI419" i="4" s="1"/>
  <c r="AY440" i="4"/>
  <c r="BC476" i="4"/>
  <c r="AA476" i="4"/>
  <c r="O476" i="4"/>
  <c r="S476" i="4"/>
  <c r="AQ476" i="4"/>
  <c r="AM476" i="4"/>
  <c r="BG476" i="4"/>
  <c r="AY476" i="4"/>
  <c r="AI477" i="4"/>
  <c r="O508" i="4"/>
  <c r="BC508" i="4"/>
  <c r="AY511" i="4"/>
  <c r="AM556" i="4"/>
  <c r="BC587" i="4"/>
  <c r="AA587" i="4"/>
  <c r="AI587" i="4"/>
  <c r="W587" i="4"/>
  <c r="AE587" i="4"/>
  <c r="AM587" i="4"/>
  <c r="AY587" i="4"/>
  <c r="O587" i="4"/>
  <c r="BH587" i="4" s="1"/>
  <c r="BI587" i="4" s="1"/>
  <c r="BG590" i="4"/>
  <c r="AU593" i="4"/>
  <c r="S593" i="4"/>
  <c r="O593" i="4"/>
  <c r="AQ593" i="4"/>
  <c r="BC593" i="4"/>
  <c r="W593" i="4"/>
  <c r="AI593" i="4"/>
  <c r="AM593" i="4"/>
  <c r="AA593" i="4"/>
  <c r="AU614" i="4"/>
  <c r="S614" i="4"/>
  <c r="AQ614" i="4"/>
  <c r="O614" i="4"/>
  <c r="AY614" i="4"/>
  <c r="W614" i="4"/>
  <c r="AE614" i="4"/>
  <c r="AI614" i="4"/>
  <c r="BG614" i="4"/>
  <c r="AA614" i="4"/>
  <c r="AQ616" i="4"/>
  <c r="BH620" i="4"/>
  <c r="BI620" i="4" s="1"/>
  <c r="AY633" i="4"/>
  <c r="AY668" i="4"/>
  <c r="W668" i="4"/>
  <c r="BC668" i="4"/>
  <c r="AA668" i="4"/>
  <c r="AE668" i="4"/>
  <c r="AM668" i="4"/>
  <c r="O668" i="4"/>
  <c r="AI668" i="4"/>
  <c r="S668" i="4"/>
  <c r="BG668" i="4"/>
  <c r="BH672" i="4"/>
  <c r="BI672" i="4" s="1"/>
  <c r="AI857" i="4"/>
  <c r="BG857" i="4"/>
  <c r="AE857" i="4"/>
  <c r="AA857" i="4"/>
  <c r="BC857" i="4"/>
  <c r="W857" i="4"/>
  <c r="AM857" i="4"/>
  <c r="AY857" i="4"/>
  <c r="O857" i="4"/>
  <c r="AQ857" i="4"/>
  <c r="AU857" i="4"/>
  <c r="S857" i="4"/>
  <c r="AY375" i="4"/>
  <c r="W375" i="4"/>
  <c r="BC375" i="4"/>
  <c r="BG385" i="4"/>
  <c r="AU387" i="4"/>
  <c r="S387" i="4"/>
  <c r="AI387" i="4"/>
  <c r="O387" i="4"/>
  <c r="BH387" i="4" s="1"/>
  <c r="BI387" i="4" s="1"/>
  <c r="BC400" i="4"/>
  <c r="BG419" i="4"/>
  <c r="AA446" i="4"/>
  <c r="BH446" i="4" s="1"/>
  <c r="BI446" i="4" s="1"/>
  <c r="BG446" i="4"/>
  <c r="O450" i="4"/>
  <c r="AU450" i="4"/>
  <c r="AY460" i="4"/>
  <c r="W460" i="4"/>
  <c r="BH460" i="4" s="1"/>
  <c r="BI460" i="4" s="1"/>
  <c r="BG460" i="4"/>
  <c r="AA460" i="4"/>
  <c r="BC460" i="4"/>
  <c r="AQ460" i="4"/>
  <c r="AA461" i="4"/>
  <c r="O466" i="4"/>
  <c r="AM469" i="4"/>
  <c r="AI493" i="4"/>
  <c r="BG493" i="4"/>
  <c r="AE493" i="4"/>
  <c r="AQ493" i="4"/>
  <c r="O493" i="4"/>
  <c r="AU493" i="4"/>
  <c r="AA505" i="4"/>
  <c r="BG520" i="4"/>
  <c r="AE520" i="4"/>
  <c r="W520" i="4"/>
  <c r="AY520" i="4"/>
  <c r="AA520" i="4"/>
  <c r="AM520" i="4"/>
  <c r="AI520" i="4"/>
  <c r="BC520" i="4"/>
  <c r="S520" i="4"/>
  <c r="BH520" i="4" s="1"/>
  <c r="BI520" i="4" s="1"/>
  <c r="AU520" i="4"/>
  <c r="AQ521" i="4"/>
  <c r="S541" i="4"/>
  <c r="O572" i="4"/>
  <c r="AQ574" i="4"/>
  <c r="AU582" i="4"/>
  <c r="S582" i="4"/>
  <c r="AQ582" i="4"/>
  <c r="O582" i="4"/>
  <c r="AY582" i="4"/>
  <c r="W582" i="4"/>
  <c r="BC582" i="4"/>
  <c r="AA582" i="4"/>
  <c r="BG582" i="4"/>
  <c r="AE582" i="4"/>
  <c r="AM582" i="4"/>
  <c r="O602" i="4"/>
  <c r="AQ605" i="4"/>
  <c r="O605" i="4"/>
  <c r="AM605" i="4"/>
  <c r="AI605" i="4"/>
  <c r="AU605" i="4"/>
  <c r="AA605" i="4"/>
  <c r="AE605" i="4"/>
  <c r="W605" i="4"/>
  <c r="BG605" i="4"/>
  <c r="S605" i="4"/>
  <c r="BH682" i="4"/>
  <c r="BI682" i="4" s="1"/>
  <c r="BC703" i="4"/>
  <c r="BC709" i="4"/>
  <c r="AA709" i="4"/>
  <c r="AU709" i="4"/>
  <c r="O709" i="4"/>
  <c r="W709" i="4"/>
  <c r="AY709" i="4"/>
  <c r="AE709" i="4"/>
  <c r="AI709" i="4"/>
  <c r="AM709" i="4"/>
  <c r="BG709" i="4"/>
  <c r="S709" i="4"/>
  <c r="AQ709" i="4"/>
  <c r="BH710" i="4"/>
  <c r="BI710" i="4" s="1"/>
  <c r="BG711" i="4"/>
  <c r="AE711" i="4"/>
  <c r="BC711" i="4"/>
  <c r="W711" i="4"/>
  <c r="AY711" i="4"/>
  <c r="S711" i="4"/>
  <c r="AA711" i="4"/>
  <c r="O711" i="4"/>
  <c r="AI711" i="4"/>
  <c r="AM739" i="4"/>
  <c r="AY992" i="4"/>
  <c r="W992" i="4"/>
  <c r="AU992" i="4"/>
  <c r="S992" i="4"/>
  <c r="AI992" i="4"/>
  <c r="BG992" i="4"/>
  <c r="AE992" i="4"/>
  <c r="BC992" i="4"/>
  <c r="AA992" i="4"/>
  <c r="O992" i="4"/>
  <c r="BH992" i="4" s="1"/>
  <c r="BI992" i="4" s="1"/>
  <c r="AM992" i="4"/>
  <c r="BH728" i="4"/>
  <c r="BI728" i="4" s="1"/>
  <c r="BH743" i="4"/>
  <c r="BI743" i="4" s="1"/>
  <c r="BH819" i="4"/>
  <c r="BI819" i="4" s="1"/>
  <c r="AQ864" i="4"/>
  <c r="O864" i="4"/>
  <c r="BG864" i="4"/>
  <c r="AA864" i="4"/>
  <c r="BC864" i="4"/>
  <c r="AI864" i="4"/>
  <c r="S864" i="4"/>
  <c r="AY864" i="4"/>
  <c r="W864" i="4"/>
  <c r="AE864" i="4"/>
  <c r="AM864" i="4"/>
  <c r="BH875" i="4"/>
  <c r="BI875" i="4" s="1"/>
  <c r="BG351" i="4"/>
  <c r="AE351" i="4"/>
  <c r="BG365" i="4"/>
  <c r="AE365" i="4"/>
  <c r="BH365" i="4" s="1"/>
  <c r="BI365" i="4" s="1"/>
  <c r="BG379" i="4"/>
  <c r="AE379" i="4"/>
  <c r="BG393" i="4"/>
  <c r="AE393" i="4"/>
  <c r="BH393" i="4" s="1"/>
  <c r="BI393" i="4" s="1"/>
  <c r="BG407" i="4"/>
  <c r="AE407" i="4"/>
  <c r="BH407" i="4" s="1"/>
  <c r="BI407" i="4" s="1"/>
  <c r="BG421" i="4"/>
  <c r="AE421" i="4"/>
  <c r="BH421" i="4" s="1"/>
  <c r="BI421" i="4" s="1"/>
  <c r="BG435" i="4"/>
  <c r="AE435" i="4"/>
  <c r="BH435" i="4" s="1"/>
  <c r="BI435" i="4" s="1"/>
  <c r="BG449" i="4"/>
  <c r="BH449" i="4" s="1"/>
  <c r="BI449" i="4" s="1"/>
  <c r="AE449" i="4"/>
  <c r="W463" i="4"/>
  <c r="AY463" i="4"/>
  <c r="AQ470" i="4"/>
  <c r="O470" i="4"/>
  <c r="AY470" i="4"/>
  <c r="BC470" i="4"/>
  <c r="S489" i="4"/>
  <c r="BH489" i="4" s="1"/>
  <c r="BI489" i="4" s="1"/>
  <c r="AU489" i="4"/>
  <c r="AQ525" i="4"/>
  <c r="O525" i="4"/>
  <c r="BH525" i="4" s="1"/>
  <c r="BI525" i="4" s="1"/>
  <c r="AY525" i="4"/>
  <c r="W525" i="4"/>
  <c r="AU533" i="4"/>
  <c r="S533" i="4"/>
  <c r="BC533" i="4"/>
  <c r="AA533" i="4"/>
  <c r="AQ533" i="4"/>
  <c r="BG573" i="4"/>
  <c r="AQ591" i="4"/>
  <c r="O591" i="4"/>
  <c r="AM591" i="4"/>
  <c r="AI591" i="4"/>
  <c r="AU591" i="4"/>
  <c r="AY591" i="4"/>
  <c r="BG591" i="4"/>
  <c r="W591" i="4"/>
  <c r="AM599" i="4"/>
  <c r="BG618" i="4"/>
  <c r="AY622" i="4"/>
  <c r="W622" i="4"/>
  <c r="AU622" i="4"/>
  <c r="S622" i="4"/>
  <c r="BC622" i="4"/>
  <c r="AA622" i="4"/>
  <c r="AQ622" i="4"/>
  <c r="O622" i="4"/>
  <c r="BH627" i="4"/>
  <c r="BI627" i="4" s="1"/>
  <c r="BG670" i="4"/>
  <c r="AE670" i="4"/>
  <c r="AI670" i="4"/>
  <c r="BC670" i="4"/>
  <c r="W670" i="4"/>
  <c r="AY670" i="4"/>
  <c r="S670" i="4"/>
  <c r="AA670" i="4"/>
  <c r="AU670" i="4"/>
  <c r="AM670" i="4"/>
  <c r="BH670" i="4" s="1"/>
  <c r="BI670" i="4" s="1"/>
  <c r="AY679" i="4"/>
  <c r="W679" i="4"/>
  <c r="AM679" i="4"/>
  <c r="O679" i="4"/>
  <c r="BH679" i="4" s="1"/>
  <c r="BI679" i="4" s="1"/>
  <c r="AQ679" i="4"/>
  <c r="AE679" i="4"/>
  <c r="AA679" i="4"/>
  <c r="AI679" i="4"/>
  <c r="BC679" i="4"/>
  <c r="BG716" i="4"/>
  <c r="AE716" i="4"/>
  <c r="S716" i="4"/>
  <c r="AY716" i="4"/>
  <c r="AA716" i="4"/>
  <c r="BC716" i="4"/>
  <c r="W716" i="4"/>
  <c r="AI716" i="4"/>
  <c r="AQ716" i="4"/>
  <c r="BH716" i="4" s="1"/>
  <c r="BI716" i="4" s="1"/>
  <c r="BG755" i="4"/>
  <c r="AE755" i="4"/>
  <c r="AY755" i="4"/>
  <c r="S755" i="4"/>
  <c r="BC755" i="4"/>
  <c r="W755" i="4"/>
  <c r="AA755" i="4"/>
  <c r="AM755" i="4"/>
  <c r="AU755" i="4"/>
  <c r="AI761" i="4"/>
  <c r="AA761" i="4"/>
  <c r="BC761" i="4"/>
  <c r="W761" i="4"/>
  <c r="AE761" i="4"/>
  <c r="AY761" i="4"/>
  <c r="O761" i="4"/>
  <c r="BG761" i="4"/>
  <c r="AU761" i="4"/>
  <c r="AU815" i="4"/>
  <c r="S815" i="4"/>
  <c r="AE815" i="4"/>
  <c r="AI815" i="4"/>
  <c r="O815" i="4"/>
  <c r="AM815" i="4"/>
  <c r="BC815" i="4"/>
  <c r="AA815" i="4"/>
  <c r="AY815" i="4"/>
  <c r="BG815" i="4"/>
  <c r="BH847" i="4"/>
  <c r="BI847" i="4" s="1"/>
  <c r="AM440" i="4"/>
  <c r="AM454" i="4"/>
  <c r="BH454" i="4" s="1"/>
  <c r="BI454" i="4" s="1"/>
  <c r="AM473" i="4"/>
  <c r="AM482" i="4"/>
  <c r="BH482" i="4" s="1"/>
  <c r="BI482" i="4" s="1"/>
  <c r="BG492" i="4"/>
  <c r="AE492" i="4"/>
  <c r="W492" i="4"/>
  <c r="BH492" i="4" s="1"/>
  <c r="BI492" i="4" s="1"/>
  <c r="AA492" i="4"/>
  <c r="BC504" i="4"/>
  <c r="AA504" i="4"/>
  <c r="O504" i="4"/>
  <c r="BH504" i="4" s="1"/>
  <c r="BI504" i="4" s="1"/>
  <c r="AQ504" i="4"/>
  <c r="S504" i="4"/>
  <c r="AU504" i="4"/>
  <c r="AI550" i="4"/>
  <c r="AQ550" i="4"/>
  <c r="O550" i="4"/>
  <c r="AU550" i="4"/>
  <c r="BC550" i="4"/>
  <c r="W550" i="4"/>
  <c r="AQ554" i="4"/>
  <c r="O554" i="4"/>
  <c r="AY554" i="4"/>
  <c r="W554" i="4"/>
  <c r="BG554" i="4"/>
  <c r="AA554" i="4"/>
  <c r="AE554" i="4"/>
  <c r="BG638" i="4"/>
  <c r="AE638" i="4"/>
  <c r="BC638" i="4"/>
  <c r="AA638" i="4"/>
  <c r="AI638" i="4"/>
  <c r="S638" i="4"/>
  <c r="BH638" i="4" s="1"/>
  <c r="BI638" i="4" s="1"/>
  <c r="AM638" i="4"/>
  <c r="BC644" i="4"/>
  <c r="AA644" i="4"/>
  <c r="AI644" i="4"/>
  <c r="AY644" i="4"/>
  <c r="S644" i="4"/>
  <c r="BH644" i="4" s="1"/>
  <c r="BI644" i="4" s="1"/>
  <c r="BG644" i="4"/>
  <c r="AY696" i="4"/>
  <c r="W696" i="4"/>
  <c r="BC696" i="4"/>
  <c r="AA696" i="4"/>
  <c r="S696" i="4"/>
  <c r="BH696" i="4" s="1"/>
  <c r="BI696" i="4" s="1"/>
  <c r="AE696" i="4"/>
  <c r="AM696" i="4"/>
  <c r="AI732" i="4"/>
  <c r="BG732" i="4"/>
  <c r="AU732" i="4"/>
  <c r="O732" i="4"/>
  <c r="BH732" i="4" s="1"/>
  <c r="BI732" i="4" s="1"/>
  <c r="W732" i="4"/>
  <c r="AY732" i="4"/>
  <c r="BC732" i="4"/>
  <c r="S732" i="4"/>
  <c r="AE732" i="4"/>
  <c r="AM732" i="4"/>
  <c r="AQ778" i="4"/>
  <c r="O778" i="4"/>
  <c r="AM778" i="4"/>
  <c r="AE778" i="4"/>
  <c r="AY778" i="4"/>
  <c r="BG778" i="4"/>
  <c r="W778" i="4"/>
  <c r="AU810" i="4"/>
  <c r="S810" i="4"/>
  <c r="BC810" i="4"/>
  <c r="BG810" i="4"/>
  <c r="AA810" i="4"/>
  <c r="AY810" i="4"/>
  <c r="O810" i="4"/>
  <c r="W810" i="4"/>
  <c r="AI810" i="4"/>
  <c r="AE810" i="4"/>
  <c r="AM810" i="4"/>
  <c r="AQ810" i="4"/>
  <c r="AU829" i="4"/>
  <c r="S829" i="4"/>
  <c r="BC829" i="4"/>
  <c r="AA829" i="4"/>
  <c r="AE829" i="4"/>
  <c r="AI829" i="4"/>
  <c r="AY829" i="4"/>
  <c r="O829" i="4"/>
  <c r="BG829" i="4"/>
  <c r="AM829" i="4"/>
  <c r="AQ829" i="4"/>
  <c r="BG830" i="4"/>
  <c r="AE830" i="4"/>
  <c r="W830" i="4"/>
  <c r="AY830" i="4"/>
  <c r="S830" i="4"/>
  <c r="AQ830" i="4"/>
  <c r="BC830" i="4"/>
  <c r="O830" i="4"/>
  <c r="AI830" i="4"/>
  <c r="AU830" i="4"/>
  <c r="AA830" i="4"/>
  <c r="AM830" i="4"/>
  <c r="BH900" i="4"/>
  <c r="BI900" i="4" s="1"/>
  <c r="BH991" i="4"/>
  <c r="BI991" i="4" s="1"/>
  <c r="AM463" i="4"/>
  <c r="AU472" i="4"/>
  <c r="S472" i="4"/>
  <c r="BG472" i="4"/>
  <c r="BC492" i="4"/>
  <c r="BG504" i="4"/>
  <c r="BG506" i="4"/>
  <c r="AE506" i="4"/>
  <c r="W506" i="4"/>
  <c r="AY506" i="4"/>
  <c r="AA506" i="4"/>
  <c r="AQ512" i="4"/>
  <c r="O512" i="4"/>
  <c r="AY512" i="4"/>
  <c r="S512" i="4"/>
  <c r="BC512" i="4"/>
  <c r="AY557" i="4"/>
  <c r="W557" i="4"/>
  <c r="BG557" i="4"/>
  <c r="AE557" i="4"/>
  <c r="AA557" i="4"/>
  <c r="AI557" i="4"/>
  <c r="AU557" i="4"/>
  <c r="AY595" i="4"/>
  <c r="W595" i="4"/>
  <c r="AA595" i="4"/>
  <c r="BC595" i="4"/>
  <c r="AE595" i="4"/>
  <c r="AI595" i="4"/>
  <c r="AQ595" i="4"/>
  <c r="AM634" i="4"/>
  <c r="BH634" i="4" s="1"/>
  <c r="BI634" i="4" s="1"/>
  <c r="AY665" i="4"/>
  <c r="W665" i="4"/>
  <c r="AM665" i="4"/>
  <c r="O665" i="4"/>
  <c r="AQ665" i="4"/>
  <c r="AA665" i="4"/>
  <c r="BG665" i="4"/>
  <c r="AE665" i="4"/>
  <c r="AU665" i="4"/>
  <c r="AI665" i="4"/>
  <c r="BC681" i="4"/>
  <c r="AA681" i="4"/>
  <c r="AU681" i="4"/>
  <c r="W681" i="4"/>
  <c r="AY681" i="4"/>
  <c r="BG681" i="4"/>
  <c r="S681" i="4"/>
  <c r="AE681" i="4"/>
  <c r="AM681" i="4"/>
  <c r="O681" i="4"/>
  <c r="AQ681" i="4"/>
  <c r="AQ711" i="4"/>
  <c r="AY727" i="4"/>
  <c r="W727" i="4"/>
  <c r="BC727" i="4"/>
  <c r="AA727" i="4"/>
  <c r="S727" i="4"/>
  <c r="AE727" i="4"/>
  <c r="AQ727" i="4"/>
  <c r="O727" i="4"/>
  <c r="AI906" i="4"/>
  <c r="W906" i="4"/>
  <c r="S906" i="4"/>
  <c r="AA906" i="4"/>
  <c r="BC906" i="4"/>
  <c r="AY906" i="4"/>
  <c r="AM906" i="4"/>
  <c r="BG906" i="4"/>
  <c r="O906" i="4"/>
  <c r="AE906" i="4"/>
  <c r="AQ906" i="4"/>
  <c r="AU906" i="4"/>
  <c r="AI381" i="4"/>
  <c r="BH381" i="4" s="1"/>
  <c r="BI381" i="4" s="1"/>
  <c r="AI395" i="4"/>
  <c r="BH395" i="4" s="1"/>
  <c r="BI395" i="4" s="1"/>
  <c r="AI409" i="4"/>
  <c r="AI423" i="4"/>
  <c r="AI437" i="4"/>
  <c r="BH437" i="4" s="1"/>
  <c r="BI437" i="4" s="1"/>
  <c r="W440" i="4"/>
  <c r="BH440" i="4" s="1"/>
  <c r="BI440" i="4" s="1"/>
  <c r="AI451" i="4"/>
  <c r="BH451" i="4" s="1"/>
  <c r="BI451" i="4" s="1"/>
  <c r="AQ472" i="4"/>
  <c r="W473" i="4"/>
  <c r="BC490" i="4"/>
  <c r="AA490" i="4"/>
  <c r="O490" i="4"/>
  <c r="S490" i="4"/>
  <c r="AI494" i="4"/>
  <c r="BH494" i="4" s="1"/>
  <c r="BI494" i="4" s="1"/>
  <c r="AM494" i="4"/>
  <c r="AQ494" i="4"/>
  <c r="AU506" i="4"/>
  <c r="AU512" i="4"/>
  <c r="AQ526" i="4"/>
  <c r="O526" i="4"/>
  <c r="AY526" i="4"/>
  <c r="S526" i="4"/>
  <c r="AA526" i="4"/>
  <c r="BC526" i="4"/>
  <c r="AU526" i="4"/>
  <c r="AM531" i="4"/>
  <c r="BH531" i="4" s="1"/>
  <c r="BI531" i="4" s="1"/>
  <c r="BG534" i="4"/>
  <c r="AE534" i="4"/>
  <c r="W534" i="4"/>
  <c r="BH534" i="4" s="1"/>
  <c r="BI534" i="4" s="1"/>
  <c r="AY534" i="4"/>
  <c r="AA534" i="4"/>
  <c r="AA550" i="4"/>
  <c r="AI601" i="4"/>
  <c r="W601" i="4"/>
  <c r="AY601" i="4"/>
  <c r="S601" i="4"/>
  <c r="BG601" i="4"/>
  <c r="AA601" i="4"/>
  <c r="AM601" i="4"/>
  <c r="AQ601" i="4"/>
  <c r="BG610" i="4"/>
  <c r="AE610" i="4"/>
  <c r="BC610" i="4"/>
  <c r="AA610" i="4"/>
  <c r="AI610" i="4"/>
  <c r="AM610" i="4"/>
  <c r="AU610" i="4"/>
  <c r="BH617" i="4"/>
  <c r="BI617" i="4" s="1"/>
  <c r="AI629" i="4"/>
  <c r="W629" i="4"/>
  <c r="AY629" i="4"/>
  <c r="S629" i="4"/>
  <c r="BG629" i="4"/>
  <c r="AA629" i="4"/>
  <c r="AU629" i="4"/>
  <c r="AY636" i="4"/>
  <c r="W636" i="4"/>
  <c r="AU636" i="4"/>
  <c r="S636" i="4"/>
  <c r="BC636" i="4"/>
  <c r="AA636" i="4"/>
  <c r="BG636" i="4"/>
  <c r="AE636" i="4"/>
  <c r="BH645" i="4"/>
  <c r="BI645" i="4" s="1"/>
  <c r="BG656" i="4"/>
  <c r="AE656" i="4"/>
  <c r="AI656" i="4"/>
  <c r="AY656" i="4"/>
  <c r="S656" i="4"/>
  <c r="AU656" i="4"/>
  <c r="O656" i="4"/>
  <c r="BC656" i="4"/>
  <c r="W656" i="4"/>
  <c r="AA656" i="4"/>
  <c r="AM656" i="4"/>
  <c r="BC662" i="4"/>
  <c r="AA662" i="4"/>
  <c r="BG662" i="4"/>
  <c r="AE662" i="4"/>
  <c r="AY662" i="4"/>
  <c r="S662" i="4"/>
  <c r="AU662" i="4"/>
  <c r="O662" i="4"/>
  <c r="W662" i="4"/>
  <c r="AM662" i="4"/>
  <c r="AU864" i="4"/>
  <c r="AQ423" i="4"/>
  <c r="BH423" i="4" s="1"/>
  <c r="BI423" i="4" s="1"/>
  <c r="AQ437" i="4"/>
  <c r="AQ451" i="4"/>
  <c r="O463" i="4"/>
  <c r="BH463" i="4" s="1"/>
  <c r="BI463" i="4" s="1"/>
  <c r="O472" i="4"/>
  <c r="AU490" i="4"/>
  <c r="AQ498" i="4"/>
  <c r="O498" i="4"/>
  <c r="AY498" i="4"/>
  <c r="BC498" i="4"/>
  <c r="AE504" i="4"/>
  <c r="O506" i="4"/>
  <c r="AU534" i="4"/>
  <c r="AQ539" i="4"/>
  <c r="O539" i="4"/>
  <c r="BH539" i="4" s="1"/>
  <c r="BI539" i="4" s="1"/>
  <c r="AY539" i="4"/>
  <c r="W539" i="4"/>
  <c r="AI545" i="4"/>
  <c r="BH545" i="4" s="1"/>
  <c r="BI545" i="4" s="1"/>
  <c r="AA545" i="4"/>
  <c r="BC545" i="4"/>
  <c r="AE545" i="4"/>
  <c r="S553" i="4"/>
  <c r="O557" i="4"/>
  <c r="BC560" i="4"/>
  <c r="AA560" i="4"/>
  <c r="BH560" i="4" s="1"/>
  <c r="BI560" i="4" s="1"/>
  <c r="AI560" i="4"/>
  <c r="AE560" i="4"/>
  <c r="AM560" i="4"/>
  <c r="AU560" i="4"/>
  <c r="O595" i="4"/>
  <c r="BC601" i="4"/>
  <c r="BH639" i="4"/>
  <c r="BI639" i="4" s="1"/>
  <c r="AU711" i="4"/>
  <c r="BG727" i="4"/>
  <c r="AI788" i="4"/>
  <c r="W788" i="4"/>
  <c r="AU788" i="4"/>
  <c r="O788" i="4"/>
  <c r="BG788" i="4"/>
  <c r="AY788" i="4"/>
  <c r="S788" i="4"/>
  <c r="BC788" i="4"/>
  <c r="AA788" i="4"/>
  <c r="AM788" i="4"/>
  <c r="AQ788" i="4"/>
  <c r="AY796" i="4"/>
  <c r="W796" i="4"/>
  <c r="AA796" i="4"/>
  <c r="AM796" i="4"/>
  <c r="BC796" i="4"/>
  <c r="O796" i="4"/>
  <c r="AU796" i="4"/>
  <c r="BG796" i="4"/>
  <c r="AI796" i="4"/>
  <c r="AQ796" i="4"/>
  <c r="AQ836" i="4"/>
  <c r="O836" i="4"/>
  <c r="AY836" i="4"/>
  <c r="S836" i="4"/>
  <c r="AU836" i="4"/>
  <c r="AA836" i="4"/>
  <c r="BC836" i="4"/>
  <c r="AI836" i="4"/>
  <c r="AE836" i="4"/>
  <c r="AM836" i="4"/>
  <c r="BG836" i="4"/>
  <c r="BC573" i="4"/>
  <c r="AA573" i="4"/>
  <c r="AI573" i="4"/>
  <c r="AU573" i="4"/>
  <c r="O573" i="4"/>
  <c r="AY573" i="4"/>
  <c r="S573" i="4"/>
  <c r="BH592" i="4"/>
  <c r="BI592" i="4" s="1"/>
  <c r="BG595" i="4"/>
  <c r="O601" i="4"/>
  <c r="O610" i="4"/>
  <c r="AY610" i="4"/>
  <c r="AU621" i="4"/>
  <c r="S621" i="4"/>
  <c r="O621" i="4"/>
  <c r="AQ621" i="4"/>
  <c r="BC621" i="4"/>
  <c r="W621" i="4"/>
  <c r="AA621" i="4"/>
  <c r="AI621" i="4"/>
  <c r="O629" i="4"/>
  <c r="O636" i="4"/>
  <c r="AU642" i="4"/>
  <c r="S642" i="4"/>
  <c r="AQ642" i="4"/>
  <c r="O642" i="4"/>
  <c r="AY642" i="4"/>
  <c r="W642" i="4"/>
  <c r="BC642" i="4"/>
  <c r="AI642" i="4"/>
  <c r="AA642" i="4"/>
  <c r="AE644" i="4"/>
  <c r="S665" i="4"/>
  <c r="AQ694" i="4"/>
  <c r="O694" i="4"/>
  <c r="AU694" i="4"/>
  <c r="S694" i="4"/>
  <c r="BG694" i="4"/>
  <c r="AA694" i="4"/>
  <c r="AI694" i="4"/>
  <c r="W694" i="4"/>
  <c r="AM694" i="4"/>
  <c r="AE694" i="4"/>
  <c r="AI696" i="4"/>
  <c r="BH745" i="4"/>
  <c r="BI745" i="4" s="1"/>
  <c r="AQ755" i="4"/>
  <c r="BH755" i="4" s="1"/>
  <c r="BI755" i="4" s="1"/>
  <c r="AQ761" i="4"/>
  <c r="AY474" i="4"/>
  <c r="W474" i="4"/>
  <c r="AY488" i="4"/>
  <c r="W488" i="4"/>
  <c r="BH488" i="4" s="1"/>
  <c r="BI488" i="4" s="1"/>
  <c r="AY502" i="4"/>
  <c r="W502" i="4"/>
  <c r="BH502" i="4" s="1"/>
  <c r="BI502" i="4" s="1"/>
  <c r="AY516" i="4"/>
  <c r="W516" i="4"/>
  <c r="BH516" i="4" s="1"/>
  <c r="BI516" i="4" s="1"/>
  <c r="AM522" i="4"/>
  <c r="BH522" i="4" s="1"/>
  <c r="BI522" i="4" s="1"/>
  <c r="AY530" i="4"/>
  <c r="W530" i="4"/>
  <c r="BH530" i="4" s="1"/>
  <c r="BI530" i="4" s="1"/>
  <c r="AM536" i="4"/>
  <c r="BC546" i="4"/>
  <c r="AA546" i="4"/>
  <c r="BH546" i="4" s="1"/>
  <c r="BI546" i="4" s="1"/>
  <c r="AI546" i="4"/>
  <c r="AQ546" i="4"/>
  <c r="AY558" i="4"/>
  <c r="W558" i="4"/>
  <c r="BH558" i="4" s="1"/>
  <c r="BI558" i="4" s="1"/>
  <c r="BG558" i="4"/>
  <c r="AE558" i="4"/>
  <c r="AQ558" i="4"/>
  <c r="AI578" i="4"/>
  <c r="AQ578" i="4"/>
  <c r="O578" i="4"/>
  <c r="BC586" i="4"/>
  <c r="AA586" i="4"/>
  <c r="BH586" i="4" s="1"/>
  <c r="BI586" i="4" s="1"/>
  <c r="AY586" i="4"/>
  <c r="W586" i="4"/>
  <c r="BG586" i="4"/>
  <c r="AE586" i="4"/>
  <c r="BG588" i="4"/>
  <c r="AE588" i="4"/>
  <c r="BC588" i="4"/>
  <c r="AA588" i="4"/>
  <c r="AI588" i="4"/>
  <c r="AQ619" i="4"/>
  <c r="O619" i="4"/>
  <c r="AM619" i="4"/>
  <c r="AI619" i="4"/>
  <c r="AU619" i="4"/>
  <c r="AU628" i="4"/>
  <c r="S628" i="4"/>
  <c r="AQ628" i="4"/>
  <c r="O628" i="4"/>
  <c r="AY628" i="4"/>
  <c r="W628" i="4"/>
  <c r="BC676" i="4"/>
  <c r="AA676" i="4"/>
  <c r="BG676" i="4"/>
  <c r="AE676" i="4"/>
  <c r="W676" i="4"/>
  <c r="BH676" i="4" s="1"/>
  <c r="BI676" i="4" s="1"/>
  <c r="AY676" i="4"/>
  <c r="S676" i="4"/>
  <c r="AU676" i="4"/>
  <c r="AM687" i="4"/>
  <c r="AM725" i="4"/>
  <c r="AM738" i="4"/>
  <c r="AI746" i="4"/>
  <c r="W746" i="4"/>
  <c r="AY746" i="4"/>
  <c r="S746" i="4"/>
  <c r="AE746" i="4"/>
  <c r="AM746" i="4"/>
  <c r="AU746" i="4"/>
  <c r="AQ746" i="4"/>
  <c r="BC746" i="4"/>
  <c r="O746" i="4"/>
  <c r="BG746" i="4"/>
  <c r="AU808" i="4"/>
  <c r="S808" i="4"/>
  <c r="AI808" i="4"/>
  <c r="AM808" i="4"/>
  <c r="AE808" i="4"/>
  <c r="AQ808" i="4"/>
  <c r="W808" i="4"/>
  <c r="BH808" i="4" s="1"/>
  <c r="BI808" i="4" s="1"/>
  <c r="BG808" i="4"/>
  <c r="AA808" i="4"/>
  <c r="BC808" i="4"/>
  <c r="AI886" i="4"/>
  <c r="BC886" i="4"/>
  <c r="AY886" i="4"/>
  <c r="S886" i="4"/>
  <c r="AE886" i="4"/>
  <c r="BG886" i="4"/>
  <c r="W886" i="4"/>
  <c r="AA886" i="4"/>
  <c r="AM886" i="4"/>
  <c r="O886" i="4"/>
  <c r="AU886" i="4"/>
  <c r="AM529" i="4"/>
  <c r="AM552" i="4"/>
  <c r="BH552" i="4" s="1"/>
  <c r="BI552" i="4" s="1"/>
  <c r="AU555" i="4"/>
  <c r="S555" i="4"/>
  <c r="BH555" i="4" s="1"/>
  <c r="BI555" i="4" s="1"/>
  <c r="BC555" i="4"/>
  <c r="AA555" i="4"/>
  <c r="AQ555" i="4"/>
  <c r="AQ581" i="4"/>
  <c r="O581" i="4"/>
  <c r="AY581" i="4"/>
  <c r="W581" i="4"/>
  <c r="BG632" i="4"/>
  <c r="AU635" i="4"/>
  <c r="S635" i="4"/>
  <c r="O635" i="4"/>
  <c r="AQ635" i="4"/>
  <c r="BC635" i="4"/>
  <c r="W635" i="4"/>
  <c r="AY637" i="4"/>
  <c r="W637" i="4"/>
  <c r="AA637" i="4"/>
  <c r="BC637" i="4"/>
  <c r="AE637" i="4"/>
  <c r="AI643" i="4"/>
  <c r="W643" i="4"/>
  <c r="AY643" i="4"/>
  <c r="S643" i="4"/>
  <c r="BH643" i="4" s="1"/>
  <c r="BI643" i="4" s="1"/>
  <c r="BG643" i="4"/>
  <c r="AA643" i="4"/>
  <c r="AU643" i="4"/>
  <c r="BH687" i="4"/>
  <c r="BI687" i="4" s="1"/>
  <c r="BG698" i="4"/>
  <c r="AE698" i="4"/>
  <c r="AI698" i="4"/>
  <c r="AU698" i="4"/>
  <c r="O698" i="4"/>
  <c r="BC698" i="4"/>
  <c r="W698" i="4"/>
  <c r="AY707" i="4"/>
  <c r="W707" i="4"/>
  <c r="AM707" i="4"/>
  <c r="O707" i="4"/>
  <c r="AQ707" i="4"/>
  <c r="AI707" i="4"/>
  <c r="AE707" i="4"/>
  <c r="AU780" i="4"/>
  <c r="S780" i="4"/>
  <c r="O780" i="4"/>
  <c r="W780" i="4"/>
  <c r="AI780" i="4"/>
  <c r="AE780" i="4"/>
  <c r="AM780" i="4"/>
  <c r="AY868" i="4"/>
  <c r="W868" i="4"/>
  <c r="AE868" i="4"/>
  <c r="BG868" i="4"/>
  <c r="AM868" i="4"/>
  <c r="AA868" i="4"/>
  <c r="S868" i="4"/>
  <c r="BC868" i="4"/>
  <c r="O868" i="4"/>
  <c r="AU868" i="4"/>
  <c r="AU658" i="4"/>
  <c r="S658" i="4"/>
  <c r="AM658" i="4"/>
  <c r="AI658" i="4"/>
  <c r="O658" i="4"/>
  <c r="AQ658" i="4"/>
  <c r="AY658" i="4"/>
  <c r="AU663" i="4"/>
  <c r="S663" i="4"/>
  <c r="BH663" i="4" s="1"/>
  <c r="BI663" i="4" s="1"/>
  <c r="AE663" i="4"/>
  <c r="AI663" i="4"/>
  <c r="AQ663" i="4"/>
  <c r="BC667" i="4"/>
  <c r="AA667" i="4"/>
  <c r="AU667" i="4"/>
  <c r="W667" i="4"/>
  <c r="AY667" i="4"/>
  <c r="O667" i="4"/>
  <c r="BH667" i="4" s="1"/>
  <c r="BI667" i="4" s="1"/>
  <c r="BG667" i="4"/>
  <c r="AU674" i="4"/>
  <c r="S674" i="4"/>
  <c r="BH674" i="4" s="1"/>
  <c r="BI674" i="4" s="1"/>
  <c r="AY674" i="4"/>
  <c r="W674" i="4"/>
  <c r="AE674" i="4"/>
  <c r="AM674" i="4"/>
  <c r="AU688" i="4"/>
  <c r="S688" i="4"/>
  <c r="AY688" i="4"/>
  <c r="W688" i="4"/>
  <c r="AM688" i="4"/>
  <c r="O688" i="4"/>
  <c r="AI733" i="4"/>
  <c r="BC733" i="4"/>
  <c r="W733" i="4"/>
  <c r="AE733" i="4"/>
  <c r="BG733" i="4"/>
  <c r="AQ733" i="4"/>
  <c r="AM733" i="4"/>
  <c r="O733" i="4"/>
  <c r="AU733" i="4"/>
  <c r="AY739" i="4"/>
  <c r="BG739" i="4"/>
  <c r="AA739" i="4"/>
  <c r="BC739" i="4"/>
  <c r="AE739" i="4"/>
  <c r="BH739" i="4" s="1"/>
  <c r="BI739" i="4" s="1"/>
  <c r="W739" i="4"/>
  <c r="AI739" i="4"/>
  <c r="AU739" i="4"/>
  <c r="BH762" i="4"/>
  <c r="BI762" i="4" s="1"/>
  <c r="AU824" i="4"/>
  <c r="S824" i="4"/>
  <c r="BG824" i="4"/>
  <c r="AA824" i="4"/>
  <c r="BC824" i="4"/>
  <c r="AI824" i="4"/>
  <c r="W824" i="4"/>
  <c r="BH824" i="4" s="1"/>
  <c r="BI824" i="4" s="1"/>
  <c r="AE824" i="4"/>
  <c r="AY824" i="4"/>
  <c r="BG844" i="4"/>
  <c r="AE844" i="4"/>
  <c r="AA844" i="4"/>
  <c r="AM844" i="4"/>
  <c r="W844" i="4"/>
  <c r="BH844" i="4" s="1"/>
  <c r="BI844" i="4" s="1"/>
  <c r="AQ844" i="4"/>
  <c r="AI844" i="4"/>
  <c r="AY844" i="4"/>
  <c r="AU863" i="4"/>
  <c r="S863" i="4"/>
  <c r="AQ863" i="4"/>
  <c r="O863" i="4"/>
  <c r="AY863" i="4"/>
  <c r="BG863" i="4"/>
  <c r="AA863" i="4"/>
  <c r="AI863" i="4"/>
  <c r="AM863" i="4"/>
  <c r="BC863" i="4"/>
  <c r="BC882" i="4"/>
  <c r="AA882" i="4"/>
  <c r="AE882" i="4"/>
  <c r="AQ882" i="4"/>
  <c r="AI882" i="4"/>
  <c r="S882" i="4"/>
  <c r="AU882" i="4"/>
  <c r="AM882" i="4"/>
  <c r="BG882" i="4"/>
  <c r="O882" i="4"/>
  <c r="AM510" i="4"/>
  <c r="BH510" i="4" s="1"/>
  <c r="BI510" i="4" s="1"/>
  <c r="AE522" i="4"/>
  <c r="AM524" i="4"/>
  <c r="BH524" i="4" s="1"/>
  <c r="BI524" i="4" s="1"/>
  <c r="AE529" i="4"/>
  <c r="BH529" i="4" s="1"/>
  <c r="BI529" i="4" s="1"/>
  <c r="AE536" i="4"/>
  <c r="BH536" i="4" s="1"/>
  <c r="BI536" i="4" s="1"/>
  <c r="AM538" i="4"/>
  <c r="BH538" i="4" s="1"/>
  <c r="BI538" i="4" s="1"/>
  <c r="AQ553" i="4"/>
  <c r="O553" i="4"/>
  <c r="AY553" i="4"/>
  <c r="W553" i="4"/>
  <c r="AI555" i="4"/>
  <c r="BH562" i="4"/>
  <c r="BI562" i="4" s="1"/>
  <c r="BG576" i="4"/>
  <c r="AI581" i="4"/>
  <c r="BG604" i="4"/>
  <c r="AU607" i="4"/>
  <c r="S607" i="4"/>
  <c r="O607" i="4"/>
  <c r="AQ607" i="4"/>
  <c r="BC607" i="4"/>
  <c r="W607" i="4"/>
  <c r="AY609" i="4"/>
  <c r="W609" i="4"/>
  <c r="BH609" i="4" s="1"/>
  <c r="BI609" i="4" s="1"/>
  <c r="AA609" i="4"/>
  <c r="BC609" i="4"/>
  <c r="AE609" i="4"/>
  <c r="AM613" i="4"/>
  <c r="AI615" i="4"/>
  <c r="W615" i="4"/>
  <c r="AY615" i="4"/>
  <c r="S615" i="4"/>
  <c r="BH615" i="4" s="1"/>
  <c r="BI615" i="4" s="1"/>
  <c r="BG615" i="4"/>
  <c r="AA615" i="4"/>
  <c r="AU615" i="4"/>
  <c r="AM643" i="4"/>
  <c r="BC648" i="4"/>
  <c r="AA648" i="4"/>
  <c r="W648" i="4"/>
  <c r="BH648" i="4" s="1"/>
  <c r="BI648" i="4" s="1"/>
  <c r="AY648" i="4"/>
  <c r="AE648" i="4"/>
  <c r="AQ652" i="4"/>
  <c r="O652" i="4"/>
  <c r="BH652" i="4" s="1"/>
  <c r="BI652" i="4" s="1"/>
  <c r="AU652" i="4"/>
  <c r="S652" i="4"/>
  <c r="AI652" i="4"/>
  <c r="AE652" i="4"/>
  <c r="AM652" i="4"/>
  <c r="AA663" i="4"/>
  <c r="AE667" i="4"/>
  <c r="AE688" i="4"/>
  <c r="AQ689" i="4"/>
  <c r="O689" i="4"/>
  <c r="W689" i="4"/>
  <c r="AY689" i="4"/>
  <c r="BG689" i="4"/>
  <c r="AA689" i="4"/>
  <c r="BC689" i="4"/>
  <c r="S689" i="4"/>
  <c r="AE689" i="4"/>
  <c r="AM698" i="4"/>
  <c r="BC704" i="4"/>
  <c r="AA704" i="4"/>
  <c r="BG704" i="4"/>
  <c r="AE704" i="4"/>
  <c r="W704" i="4"/>
  <c r="AY704" i="4"/>
  <c r="S704" i="4"/>
  <c r="BH704" i="4" s="1"/>
  <c r="BI704" i="4" s="1"/>
  <c r="AU704" i="4"/>
  <c r="BG729" i="4"/>
  <c r="AE729" i="4"/>
  <c r="AI729" i="4"/>
  <c r="AU729" i="4"/>
  <c r="O729" i="4"/>
  <c r="BC729" i="4"/>
  <c r="W729" i="4"/>
  <c r="AQ780" i="4"/>
  <c r="BC817" i="4"/>
  <c r="AA817" i="4"/>
  <c r="S817" i="4"/>
  <c r="BH817" i="4" s="1"/>
  <c r="BI817" i="4" s="1"/>
  <c r="BG817" i="4"/>
  <c r="W817" i="4"/>
  <c r="AY817" i="4"/>
  <c r="AE817" i="4"/>
  <c r="AI817" i="4"/>
  <c r="AE863" i="4"/>
  <c r="AQ868" i="4"/>
  <c r="BG889" i="4"/>
  <c r="AE889" i="4"/>
  <c r="AQ889" i="4"/>
  <c r="O889" i="4"/>
  <c r="AA889" i="4"/>
  <c r="AM889" i="4"/>
  <c r="AU889" i="4"/>
  <c r="W889" i="4"/>
  <c r="AI889" i="4"/>
  <c r="BC889" i="4"/>
  <c r="AM546" i="4"/>
  <c r="AU553" i="4"/>
  <c r="AM558" i="4"/>
  <c r="AI564" i="4"/>
  <c r="AQ564" i="4"/>
  <c r="O564" i="4"/>
  <c r="BH564" i="4" s="1"/>
  <c r="BI564" i="4" s="1"/>
  <c r="AU570" i="4"/>
  <c r="S570" i="4"/>
  <c r="BC570" i="4"/>
  <c r="AA570" i="4"/>
  <c r="AQ570" i="4"/>
  <c r="AM578" i="4"/>
  <c r="AY584" i="4"/>
  <c r="W584" i="4"/>
  <c r="AU584" i="4"/>
  <c r="S584" i="4"/>
  <c r="BC584" i="4"/>
  <c r="AA584" i="4"/>
  <c r="AY607" i="4"/>
  <c r="AU609" i="4"/>
  <c r="BG624" i="4"/>
  <c r="AE624" i="4"/>
  <c r="BC624" i="4"/>
  <c r="AA624" i="4"/>
  <c r="AI624" i="4"/>
  <c r="BC630" i="4"/>
  <c r="AA630" i="4"/>
  <c r="BH630" i="4" s="1"/>
  <c r="BI630" i="4" s="1"/>
  <c r="AI630" i="4"/>
  <c r="AQ630" i="4"/>
  <c r="AM635" i="4"/>
  <c r="AM637" i="4"/>
  <c r="AU648" i="4"/>
  <c r="BC652" i="4"/>
  <c r="AE658" i="4"/>
  <c r="AM673" i="4"/>
  <c r="BH673" i="4" s="1"/>
  <c r="BI673" i="4" s="1"/>
  <c r="AQ676" i="4"/>
  <c r="AI678" i="4"/>
  <c r="BH678" i="4" s="1"/>
  <c r="BI678" i="4" s="1"/>
  <c r="AY729" i="4"/>
  <c r="AI749" i="4"/>
  <c r="AM749" i="4"/>
  <c r="BG749" i="4"/>
  <c r="AA749" i="4"/>
  <c r="AE749" i="4"/>
  <c r="W749" i="4"/>
  <c r="BH749" i="4" s="1"/>
  <c r="BI749" i="4" s="1"/>
  <c r="BG797" i="4"/>
  <c r="AE797" i="4"/>
  <c r="AU797" i="4"/>
  <c r="O797" i="4"/>
  <c r="AY797" i="4"/>
  <c r="AA797" i="4"/>
  <c r="AM797" i="4"/>
  <c r="W797" i="4"/>
  <c r="AI797" i="4"/>
  <c r="BC797" i="4"/>
  <c r="AY808" i="4"/>
  <c r="AM859" i="4"/>
  <c r="AM548" i="4"/>
  <c r="AM562" i="4"/>
  <c r="AM576" i="4"/>
  <c r="AM590" i="4"/>
  <c r="O598" i="4"/>
  <c r="AQ598" i="4"/>
  <c r="AU599" i="4"/>
  <c r="AM604" i="4"/>
  <c r="O612" i="4"/>
  <c r="BH612" i="4" s="1"/>
  <c r="BI612" i="4" s="1"/>
  <c r="AQ612" i="4"/>
  <c r="AU613" i="4"/>
  <c r="AM618" i="4"/>
  <c r="O626" i="4"/>
  <c r="AQ626" i="4"/>
  <c r="AM632" i="4"/>
  <c r="O640" i="4"/>
  <c r="AQ640" i="4"/>
  <c r="BG655" i="4"/>
  <c r="AE655" i="4"/>
  <c r="BH655" i="4" s="1"/>
  <c r="BI655" i="4" s="1"/>
  <c r="BC655" i="4"/>
  <c r="AQ661" i="4"/>
  <c r="O661" i="4"/>
  <c r="W661" i="4"/>
  <c r="BG661" i="4"/>
  <c r="AA661" i="4"/>
  <c r="AU661" i="4"/>
  <c r="AQ666" i="4"/>
  <c r="O666" i="4"/>
  <c r="AU666" i="4"/>
  <c r="S666" i="4"/>
  <c r="O669" i="4"/>
  <c r="AY675" i="4"/>
  <c r="AU677" i="4"/>
  <c r="S677" i="4"/>
  <c r="BH677" i="4" s="1"/>
  <c r="BI677" i="4" s="1"/>
  <c r="AE677" i="4"/>
  <c r="AI677" i="4"/>
  <c r="AY680" i="4"/>
  <c r="BC695" i="4"/>
  <c r="AA695" i="4"/>
  <c r="AU695" i="4"/>
  <c r="O695" i="4"/>
  <c r="W695" i="4"/>
  <c r="AY695" i="4"/>
  <c r="AU705" i="4"/>
  <c r="S705" i="4"/>
  <c r="AE705" i="4"/>
  <c r="BG705" i="4"/>
  <c r="AI705" i="4"/>
  <c r="BH705" i="4" s="1"/>
  <c r="BI705" i="4" s="1"/>
  <c r="AY712" i="4"/>
  <c r="AE712" i="4"/>
  <c r="BH712" i="4" s="1"/>
  <c r="BI712" i="4" s="1"/>
  <c r="BG712" i="4"/>
  <c r="AI712" i="4"/>
  <c r="AQ712" i="4"/>
  <c r="AY726" i="4"/>
  <c r="W726" i="4"/>
  <c r="O726" i="4"/>
  <c r="AQ726" i="4"/>
  <c r="S726" i="4"/>
  <c r="AU726" i="4"/>
  <c r="BC742" i="4"/>
  <c r="AA742" i="4"/>
  <c r="AI742" i="4"/>
  <c r="AY742" i="4"/>
  <c r="S742" i="4"/>
  <c r="BH742" i="4" s="1"/>
  <c r="BI742" i="4" s="1"/>
  <c r="BG742" i="4"/>
  <c r="W742" i="4"/>
  <c r="AE742" i="4"/>
  <c r="BG769" i="4"/>
  <c r="AE769" i="4"/>
  <c r="AA769" i="4"/>
  <c r="BC769" i="4"/>
  <c r="W769" i="4"/>
  <c r="AY769" i="4"/>
  <c r="S769" i="4"/>
  <c r="BH769" i="4" s="1"/>
  <c r="BI769" i="4" s="1"/>
  <c r="AU769" i="4"/>
  <c r="AY782" i="4"/>
  <c r="W782" i="4"/>
  <c r="AA782" i="4"/>
  <c r="AE782" i="4"/>
  <c r="BC782" i="4"/>
  <c r="S782" i="4"/>
  <c r="BH782" i="4" s="1"/>
  <c r="BI782" i="4" s="1"/>
  <c r="AU782" i="4"/>
  <c r="S551" i="4"/>
  <c r="BH551" i="4" s="1"/>
  <c r="BI551" i="4" s="1"/>
  <c r="AU551" i="4"/>
  <c r="S565" i="4"/>
  <c r="BH565" i="4" s="1"/>
  <c r="BI565" i="4" s="1"/>
  <c r="AU565" i="4"/>
  <c r="S579" i="4"/>
  <c r="AU579" i="4"/>
  <c r="AM589" i="4"/>
  <c r="BH589" i="4" s="1"/>
  <c r="BI589" i="4" s="1"/>
  <c r="BC597" i="4"/>
  <c r="AA597" i="4"/>
  <c r="S599" i="4"/>
  <c r="BH599" i="4" s="1"/>
  <c r="BI599" i="4" s="1"/>
  <c r="BC611" i="4"/>
  <c r="AA611" i="4"/>
  <c r="BH611" i="4" s="1"/>
  <c r="BI611" i="4" s="1"/>
  <c r="S613" i="4"/>
  <c r="BH613" i="4" s="1"/>
  <c r="BI613" i="4" s="1"/>
  <c r="BC625" i="4"/>
  <c r="AA625" i="4"/>
  <c r="S627" i="4"/>
  <c r="BC639" i="4"/>
  <c r="AA639" i="4"/>
  <c r="S641" i="4"/>
  <c r="AU649" i="4"/>
  <c r="S649" i="4"/>
  <c r="BH649" i="4" s="1"/>
  <c r="BI649" i="4" s="1"/>
  <c r="AE649" i="4"/>
  <c r="AQ649" i="4"/>
  <c r="AQ655" i="4"/>
  <c r="AU669" i="4"/>
  <c r="AY672" i="4"/>
  <c r="AY682" i="4"/>
  <c r="W682" i="4"/>
  <c r="BC682" i="4"/>
  <c r="AA682" i="4"/>
  <c r="AQ682" i="4"/>
  <c r="BC690" i="4"/>
  <c r="AA690" i="4"/>
  <c r="BH690" i="4" s="1"/>
  <c r="BI690" i="4" s="1"/>
  <c r="BG690" i="4"/>
  <c r="AE690" i="4"/>
  <c r="AQ690" i="4"/>
  <c r="AU721" i="4"/>
  <c r="S721" i="4"/>
  <c r="BH721" i="4" s="1"/>
  <c r="BI721" i="4" s="1"/>
  <c r="BC721" i="4"/>
  <c r="AA721" i="4"/>
  <c r="AQ721" i="4"/>
  <c r="BG723" i="4"/>
  <c r="AE723" i="4"/>
  <c r="BH723" i="4" s="1"/>
  <c r="BI723" i="4" s="1"/>
  <c r="AI723" i="4"/>
  <c r="AQ723" i="4"/>
  <c r="AI777" i="4"/>
  <c r="BC777" i="4"/>
  <c r="W777" i="4"/>
  <c r="BH777" i="4" s="1"/>
  <c r="BI777" i="4" s="1"/>
  <c r="BG777" i="4"/>
  <c r="AA777" i="4"/>
  <c r="AE777" i="4"/>
  <c r="AU777" i="4"/>
  <c r="BG795" i="4"/>
  <c r="BH799" i="4"/>
  <c r="BI799" i="4" s="1"/>
  <c r="AQ802" i="4"/>
  <c r="S821" i="4"/>
  <c r="AY826" i="4"/>
  <c r="W826" i="4"/>
  <c r="BH826" i="4" s="1"/>
  <c r="BI826" i="4" s="1"/>
  <c r="AI826" i="4"/>
  <c r="AQ826" i="4"/>
  <c r="AA826" i="4"/>
  <c r="BG826" i="4"/>
  <c r="AE826" i="4"/>
  <c r="AM826" i="4"/>
  <c r="AU826" i="4"/>
  <c r="BC826" i="4"/>
  <c r="AI846" i="4"/>
  <c r="S846" i="4"/>
  <c r="AU846" i="4"/>
  <c r="O846" i="4"/>
  <c r="BC846" i="4"/>
  <c r="AA846" i="4"/>
  <c r="BG846" i="4"/>
  <c r="AE846" i="4"/>
  <c r="AQ846" i="4"/>
  <c r="BG904" i="4"/>
  <c r="AE904" i="4"/>
  <c r="AM904" i="4"/>
  <c r="AI904" i="4"/>
  <c r="AA904" i="4"/>
  <c r="AQ904" i="4"/>
  <c r="W904" i="4"/>
  <c r="AU904" i="4"/>
  <c r="AY904" i="4"/>
  <c r="O904" i="4"/>
  <c r="BC904" i="4"/>
  <c r="AE548" i="4"/>
  <c r="BH548" i="4" s="1"/>
  <c r="BI548" i="4" s="1"/>
  <c r="AE562" i="4"/>
  <c r="AE576" i="4"/>
  <c r="BH576" i="4" s="1"/>
  <c r="BI576" i="4" s="1"/>
  <c r="AE590" i="4"/>
  <c r="BH590" i="4" s="1"/>
  <c r="BI590" i="4" s="1"/>
  <c r="AE597" i="4"/>
  <c r="AI598" i="4"/>
  <c r="AE604" i="4"/>
  <c r="BH604" i="4" s="1"/>
  <c r="BI604" i="4" s="1"/>
  <c r="AE611" i="4"/>
  <c r="AI612" i="4"/>
  <c r="AE618" i="4"/>
  <c r="AE625" i="4"/>
  <c r="AI626" i="4"/>
  <c r="AE632" i="4"/>
  <c r="BH632" i="4" s="1"/>
  <c r="BI632" i="4" s="1"/>
  <c r="AE639" i="4"/>
  <c r="AI640" i="4"/>
  <c r="AQ647" i="4"/>
  <c r="O647" i="4"/>
  <c r="W647" i="4"/>
  <c r="BG647" i="4"/>
  <c r="AI650" i="4"/>
  <c r="BH650" i="4" s="1"/>
  <c r="BI650" i="4" s="1"/>
  <c r="AM659" i="4"/>
  <c r="BH659" i="4" s="1"/>
  <c r="BI659" i="4" s="1"/>
  <c r="AI664" i="4"/>
  <c r="AI666" i="4"/>
  <c r="BG683" i="4"/>
  <c r="AE683" i="4"/>
  <c r="BC683" i="4"/>
  <c r="BH683" i="4" s="1"/>
  <c r="BI683" i="4" s="1"/>
  <c r="AM701" i="4"/>
  <c r="BH701" i="4" s="1"/>
  <c r="BI701" i="4" s="1"/>
  <c r="AQ708" i="4"/>
  <c r="O708" i="4"/>
  <c r="BH708" i="4" s="1"/>
  <c r="BI708" i="4" s="1"/>
  <c r="AU708" i="4"/>
  <c r="S708" i="4"/>
  <c r="AQ715" i="4"/>
  <c r="O715" i="4"/>
  <c r="AY715" i="4"/>
  <c r="W715" i="4"/>
  <c r="AQ722" i="4"/>
  <c r="O722" i="4"/>
  <c r="AU722" i="4"/>
  <c r="BC722" i="4"/>
  <c r="W722" i="4"/>
  <c r="AE722" i="4"/>
  <c r="AM769" i="4"/>
  <c r="AM782" i="4"/>
  <c r="AM846" i="4"/>
  <c r="BH854" i="4"/>
  <c r="BI854" i="4" s="1"/>
  <c r="BH963" i="4"/>
  <c r="BI963" i="4" s="1"/>
  <c r="AE589" i="4"/>
  <c r="BG599" i="4"/>
  <c r="AE599" i="4"/>
  <c r="BG613" i="4"/>
  <c r="AE613" i="4"/>
  <c r="BG627" i="4"/>
  <c r="AE627" i="4"/>
  <c r="BG641" i="4"/>
  <c r="AE641" i="4"/>
  <c r="BC653" i="4"/>
  <c r="AA653" i="4"/>
  <c r="AU653" i="4"/>
  <c r="W653" i="4"/>
  <c r="BH653" i="4" s="1"/>
  <c r="BI653" i="4" s="1"/>
  <c r="AY653" i="4"/>
  <c r="AQ653" i="4"/>
  <c r="AI655" i="4"/>
  <c r="AM661" i="4"/>
  <c r="AU672" i="4"/>
  <c r="S672" i="4"/>
  <c r="AM677" i="4"/>
  <c r="AY693" i="4"/>
  <c r="W693" i="4"/>
  <c r="AM693" i="4"/>
  <c r="O693" i="4"/>
  <c r="AQ693" i="4"/>
  <c r="AU693" i="4"/>
  <c r="AM695" i="4"/>
  <c r="AM705" i="4"/>
  <c r="AM726" i="4"/>
  <c r="AQ742" i="4"/>
  <c r="BC784" i="4"/>
  <c r="AA784" i="4"/>
  <c r="AI784" i="4"/>
  <c r="AU784" i="4"/>
  <c r="O784" i="4"/>
  <c r="AY784" i="4"/>
  <c r="S784" i="4"/>
  <c r="W784" i="4"/>
  <c r="BG784" i="4"/>
  <c r="AE784" i="4"/>
  <c r="AM790" i="4"/>
  <c r="AY795" i="4"/>
  <c r="W795" i="4"/>
  <c r="AE795" i="4"/>
  <c r="O795" i="4"/>
  <c r="AI795" i="4"/>
  <c r="AQ795" i="4"/>
  <c r="BH832" i="4"/>
  <c r="BI832" i="4" s="1"/>
  <c r="BH834" i="4"/>
  <c r="BI834" i="4" s="1"/>
  <c r="BH841" i="4"/>
  <c r="BI841" i="4" s="1"/>
  <c r="BC867" i="4"/>
  <c r="AA867" i="4"/>
  <c r="AY867" i="4"/>
  <c r="W867" i="4"/>
  <c r="S867" i="4"/>
  <c r="AE867" i="4"/>
  <c r="AM867" i="4"/>
  <c r="O867" i="4"/>
  <c r="AQ867" i="4"/>
  <c r="AI867" i="4"/>
  <c r="BG867" i="4"/>
  <c r="AI883" i="4"/>
  <c r="AU883" i="4"/>
  <c r="S883" i="4"/>
  <c r="AY883" i="4"/>
  <c r="O883" i="4"/>
  <c r="AE883" i="4"/>
  <c r="BG883" i="4"/>
  <c r="W883" i="4"/>
  <c r="AA883" i="4"/>
  <c r="AM883" i="4"/>
  <c r="BG669" i="4"/>
  <c r="AE669" i="4"/>
  <c r="BC669" i="4"/>
  <c r="AQ675" i="4"/>
  <c r="O675" i="4"/>
  <c r="W675" i="4"/>
  <c r="BG675" i="4"/>
  <c r="AA675" i="4"/>
  <c r="AU675" i="4"/>
  <c r="AQ680" i="4"/>
  <c r="O680" i="4"/>
  <c r="AU680" i="4"/>
  <c r="S680" i="4"/>
  <c r="AY710" i="4"/>
  <c r="W710" i="4"/>
  <c r="BC710" i="4"/>
  <c r="AA710" i="4"/>
  <c r="AQ710" i="4"/>
  <c r="AM712" i="4"/>
  <c r="BC717" i="4"/>
  <c r="AA717" i="4"/>
  <c r="BH717" i="4" s="1"/>
  <c r="BI717" i="4" s="1"/>
  <c r="BG717" i="4"/>
  <c r="AE717" i="4"/>
  <c r="AQ717" i="4"/>
  <c r="AU738" i="4"/>
  <c r="S738" i="4"/>
  <c r="BC738" i="4"/>
  <c r="AY738" i="4"/>
  <c r="BG738" i="4"/>
  <c r="AA738" i="4"/>
  <c r="AQ738" i="4"/>
  <c r="AU752" i="4"/>
  <c r="S752" i="4"/>
  <c r="BH752" i="4" s="1"/>
  <c r="BI752" i="4" s="1"/>
  <c r="AE752" i="4"/>
  <c r="BC752" i="4"/>
  <c r="W752" i="4"/>
  <c r="AU766" i="4"/>
  <c r="S766" i="4"/>
  <c r="AM766" i="4"/>
  <c r="BC766" i="4"/>
  <c r="W766" i="4"/>
  <c r="AY766" i="4"/>
  <c r="BG766" i="4"/>
  <c r="AA766" i="4"/>
  <c r="AQ769" i="4"/>
  <c r="AQ782" i="4"/>
  <c r="AM785" i="4"/>
  <c r="BH785" i="4" s="1"/>
  <c r="BI785" i="4" s="1"/>
  <c r="BH798" i="4"/>
  <c r="BI798" i="4" s="1"/>
  <c r="AU801" i="4"/>
  <c r="S801" i="4"/>
  <c r="O801" i="4"/>
  <c r="AQ801" i="4"/>
  <c r="BG801" i="4"/>
  <c r="AY801" i="4"/>
  <c r="AA801" i="4"/>
  <c r="AI801" i="4"/>
  <c r="AQ821" i="4"/>
  <c r="O821" i="4"/>
  <c r="AY821" i="4"/>
  <c r="W821" i="4"/>
  <c r="BG821" i="4"/>
  <c r="AA821" i="4"/>
  <c r="AE821" i="4"/>
  <c r="AI821" i="4"/>
  <c r="AU851" i="4"/>
  <c r="S851" i="4"/>
  <c r="O851" i="4"/>
  <c r="AQ851" i="4"/>
  <c r="BC851" i="4"/>
  <c r="AE851" i="4"/>
  <c r="AM851" i="4"/>
  <c r="AA851" i="4"/>
  <c r="AI851" i="4"/>
  <c r="AM855" i="4"/>
  <c r="AU879" i="4"/>
  <c r="S879" i="4"/>
  <c r="BH879" i="4" s="1"/>
  <c r="BI879" i="4" s="1"/>
  <c r="BG879" i="4"/>
  <c r="AE879" i="4"/>
  <c r="AA879" i="4"/>
  <c r="AI879" i="4"/>
  <c r="AY879" i="4"/>
  <c r="AQ879" i="4"/>
  <c r="W879" i="4"/>
  <c r="AM879" i="4"/>
  <c r="BH888" i="4"/>
  <c r="BI888" i="4" s="1"/>
  <c r="BC896" i="4"/>
  <c r="AA896" i="4"/>
  <c r="AI896" i="4"/>
  <c r="AE896" i="4"/>
  <c r="AQ896" i="4"/>
  <c r="W896" i="4"/>
  <c r="AM896" i="4"/>
  <c r="AU896" i="4"/>
  <c r="S896" i="4"/>
  <c r="BH896" i="4" s="1"/>
  <c r="BI896" i="4" s="1"/>
  <c r="AI657" i="4"/>
  <c r="AM664" i="4"/>
  <c r="AI671" i="4"/>
  <c r="AM678" i="4"/>
  <c r="AM692" i="4"/>
  <c r="BH692" i="4" s="1"/>
  <c r="BI692" i="4" s="1"/>
  <c r="AM706" i="4"/>
  <c r="BH706" i="4" s="1"/>
  <c r="BI706" i="4" s="1"/>
  <c r="AM735" i="4"/>
  <c r="BH735" i="4" s="1"/>
  <c r="BI735" i="4" s="1"/>
  <c r="AQ750" i="4"/>
  <c r="O750" i="4"/>
  <c r="AM750" i="4"/>
  <c r="AY751" i="4"/>
  <c r="AU773" i="4"/>
  <c r="S773" i="4"/>
  <c r="BG773" i="4"/>
  <c r="AA773" i="4"/>
  <c r="AQ773" i="4"/>
  <c r="BG783" i="4"/>
  <c r="AE783" i="4"/>
  <c r="BH783" i="4" s="1"/>
  <c r="BI783" i="4" s="1"/>
  <c r="AM783" i="4"/>
  <c r="AY783" i="4"/>
  <c r="AQ783" i="4"/>
  <c r="AY789" i="4"/>
  <c r="W789" i="4"/>
  <c r="BH789" i="4" s="1"/>
  <c r="BI789" i="4" s="1"/>
  <c r="AI789" i="4"/>
  <c r="BC789" i="4"/>
  <c r="AA789" i="4"/>
  <c r="AI791" i="4"/>
  <c r="BH791" i="4" s="1"/>
  <c r="BI791" i="4" s="1"/>
  <c r="AE791" i="4"/>
  <c r="AU791" i="4"/>
  <c r="AM791" i="4"/>
  <c r="AQ806" i="4"/>
  <c r="O806" i="4"/>
  <c r="AM806" i="4"/>
  <c r="AY806" i="4"/>
  <c r="S806" i="4"/>
  <c r="AU806" i="4"/>
  <c r="BH820" i="4"/>
  <c r="BI820" i="4" s="1"/>
  <c r="BH833" i="4"/>
  <c r="BI833" i="4" s="1"/>
  <c r="AY840" i="4"/>
  <c r="W840" i="4"/>
  <c r="AI840" i="4"/>
  <c r="AQ840" i="4"/>
  <c r="AM840" i="4"/>
  <c r="AA840" i="4"/>
  <c r="AE840" i="4"/>
  <c r="AI874" i="4"/>
  <c r="AU874" i="4"/>
  <c r="S874" i="4"/>
  <c r="AM874" i="4"/>
  <c r="BG874" i="4"/>
  <c r="W874" i="4"/>
  <c r="BC874" i="4"/>
  <c r="AA874" i="4"/>
  <c r="AY874" i="4"/>
  <c r="AY942" i="4"/>
  <c r="W942" i="4"/>
  <c r="AE942" i="4"/>
  <c r="BG942" i="4"/>
  <c r="AA942" i="4"/>
  <c r="BC942" i="4"/>
  <c r="S942" i="4"/>
  <c r="AQ942" i="4"/>
  <c r="AI942" i="4"/>
  <c r="AM942" i="4"/>
  <c r="AU942" i="4"/>
  <c r="O942" i="4"/>
  <c r="AQ657" i="4"/>
  <c r="BH657" i="4" s="1"/>
  <c r="BI657" i="4" s="1"/>
  <c r="AQ671" i="4"/>
  <c r="BH671" i="4" s="1"/>
  <c r="BI671" i="4" s="1"/>
  <c r="AQ685" i="4"/>
  <c r="BH685" i="4" s="1"/>
  <c r="BI685" i="4" s="1"/>
  <c r="S686" i="4"/>
  <c r="BH686" i="4" s="1"/>
  <c r="BI686" i="4" s="1"/>
  <c r="AU686" i="4"/>
  <c r="AQ699" i="4"/>
  <c r="BH699" i="4" s="1"/>
  <c r="BI699" i="4" s="1"/>
  <c r="S700" i="4"/>
  <c r="BH700" i="4" s="1"/>
  <c r="BI700" i="4" s="1"/>
  <c r="AU700" i="4"/>
  <c r="AU724" i="4"/>
  <c r="S724" i="4"/>
  <c r="BH724" i="4" s="1"/>
  <c r="BI724" i="4" s="1"/>
  <c r="BC724" i="4"/>
  <c r="S725" i="4"/>
  <c r="BH725" i="4" s="1"/>
  <c r="BI725" i="4" s="1"/>
  <c r="AU725" i="4"/>
  <c r="BG730" i="4"/>
  <c r="AE730" i="4"/>
  <c r="S730" i="4"/>
  <c r="BH730" i="4" s="1"/>
  <c r="BI730" i="4" s="1"/>
  <c r="AQ730" i="4"/>
  <c r="S731" i="4"/>
  <c r="BH731" i="4" s="1"/>
  <c r="BI731" i="4" s="1"/>
  <c r="AU731" i="4"/>
  <c r="AY740" i="4"/>
  <c r="W740" i="4"/>
  <c r="BH740" i="4" s="1"/>
  <c r="BI740" i="4" s="1"/>
  <c r="AA740" i="4"/>
  <c r="AQ740" i="4"/>
  <c r="S741" i="4"/>
  <c r="BH741" i="4" s="1"/>
  <c r="BI741" i="4" s="1"/>
  <c r="AM743" i="4"/>
  <c r="AU750" i="4"/>
  <c r="AY753" i="4"/>
  <c r="W753" i="4"/>
  <c r="BH753" i="4" s="1"/>
  <c r="BI753" i="4" s="1"/>
  <c r="AU759" i="4"/>
  <c r="S759" i="4"/>
  <c r="BH759" i="4" s="1"/>
  <c r="BI759" i="4" s="1"/>
  <c r="AY759" i="4"/>
  <c r="BC770" i="4"/>
  <c r="AA770" i="4"/>
  <c r="AI770" i="4"/>
  <c r="AM770" i="4"/>
  <c r="AU783" i="4"/>
  <c r="AU789" i="4"/>
  <c r="S802" i="4"/>
  <c r="BC831" i="4"/>
  <c r="AA831" i="4"/>
  <c r="AI831" i="4"/>
  <c r="W831" i="4"/>
  <c r="AM831" i="4"/>
  <c r="AY831" i="4"/>
  <c r="AQ831" i="4"/>
  <c r="BH831" i="4" s="1"/>
  <c r="BI831" i="4" s="1"/>
  <c r="BC840" i="4"/>
  <c r="BH840" i="4" s="1"/>
  <c r="BI840" i="4" s="1"/>
  <c r="BC856" i="4"/>
  <c r="AA856" i="4"/>
  <c r="S856" i="4"/>
  <c r="AU856" i="4"/>
  <c r="O856" i="4"/>
  <c r="AY856" i="4"/>
  <c r="AI856" i="4"/>
  <c r="BG856" i="4"/>
  <c r="AQ751" i="4"/>
  <c r="O751" i="4"/>
  <c r="BC751" i="4"/>
  <c r="AE753" i="4"/>
  <c r="AM757" i="4"/>
  <c r="BH757" i="4" s="1"/>
  <c r="BI757" i="4" s="1"/>
  <c r="AE759" i="4"/>
  <c r="AI760" i="4"/>
  <c r="BH760" i="4" s="1"/>
  <c r="BI760" i="4" s="1"/>
  <c r="W760" i="4"/>
  <c r="BG760" i="4"/>
  <c r="AA760" i="4"/>
  <c r="AI763" i="4"/>
  <c r="AU763" i="4"/>
  <c r="O763" i="4"/>
  <c r="BH763" i="4" s="1"/>
  <c r="BI763" i="4" s="1"/>
  <c r="AQ763" i="4"/>
  <c r="AE770" i="4"/>
  <c r="AM771" i="4"/>
  <c r="BH771" i="4" s="1"/>
  <c r="BI771" i="4" s="1"/>
  <c r="AI773" i="4"/>
  <c r="BH773" i="4" s="1"/>
  <c r="BI773" i="4" s="1"/>
  <c r="AU794" i="4"/>
  <c r="S794" i="4"/>
  <c r="AA794" i="4"/>
  <c r="BH794" i="4" s="1"/>
  <c r="BI794" i="4" s="1"/>
  <c r="BC794" i="4"/>
  <c r="AM794" i="4"/>
  <c r="AE794" i="4"/>
  <c r="BC798" i="4"/>
  <c r="AA798" i="4"/>
  <c r="AI798" i="4"/>
  <c r="W798" i="4"/>
  <c r="AM798" i="4"/>
  <c r="AU798" i="4"/>
  <c r="AI806" i="4"/>
  <c r="AY837" i="4"/>
  <c r="W837" i="4"/>
  <c r="BG837" i="4"/>
  <c r="AE837" i="4"/>
  <c r="S837" i="4"/>
  <c r="BH837" i="4" s="1"/>
  <c r="BI837" i="4" s="1"/>
  <c r="AI837" i="4"/>
  <c r="AU837" i="4"/>
  <c r="BC842" i="4"/>
  <c r="AA842" i="4"/>
  <c r="S842" i="4"/>
  <c r="AU842" i="4"/>
  <c r="O842" i="4"/>
  <c r="BG842" i="4"/>
  <c r="AU852" i="4"/>
  <c r="S852" i="4"/>
  <c r="BC852" i="4"/>
  <c r="W852" i="4"/>
  <c r="AY852" i="4"/>
  <c r="AE852" i="4"/>
  <c r="AQ852" i="4"/>
  <c r="O852" i="4"/>
  <c r="BH862" i="4"/>
  <c r="BI862" i="4" s="1"/>
  <c r="AY894" i="4"/>
  <c r="W894" i="4"/>
  <c r="BG894" i="4"/>
  <c r="AA894" i="4"/>
  <c r="BC894" i="4"/>
  <c r="AI894" i="4"/>
  <c r="AE894" i="4"/>
  <c r="BH894" i="4" s="1"/>
  <c r="BI894" i="4" s="1"/>
  <c r="AQ894" i="4"/>
  <c r="AU894" i="4"/>
  <c r="AM894" i="4"/>
  <c r="AI740" i="4"/>
  <c r="BG741" i="4"/>
  <c r="AE741" i="4"/>
  <c r="AQ741" i="4"/>
  <c r="AI750" i="4"/>
  <c r="AM776" i="4"/>
  <c r="AI783" i="4"/>
  <c r="AM789" i="4"/>
  <c r="AI802" i="4"/>
  <c r="W802" i="4"/>
  <c r="BC802" i="4"/>
  <c r="AM802" i="4"/>
  <c r="BG802" i="4"/>
  <c r="AM804" i="4"/>
  <c r="BH804" i="4" s="1"/>
  <c r="BI804" i="4" s="1"/>
  <c r="BH813" i="4"/>
  <c r="BI813" i="4" s="1"/>
  <c r="AQ822" i="4"/>
  <c r="O822" i="4"/>
  <c r="AY822" i="4"/>
  <c r="S822" i="4"/>
  <c r="AU822" i="4"/>
  <c r="AA822" i="4"/>
  <c r="AM822" i="4"/>
  <c r="BH845" i="4"/>
  <c r="BI845" i="4" s="1"/>
  <c r="AM856" i="4"/>
  <c r="AQ874" i="4"/>
  <c r="AI719" i="4"/>
  <c r="BH719" i="4" s="1"/>
  <c r="BI719" i="4" s="1"/>
  <c r="AI724" i="4"/>
  <c r="BG744" i="4"/>
  <c r="BH744" i="4" s="1"/>
  <c r="BI744" i="4" s="1"/>
  <c r="AE744" i="4"/>
  <c r="AQ744" i="4"/>
  <c r="BC747" i="4"/>
  <c r="AA747" i="4"/>
  <c r="BH747" i="4" s="1"/>
  <c r="BI747" i="4" s="1"/>
  <c r="AU751" i="4"/>
  <c r="AI753" i="4"/>
  <c r="AI759" i="4"/>
  <c r="AY768" i="4"/>
  <c r="W768" i="4"/>
  <c r="AA768" i="4"/>
  <c r="BC768" i="4"/>
  <c r="S768" i="4"/>
  <c r="BH768" i="4" s="1"/>
  <c r="BI768" i="4" s="1"/>
  <c r="AM773" i="4"/>
  <c r="BH776" i="4"/>
  <c r="BI776" i="4" s="1"/>
  <c r="AY781" i="4"/>
  <c r="W781" i="4"/>
  <c r="BH781" i="4" s="1"/>
  <c r="BI781" i="4" s="1"/>
  <c r="BC781" i="4"/>
  <c r="BG781" i="4"/>
  <c r="AU802" i="4"/>
  <c r="BC822" i="4"/>
  <c r="AQ835" i="4"/>
  <c r="O835" i="4"/>
  <c r="AY835" i="4"/>
  <c r="W835" i="4"/>
  <c r="BC835" i="4"/>
  <c r="AU840" i="4"/>
  <c r="AM848" i="4"/>
  <c r="BH848" i="4" s="1"/>
  <c r="BI848" i="4" s="1"/>
  <c r="AM876" i="4"/>
  <c r="BH876" i="4" s="1"/>
  <c r="BI876" i="4" s="1"/>
  <c r="AQ917" i="4"/>
  <c r="O917" i="4"/>
  <c r="AE917" i="4"/>
  <c r="BG917" i="4"/>
  <c r="BC917" i="4"/>
  <c r="W917" i="4"/>
  <c r="AY917" i="4"/>
  <c r="S917" i="4"/>
  <c r="AI917" i="4"/>
  <c r="AU917" i="4"/>
  <c r="AA917" i="4"/>
  <c r="BH932" i="4"/>
  <c r="BI932" i="4" s="1"/>
  <c r="AU965" i="4"/>
  <c r="S965" i="4"/>
  <c r="AQ965" i="4"/>
  <c r="O965" i="4"/>
  <c r="AI965" i="4"/>
  <c r="AA965" i="4"/>
  <c r="BG965" i="4"/>
  <c r="W965" i="4"/>
  <c r="AM965" i="4"/>
  <c r="AY965" i="4"/>
  <c r="BC965" i="4"/>
  <c r="AE965" i="4"/>
  <c r="BH981" i="4"/>
  <c r="BI981" i="4" s="1"/>
  <c r="AI774" i="4"/>
  <c r="W774" i="4"/>
  <c r="BH774" i="4" s="1"/>
  <c r="BI774" i="4" s="1"/>
  <c r="AQ774" i="4"/>
  <c r="AU787" i="4"/>
  <c r="S787" i="4"/>
  <c r="BH787" i="4" s="1"/>
  <c r="BI787" i="4" s="1"/>
  <c r="BG800" i="4"/>
  <c r="AE800" i="4"/>
  <c r="AQ800" i="4"/>
  <c r="BH800" i="4" s="1"/>
  <c r="BI800" i="4" s="1"/>
  <c r="AY812" i="4"/>
  <c r="W812" i="4"/>
  <c r="BH812" i="4" s="1"/>
  <c r="BI812" i="4" s="1"/>
  <c r="AI812" i="4"/>
  <c r="AQ812" i="4"/>
  <c r="AI818" i="4"/>
  <c r="AE818" i="4"/>
  <c r="BH818" i="4" s="1"/>
  <c r="BI818" i="4" s="1"/>
  <c r="BG818" i="4"/>
  <c r="AA818" i="4"/>
  <c r="BG843" i="4"/>
  <c r="AE843" i="4"/>
  <c r="BC843" i="4"/>
  <c r="W843" i="4"/>
  <c r="AY843" i="4"/>
  <c r="AU843" i="4"/>
  <c r="O843" i="4"/>
  <c r="BH843" i="4" s="1"/>
  <c r="BI843" i="4" s="1"/>
  <c r="BH861" i="4"/>
  <c r="BI861" i="4" s="1"/>
  <c r="AI927" i="4"/>
  <c r="AM927" i="4"/>
  <c r="BC927" i="4"/>
  <c r="W927" i="4"/>
  <c r="AY927" i="4"/>
  <c r="S927" i="4"/>
  <c r="AE927" i="4"/>
  <c r="AA927" i="4"/>
  <c r="AQ927" i="4"/>
  <c r="BG927" i="4"/>
  <c r="O927" i="4"/>
  <c r="AI934" i="4"/>
  <c r="W934" i="4"/>
  <c r="AY934" i="4"/>
  <c r="S934" i="4"/>
  <c r="AQ934" i="4"/>
  <c r="AM934" i="4"/>
  <c r="O934" i="4"/>
  <c r="AE934" i="4"/>
  <c r="AA934" i="4"/>
  <c r="BG934" i="4"/>
  <c r="AY853" i="4"/>
  <c r="W853" i="4"/>
  <c r="AE853" i="4"/>
  <c r="BG853" i="4"/>
  <c r="AA853" i="4"/>
  <c r="BH853" i="4" s="1"/>
  <c r="BI853" i="4" s="1"/>
  <c r="BH873" i="4"/>
  <c r="BI873" i="4" s="1"/>
  <c r="AY941" i="4"/>
  <c r="W941" i="4"/>
  <c r="AI941" i="4"/>
  <c r="S941" i="4"/>
  <c r="AU941" i="4"/>
  <c r="O941" i="4"/>
  <c r="AQ941" i="4"/>
  <c r="AM941" i="4"/>
  <c r="AA941" i="4"/>
  <c r="BC941" i="4"/>
  <c r="BG941" i="4"/>
  <c r="AM963" i="4"/>
  <c r="BG786" i="4"/>
  <c r="AE786" i="4"/>
  <c r="AQ786" i="4"/>
  <c r="AQ807" i="4"/>
  <c r="O807" i="4"/>
  <c r="AQ911" i="4"/>
  <c r="AY754" i="4"/>
  <c r="W754" i="4"/>
  <c r="AA754" i="4"/>
  <c r="AQ754" i="4"/>
  <c r="AI787" i="4"/>
  <c r="AI800" i="4"/>
  <c r="AI805" i="4"/>
  <c r="BH805" i="4" s="1"/>
  <c r="BI805" i="4" s="1"/>
  <c r="AA807" i="4"/>
  <c r="BG816" i="4"/>
  <c r="AE816" i="4"/>
  <c r="W816" i="4"/>
  <c r="AY816" i="4"/>
  <c r="S816" i="4"/>
  <c r="AM818" i="4"/>
  <c r="AM843" i="4"/>
  <c r="AU892" i="4"/>
  <c r="S892" i="4"/>
  <c r="AY892" i="4"/>
  <c r="O892" i="4"/>
  <c r="AQ892" i="4"/>
  <c r="AA892" i="4"/>
  <c r="AI892" i="4"/>
  <c r="AE892" i="4"/>
  <c r="BC892" i="4"/>
  <c r="AY957" i="4"/>
  <c r="BG971" i="4"/>
  <c r="AE971" i="4"/>
  <c r="BC971" i="4"/>
  <c r="AA971" i="4"/>
  <c r="AU971" i="4"/>
  <c r="S971" i="4"/>
  <c r="AQ971" i="4"/>
  <c r="W971" i="4"/>
  <c r="O971" i="4"/>
  <c r="AM971" i="4"/>
  <c r="AI971" i="4"/>
  <c r="BC714" i="4"/>
  <c r="AA714" i="4"/>
  <c r="BH714" i="4" s="1"/>
  <c r="BI714" i="4" s="1"/>
  <c r="BC728" i="4"/>
  <c r="AA728" i="4"/>
  <c r="AU745" i="4"/>
  <c r="S745" i="4"/>
  <c r="BG758" i="4"/>
  <c r="AE758" i="4"/>
  <c r="BH758" i="4" s="1"/>
  <c r="BI758" i="4" s="1"/>
  <c r="AQ758" i="4"/>
  <c r="AM774" i="4"/>
  <c r="AQ779" i="4"/>
  <c r="O779" i="4"/>
  <c r="BH779" i="4" s="1"/>
  <c r="BI779" i="4" s="1"/>
  <c r="AA786" i="4"/>
  <c r="BH786" i="4" s="1"/>
  <c r="BI786" i="4" s="1"/>
  <c r="AQ792" i="4"/>
  <c r="O792" i="4"/>
  <c r="BH792" i="4" s="1"/>
  <c r="BI792" i="4" s="1"/>
  <c r="AM792" i="4"/>
  <c r="AQ805" i="4"/>
  <c r="BG807" i="4"/>
  <c r="AY809" i="4"/>
  <c r="W809" i="4"/>
  <c r="BH809" i="4" s="1"/>
  <c r="BI809" i="4" s="1"/>
  <c r="AM812" i="4"/>
  <c r="AU816" i="4"/>
  <c r="AY823" i="4"/>
  <c r="W823" i="4"/>
  <c r="BG823" i="4"/>
  <c r="AE823" i="4"/>
  <c r="S823" i="4"/>
  <c r="BH823" i="4" s="1"/>
  <c r="BI823" i="4" s="1"/>
  <c r="AM841" i="4"/>
  <c r="AM853" i="4"/>
  <c r="BG925" i="4"/>
  <c r="AE925" i="4"/>
  <c r="W925" i="4"/>
  <c r="AY925" i="4"/>
  <c r="S925" i="4"/>
  <c r="AA925" i="4"/>
  <c r="BC925" i="4"/>
  <c r="AQ925" i="4"/>
  <c r="O925" i="4"/>
  <c r="BH925" i="4" s="1"/>
  <c r="BI925" i="4" s="1"/>
  <c r="AU925" i="4"/>
  <c r="AY962" i="4"/>
  <c r="W962" i="4"/>
  <c r="AA962" i="4"/>
  <c r="BC962" i="4"/>
  <c r="AM962" i="4"/>
  <c r="AQ962" i="4"/>
  <c r="AI962" i="4"/>
  <c r="BG962" i="4"/>
  <c r="S962" i="4"/>
  <c r="AE962" i="4"/>
  <c r="AU912" i="4"/>
  <c r="S912" i="4"/>
  <c r="BH912" i="4" s="1"/>
  <c r="BI912" i="4" s="1"/>
  <c r="AE912" i="4"/>
  <c r="BG912" i="4"/>
  <c r="AA912" i="4"/>
  <c r="W912" i="4"/>
  <c r="AM912" i="4"/>
  <c r="AQ912" i="4"/>
  <c r="BG918" i="4"/>
  <c r="AE918" i="4"/>
  <c r="AM918" i="4"/>
  <c r="AI918" i="4"/>
  <c r="AU918" i="4"/>
  <c r="W918" i="4"/>
  <c r="BC918" i="4"/>
  <c r="S918" i="4"/>
  <c r="BH918" i="4" s="1"/>
  <c r="BI918" i="4" s="1"/>
  <c r="AY918" i="4"/>
  <c r="AU926" i="4"/>
  <c r="S926" i="4"/>
  <c r="AE926" i="4"/>
  <c r="BG926" i="4"/>
  <c r="AA926" i="4"/>
  <c r="AQ926" i="4"/>
  <c r="AM926" i="4"/>
  <c r="AY926" i="4"/>
  <c r="O926" i="4"/>
  <c r="AI926" i="4"/>
  <c r="AY893" i="4"/>
  <c r="W893" i="4"/>
  <c r="AU893" i="4"/>
  <c r="S893" i="4"/>
  <c r="BG893" i="4"/>
  <c r="AE893" i="4"/>
  <c r="BC893" i="4"/>
  <c r="O893" i="4"/>
  <c r="AA893" i="4"/>
  <c r="AQ903" i="4"/>
  <c r="O903" i="4"/>
  <c r="BG903" i="4"/>
  <c r="W903" i="4"/>
  <c r="AY903" i="4"/>
  <c r="S903" i="4"/>
  <c r="AU903" i="4"/>
  <c r="AM903" i="4"/>
  <c r="AI982" i="4"/>
  <c r="BG982" i="4"/>
  <c r="AA982" i="4"/>
  <c r="AQ982" i="4"/>
  <c r="S982" i="4"/>
  <c r="AY982" i="4"/>
  <c r="O982" i="4"/>
  <c r="W982" i="4"/>
  <c r="BC982" i="4"/>
  <c r="AE982" i="4"/>
  <c r="AM982" i="4"/>
  <c r="AM984" i="4"/>
  <c r="BH984" i="4" s="1"/>
  <c r="BI984" i="4" s="1"/>
  <c r="AU838" i="4"/>
  <c r="S838" i="4"/>
  <c r="BG838" i="4"/>
  <c r="BH838" i="4" s="1"/>
  <c r="BI838" i="4" s="1"/>
  <c r="AA838" i="4"/>
  <c r="BC838" i="4"/>
  <c r="AI838" i="4"/>
  <c r="AY854" i="4"/>
  <c r="W854" i="4"/>
  <c r="AI854" i="4"/>
  <c r="AQ854" i="4"/>
  <c r="BG858" i="4"/>
  <c r="AE858" i="4"/>
  <c r="AM858" i="4"/>
  <c r="AI858" i="4"/>
  <c r="O858" i="4"/>
  <c r="AU858" i="4"/>
  <c r="AI860" i="4"/>
  <c r="BH860" i="4" s="1"/>
  <c r="BI860" i="4" s="1"/>
  <c r="AA860" i="4"/>
  <c r="BC860" i="4"/>
  <c r="W860" i="4"/>
  <c r="AI871" i="4"/>
  <c r="BG871" i="4"/>
  <c r="AE871" i="4"/>
  <c r="AA871" i="4"/>
  <c r="BH871" i="4" s="1"/>
  <c r="BI871" i="4" s="1"/>
  <c r="AM873" i="4"/>
  <c r="BC903" i="4"/>
  <c r="BH916" i="4"/>
  <c r="BI916" i="4" s="1"/>
  <c r="AQ918" i="4"/>
  <c r="AI920" i="4"/>
  <c r="W920" i="4"/>
  <c r="AY920" i="4"/>
  <c r="S920" i="4"/>
  <c r="BH920" i="4" s="1"/>
  <c r="BI920" i="4" s="1"/>
  <c r="AE920" i="4"/>
  <c r="BG920" i="4"/>
  <c r="AA920" i="4"/>
  <c r="AM920" i="4"/>
  <c r="BH949" i="4"/>
  <c r="BI949" i="4" s="1"/>
  <c r="AM825" i="4"/>
  <c r="BH825" i="4" s="1"/>
  <c r="BI825" i="4" s="1"/>
  <c r="AM839" i="4"/>
  <c r="AQ849" i="4"/>
  <c r="O849" i="4"/>
  <c r="BH849" i="4" s="1"/>
  <c r="BI849" i="4" s="1"/>
  <c r="AY865" i="4"/>
  <c r="W865" i="4"/>
  <c r="BH865" i="4" s="1"/>
  <c r="BI865" i="4" s="1"/>
  <c r="AU865" i="4"/>
  <c r="S865" i="4"/>
  <c r="AQ865" i="4"/>
  <c r="AU877" i="4"/>
  <c r="S877" i="4"/>
  <c r="AQ877" i="4"/>
  <c r="O877" i="4"/>
  <c r="AQ931" i="4"/>
  <c r="O931" i="4"/>
  <c r="AE931" i="4"/>
  <c r="BG931" i="4"/>
  <c r="AI931" i="4"/>
  <c r="AA931" i="4"/>
  <c r="BH946" i="4"/>
  <c r="BI946" i="4" s="1"/>
  <c r="BC955" i="4"/>
  <c r="AA955" i="4"/>
  <c r="AY955" i="4"/>
  <c r="W955" i="4"/>
  <c r="AQ955" i="4"/>
  <c r="O955" i="4"/>
  <c r="AM955" i="4"/>
  <c r="BG955" i="4"/>
  <c r="S955" i="4"/>
  <c r="AI955" i="4"/>
  <c r="BC814" i="4"/>
  <c r="AA814" i="4"/>
  <c r="BH814" i="4" s="1"/>
  <c r="BI814" i="4" s="1"/>
  <c r="AI819" i="4"/>
  <c r="BC828" i="4"/>
  <c r="AA828" i="4"/>
  <c r="BH828" i="4" s="1"/>
  <c r="BI828" i="4" s="1"/>
  <c r="BG832" i="4"/>
  <c r="AI833" i="4"/>
  <c r="AE849" i="4"/>
  <c r="AU866" i="4"/>
  <c r="S866" i="4"/>
  <c r="AU878" i="4"/>
  <c r="AY878" i="4"/>
  <c r="AQ878" i="4"/>
  <c r="O878" i="4"/>
  <c r="AA878" i="4"/>
  <c r="AI987" i="4"/>
  <c r="BG987" i="4"/>
  <c r="AE987" i="4"/>
  <c r="AY987" i="4"/>
  <c r="W987" i="4"/>
  <c r="BC987" i="4"/>
  <c r="S987" i="4"/>
  <c r="AM987" i="4"/>
  <c r="AA987" i="4"/>
  <c r="AE825" i="4"/>
  <c r="AE832" i="4"/>
  <c r="AE839" i="4"/>
  <c r="BH839" i="4" s="1"/>
  <c r="BI839" i="4" s="1"/>
  <c r="BC841" i="4"/>
  <c r="AA841" i="4"/>
  <c r="BC855" i="4"/>
  <c r="AA855" i="4"/>
  <c r="BH855" i="4" s="1"/>
  <c r="BI855" i="4" s="1"/>
  <c r="AI865" i="4"/>
  <c r="BG872" i="4"/>
  <c r="AE872" i="4"/>
  <c r="AQ872" i="4"/>
  <c r="O872" i="4"/>
  <c r="AI877" i="4"/>
  <c r="AI890" i="4"/>
  <c r="BC930" i="4"/>
  <c r="AA930" i="4"/>
  <c r="W930" i="4"/>
  <c r="AY930" i="4"/>
  <c r="S930" i="4"/>
  <c r="AU930" i="4"/>
  <c r="O930" i="4"/>
  <c r="AE930" i="4"/>
  <c r="AM931" i="4"/>
  <c r="BH935" i="4"/>
  <c r="BI935" i="4" s="1"/>
  <c r="AU951" i="4"/>
  <c r="S951" i="4"/>
  <c r="AQ951" i="4"/>
  <c r="O951" i="4"/>
  <c r="AI951" i="4"/>
  <c r="AA951" i="4"/>
  <c r="BG951" i="4"/>
  <c r="W951" i="4"/>
  <c r="AE951" i="4"/>
  <c r="AM951" i="4"/>
  <c r="BC969" i="4"/>
  <c r="AA969" i="4"/>
  <c r="AY969" i="4"/>
  <c r="W969" i="4"/>
  <c r="AQ969" i="4"/>
  <c r="O969" i="4"/>
  <c r="AM969" i="4"/>
  <c r="BG969" i="4"/>
  <c r="AE969" i="4"/>
  <c r="S969" i="4"/>
  <c r="AU979" i="4"/>
  <c r="S979" i="4"/>
  <c r="AQ979" i="4"/>
  <c r="O979" i="4"/>
  <c r="AI979" i="4"/>
  <c r="AA979" i="4"/>
  <c r="BG979" i="4"/>
  <c r="AE979" i="4"/>
  <c r="W979" i="4"/>
  <c r="BC979" i="4"/>
  <c r="AQ841" i="4"/>
  <c r="AI849" i="4"/>
  <c r="AQ850" i="4"/>
  <c r="O850" i="4"/>
  <c r="AQ855" i="4"/>
  <c r="BG869" i="4"/>
  <c r="AE869" i="4"/>
  <c r="BC869" i="4"/>
  <c r="AA869" i="4"/>
  <c r="BH869" i="4" s="1"/>
  <c r="BI869" i="4" s="1"/>
  <c r="AQ869" i="4"/>
  <c r="AU872" i="4"/>
  <c r="AQ885" i="4"/>
  <c r="O885" i="4"/>
  <c r="BC885" i="4"/>
  <c r="AA885" i="4"/>
  <c r="BG887" i="4"/>
  <c r="AE887" i="4"/>
  <c r="BC887" i="4"/>
  <c r="AA887" i="4"/>
  <c r="BH887" i="4" s="1"/>
  <c r="BI887" i="4" s="1"/>
  <c r="AQ887" i="4"/>
  <c r="AI899" i="4"/>
  <c r="AY899" i="4"/>
  <c r="S899" i="4"/>
  <c r="AU899" i="4"/>
  <c r="O899" i="4"/>
  <c r="AA899" i="4"/>
  <c r="BG944" i="4"/>
  <c r="AE944" i="4"/>
  <c r="AQ944" i="4"/>
  <c r="O944" i="4"/>
  <c r="AY944" i="4"/>
  <c r="S944" i="4"/>
  <c r="AU944" i="4"/>
  <c r="W944" i="4"/>
  <c r="BC944" i="4"/>
  <c r="AM944" i="4"/>
  <c r="AU955" i="4"/>
  <c r="BG957" i="4"/>
  <c r="AE957" i="4"/>
  <c r="BC957" i="4"/>
  <c r="AA957" i="4"/>
  <c r="AU957" i="4"/>
  <c r="S957" i="4"/>
  <c r="AQ957" i="4"/>
  <c r="O957" i="4"/>
  <c r="BH957" i="4" s="1"/>
  <c r="BI957" i="4" s="1"/>
  <c r="AM957" i="4"/>
  <c r="W957" i="4"/>
  <c r="O987" i="4"/>
  <c r="BH987" i="4" s="1"/>
  <c r="BI987" i="4" s="1"/>
  <c r="AM870" i="4"/>
  <c r="AM881" i="4"/>
  <c r="AM888" i="4"/>
  <c r="AM895" i="4"/>
  <c r="S897" i="4"/>
  <c r="AU897" i="4"/>
  <c r="AM901" i="4"/>
  <c r="BH901" i="4" s="1"/>
  <c r="BI901" i="4" s="1"/>
  <c r="S902" i="4"/>
  <c r="BH902" i="4" s="1"/>
  <c r="BI902" i="4" s="1"/>
  <c r="AY907" i="4"/>
  <c r="W907" i="4"/>
  <c r="BH907" i="4" s="1"/>
  <c r="BI907" i="4" s="1"/>
  <c r="AE907" i="4"/>
  <c r="AA907" i="4"/>
  <c r="AQ910" i="4"/>
  <c r="O910" i="4"/>
  <c r="BH910" i="4" s="1"/>
  <c r="BI910" i="4" s="1"/>
  <c r="S910" i="4"/>
  <c r="AU910" i="4"/>
  <c r="AI973" i="4"/>
  <c r="BG973" i="4"/>
  <c r="AE973" i="4"/>
  <c r="AY973" i="4"/>
  <c r="W973" i="4"/>
  <c r="BC973" i="4"/>
  <c r="S973" i="4"/>
  <c r="BH973" i="4" s="1"/>
  <c r="BI973" i="4" s="1"/>
  <c r="AA973" i="4"/>
  <c r="AA870" i="4"/>
  <c r="AA881" i="4"/>
  <c r="BH881" i="4" s="1"/>
  <c r="BI881" i="4" s="1"/>
  <c r="AA895" i="4"/>
  <c r="BH895" i="4" s="1"/>
  <c r="BI895" i="4" s="1"/>
  <c r="AI897" i="4"/>
  <c r="AM908" i="4"/>
  <c r="BH908" i="4" s="1"/>
  <c r="BI908" i="4" s="1"/>
  <c r="AE910" i="4"/>
  <c r="BG932" i="4"/>
  <c r="AE932" i="4"/>
  <c r="AM932" i="4"/>
  <c r="AI932" i="4"/>
  <c r="AI954" i="4"/>
  <c r="BG954" i="4"/>
  <c r="AA954" i="4"/>
  <c r="AQ954" i="4"/>
  <c r="BH954" i="4" s="1"/>
  <c r="BI954" i="4" s="1"/>
  <c r="AM954" i="4"/>
  <c r="AU954" i="4"/>
  <c r="AI859" i="4"/>
  <c r="BH859" i="4" s="1"/>
  <c r="BI859" i="4" s="1"/>
  <c r="AI873" i="4"/>
  <c r="BG884" i="4"/>
  <c r="AE884" i="4"/>
  <c r="BH884" i="4" s="1"/>
  <c r="BI884" i="4" s="1"/>
  <c r="BG898" i="4"/>
  <c r="AE898" i="4"/>
  <c r="BH898" i="4" s="1"/>
  <c r="BI898" i="4" s="1"/>
  <c r="AI907" i="4"/>
  <c r="BG911" i="4"/>
  <c r="AE911" i="4"/>
  <c r="W911" i="4"/>
  <c r="AY911" i="4"/>
  <c r="S911" i="4"/>
  <c r="BH911" i="4" s="1"/>
  <c r="BI911" i="4" s="1"/>
  <c r="AI913" i="4"/>
  <c r="AM913" i="4"/>
  <c r="BH913" i="4" s="1"/>
  <c r="BI913" i="4" s="1"/>
  <c r="AQ913" i="4"/>
  <c r="AQ924" i="4"/>
  <c r="O924" i="4"/>
  <c r="BH924" i="4" s="1"/>
  <c r="BI924" i="4" s="1"/>
  <c r="S924" i="4"/>
  <c r="AU924" i="4"/>
  <c r="AM947" i="4"/>
  <c r="BC964" i="4"/>
  <c r="AA964" i="4"/>
  <c r="O964" i="4"/>
  <c r="AQ964" i="4"/>
  <c r="BG964" i="4"/>
  <c r="AM964" i="4"/>
  <c r="AU964" i="4"/>
  <c r="BG985" i="4"/>
  <c r="AE985" i="4"/>
  <c r="BC985" i="4"/>
  <c r="AA985" i="4"/>
  <c r="AU985" i="4"/>
  <c r="S985" i="4"/>
  <c r="AQ985" i="4"/>
  <c r="AI985" i="4"/>
  <c r="AY985" i="4"/>
  <c r="AQ988" i="4"/>
  <c r="AM988" i="4"/>
  <c r="BC988" i="4"/>
  <c r="AA988" i="4"/>
  <c r="AY988" i="4"/>
  <c r="W988" i="4"/>
  <c r="AU988" i="4"/>
  <c r="S988" i="4"/>
  <c r="BC902" i="4"/>
  <c r="AA902" i="4"/>
  <c r="AY902" i="4"/>
  <c r="AU939" i="4"/>
  <c r="S939" i="4"/>
  <c r="BH939" i="4" s="1"/>
  <c r="BI939" i="4" s="1"/>
  <c r="BG939" i="4"/>
  <c r="AE939" i="4"/>
  <c r="AA939" i="4"/>
  <c r="AI959" i="4"/>
  <c r="BG959" i="4"/>
  <c r="AE959" i="4"/>
  <c r="BH959" i="4" s="1"/>
  <c r="BI959" i="4" s="1"/>
  <c r="AY959" i="4"/>
  <c r="W959" i="4"/>
  <c r="BC959" i="4"/>
  <c r="S959" i="4"/>
  <c r="AU959" i="4"/>
  <c r="BG980" i="4"/>
  <c r="AE980" i="4"/>
  <c r="AM980" i="4"/>
  <c r="AY980" i="4"/>
  <c r="S980" i="4"/>
  <c r="AU980" i="4"/>
  <c r="O980" i="4"/>
  <c r="BC983" i="4"/>
  <c r="AA983" i="4"/>
  <c r="AY983" i="4"/>
  <c r="W983" i="4"/>
  <c r="AQ983" i="4"/>
  <c r="O983" i="4"/>
  <c r="AM983" i="4"/>
  <c r="BG983" i="4"/>
  <c r="AI983" i="4"/>
  <c r="AU983" i="4"/>
  <c r="AQ890" i="4"/>
  <c r="O890" i="4"/>
  <c r="BH890" i="4" s="1"/>
  <c r="BI890" i="4" s="1"/>
  <c r="AQ902" i="4"/>
  <c r="BH905" i="4"/>
  <c r="BI905" i="4" s="1"/>
  <c r="AM907" i="4"/>
  <c r="BC916" i="4"/>
  <c r="AA916" i="4"/>
  <c r="W916" i="4"/>
  <c r="AY916" i="4"/>
  <c r="AQ916" i="4"/>
  <c r="AY921" i="4"/>
  <c r="W921" i="4"/>
  <c r="AE921" i="4"/>
  <c r="BG921" i="4"/>
  <c r="AA921" i="4"/>
  <c r="BH921" i="4" s="1"/>
  <c r="BI921" i="4" s="1"/>
  <c r="AY964" i="4"/>
  <c r="AM970" i="4"/>
  <c r="BH970" i="4" s="1"/>
  <c r="BI970" i="4" s="1"/>
  <c r="AM977" i="4"/>
  <c r="BH977" i="4" s="1"/>
  <c r="BI977" i="4" s="1"/>
  <c r="O985" i="4"/>
  <c r="O988" i="4"/>
  <c r="BG988" i="4"/>
  <c r="AY900" i="4"/>
  <c r="W900" i="4"/>
  <c r="AU905" i="4"/>
  <c r="S905" i="4"/>
  <c r="AY914" i="4"/>
  <c r="W914" i="4"/>
  <c r="BH914" i="4" s="1"/>
  <c r="BI914" i="4" s="1"/>
  <c r="AU919" i="4"/>
  <c r="S919" i="4"/>
  <c r="BH919" i="4" s="1"/>
  <c r="BI919" i="4" s="1"/>
  <c r="AY928" i="4"/>
  <c r="W928" i="4"/>
  <c r="BH928" i="4" s="1"/>
  <c r="BI928" i="4" s="1"/>
  <c r="AU933" i="4"/>
  <c r="BH933" i="4" s="1"/>
  <c r="BI933" i="4" s="1"/>
  <c r="S933" i="4"/>
  <c r="AU946" i="4"/>
  <c r="S946" i="4"/>
  <c r="BG946" i="4"/>
  <c r="AE946" i="4"/>
  <c r="AQ946" i="4"/>
  <c r="AI948" i="4"/>
  <c r="AU948" i="4"/>
  <c r="S948" i="4"/>
  <c r="BH948" i="4" s="1"/>
  <c r="BI948" i="4" s="1"/>
  <c r="AQ948" i="4"/>
  <c r="BG966" i="4"/>
  <c r="AE966" i="4"/>
  <c r="AM966" i="4"/>
  <c r="AY966" i="4"/>
  <c r="AQ966" i="4"/>
  <c r="AI968" i="4"/>
  <c r="BG968" i="4"/>
  <c r="AA968" i="4"/>
  <c r="AQ968" i="4"/>
  <c r="AU974" i="4"/>
  <c r="S974" i="4"/>
  <c r="AI974" i="4"/>
  <c r="AQ974" i="4"/>
  <c r="AM989" i="4"/>
  <c r="AQ937" i="4"/>
  <c r="O937" i="4"/>
  <c r="BC937" i="4"/>
  <c r="AA937" i="4"/>
  <c r="AU950" i="4"/>
  <c r="S950" i="4"/>
  <c r="BH950" i="4" s="1"/>
  <c r="BI950" i="4" s="1"/>
  <c r="AM972" i="4"/>
  <c r="AY976" i="4"/>
  <c r="W976" i="4"/>
  <c r="BH976" i="4" s="1"/>
  <c r="BI976" i="4" s="1"/>
  <c r="AA976" i="4"/>
  <c r="BC976" i="4"/>
  <c r="AM976" i="4"/>
  <c r="BC978" i="4"/>
  <c r="AA978" i="4"/>
  <c r="O978" i="4"/>
  <c r="BH978" i="4" s="1"/>
  <c r="BI978" i="4" s="1"/>
  <c r="AQ978" i="4"/>
  <c r="BG978" i="4"/>
  <c r="BC909" i="4"/>
  <c r="AA909" i="4"/>
  <c r="BC923" i="4"/>
  <c r="AA923" i="4"/>
  <c r="BH923" i="4" s="1"/>
  <c r="BI923" i="4" s="1"/>
  <c r="AU937" i="4"/>
  <c r="AU940" i="4"/>
  <c r="S940" i="4"/>
  <c r="BH940" i="4" s="1"/>
  <c r="BI940" i="4" s="1"/>
  <c r="AQ950" i="4"/>
  <c r="AM956" i="4"/>
  <c r="BH956" i="4" s="1"/>
  <c r="BI956" i="4" s="1"/>
  <c r="AU960" i="4"/>
  <c r="S960" i="4"/>
  <c r="BH960" i="4" s="1"/>
  <c r="BI960" i="4" s="1"/>
  <c r="AI960" i="4"/>
  <c r="AQ960" i="4"/>
  <c r="O966" i="4"/>
  <c r="BH966" i="4" s="1"/>
  <c r="BI966" i="4" s="1"/>
  <c r="AU966" i="4"/>
  <c r="O968" i="4"/>
  <c r="O974" i="4"/>
  <c r="AU976" i="4"/>
  <c r="AU978" i="4"/>
  <c r="AU943" i="4"/>
  <c r="AM943" i="4"/>
  <c r="BC943" i="4"/>
  <c r="AM961" i="4"/>
  <c r="AM975" i="4"/>
  <c r="AY993" i="4"/>
  <c r="W993" i="4"/>
  <c r="AU993" i="4"/>
  <c r="S993" i="4"/>
  <c r="AQ993" i="4"/>
  <c r="O993" i="4"/>
  <c r="AI993" i="4"/>
  <c r="AA943" i="4"/>
  <c r="BH943" i="4" s="1"/>
  <c r="BI943" i="4" s="1"/>
  <c r="BG952" i="4"/>
  <c r="AM952" i="4"/>
  <c r="BH952" i="4" s="1"/>
  <c r="BI952" i="4" s="1"/>
  <c r="AQ958" i="4"/>
  <c r="O958" i="4"/>
  <c r="BH958" i="4" s="1"/>
  <c r="BI958" i="4" s="1"/>
  <c r="AQ972" i="4"/>
  <c r="O972" i="4"/>
  <c r="BH972" i="4" s="1"/>
  <c r="BI972" i="4" s="1"/>
  <c r="AQ986" i="4"/>
  <c r="O986" i="4"/>
  <c r="BH986" i="4" s="1"/>
  <c r="BI986" i="4" s="1"/>
  <c r="AM998" i="4"/>
  <c r="O1000" i="4"/>
  <c r="AQ1000" i="4"/>
  <c r="AM997" i="4"/>
  <c r="O999" i="4"/>
  <c r="AQ999" i="4"/>
  <c r="AM996" i="4"/>
  <c r="O998" i="4"/>
  <c r="AQ998" i="4"/>
  <c r="S1000" i="4"/>
  <c r="AU1000" i="4"/>
  <c r="AA947" i="4"/>
  <c r="BH947" i="4" s="1"/>
  <c r="BI947" i="4" s="1"/>
  <c r="BC947" i="4"/>
  <c r="AM953" i="4"/>
  <c r="AM967" i="4"/>
  <c r="AM981" i="4"/>
  <c r="AM995" i="4"/>
  <c r="O997" i="4"/>
  <c r="AQ997" i="4"/>
  <c r="S999" i="4"/>
  <c r="AU999" i="4"/>
  <c r="O996" i="4"/>
  <c r="AQ996" i="4"/>
  <c r="S998" i="4"/>
  <c r="AU998" i="4"/>
  <c r="W1000" i="4"/>
  <c r="AY1000" i="4"/>
  <c r="S997" i="4"/>
  <c r="AU997" i="4"/>
  <c r="W999" i="4"/>
  <c r="AY999" i="4"/>
  <c r="AA1000" i="4"/>
  <c r="BC1000" i="4"/>
  <c r="AI947" i="4"/>
  <c r="S953" i="4"/>
  <c r="AU953" i="4"/>
  <c r="AI961" i="4"/>
  <c r="BH961" i="4" s="1"/>
  <c r="BI961" i="4" s="1"/>
  <c r="S967" i="4"/>
  <c r="BH967" i="4" s="1"/>
  <c r="BI967" i="4" s="1"/>
  <c r="AU967" i="4"/>
  <c r="AI975" i="4"/>
  <c r="BH975" i="4" s="1"/>
  <c r="BI975" i="4" s="1"/>
  <c r="S981" i="4"/>
  <c r="AU981" i="4"/>
  <c r="AI989" i="4"/>
  <c r="BH989" i="4" s="1"/>
  <c r="BI989" i="4" s="1"/>
  <c r="S995" i="4"/>
  <c r="AU995" i="4"/>
  <c r="W997" i="4"/>
  <c r="AY997" i="4"/>
  <c r="AA999" i="4"/>
  <c r="BC999" i="4"/>
  <c r="AE1000" i="4"/>
  <c r="BG1000" i="4"/>
  <c r="W953" i="4"/>
  <c r="BH953" i="4" s="1"/>
  <c r="BI953" i="4" s="1"/>
  <c r="W967" i="4"/>
  <c r="W981" i="4"/>
  <c r="W995" i="4"/>
  <c r="AY995" i="4"/>
  <c r="BH995" i="4" s="1"/>
  <c r="BI995" i="4" s="1"/>
  <c r="AA997" i="4"/>
  <c r="BC997" i="4"/>
  <c r="AE999" i="4"/>
  <c r="BG999" i="4"/>
  <c r="AA996" i="4"/>
  <c r="AE998" i="4"/>
  <c r="BG998" i="4"/>
  <c r="AI1000" i="4"/>
  <c r="AA995" i="4"/>
  <c r="AE997" i="4"/>
  <c r="AI999" i="4"/>
  <c r="F195" i="6" l="1"/>
  <c r="G195" i="6" s="1"/>
  <c r="BH544" i="4"/>
  <c r="BI544" i="4" s="1"/>
  <c r="BH863" i="4"/>
  <c r="BI863" i="4" s="1"/>
  <c r="BH483" i="4"/>
  <c r="BI483" i="4" s="1"/>
  <c r="BH784" i="4"/>
  <c r="BI784" i="4" s="1"/>
  <c r="BH128" i="4"/>
  <c r="BI128" i="4" s="1"/>
  <c r="BH197" i="4"/>
  <c r="BI197" i="4" s="1"/>
  <c r="BH997" i="4"/>
  <c r="BI997" i="4" s="1"/>
  <c r="BH974" i="4"/>
  <c r="BI974" i="4" s="1"/>
  <c r="BH807" i="4"/>
  <c r="BI807" i="4" s="1"/>
  <c r="BH917" i="4"/>
  <c r="BI917" i="4" s="1"/>
  <c r="BH822" i="4"/>
  <c r="BI822" i="4" s="1"/>
  <c r="BH852" i="4"/>
  <c r="BI852" i="4" s="1"/>
  <c r="BH694" i="4"/>
  <c r="BI694" i="4" s="1"/>
  <c r="BH629" i="4"/>
  <c r="BI629" i="4" s="1"/>
  <c r="BH761" i="4"/>
  <c r="BI761" i="4" s="1"/>
  <c r="BH602" i="4"/>
  <c r="BI602" i="4" s="1"/>
  <c r="BH535" i="4"/>
  <c r="BI535" i="4" s="1"/>
  <c r="BH313" i="4"/>
  <c r="BI313" i="4" s="1"/>
  <c r="BH316" i="4"/>
  <c r="BI316" i="4" s="1"/>
  <c r="BH390" i="4"/>
  <c r="BI390" i="4" s="1"/>
  <c r="BH279" i="4"/>
  <c r="BI279" i="4" s="1"/>
  <c r="BH27" i="4"/>
  <c r="BI27" i="4" s="1"/>
  <c r="BH64" i="4"/>
  <c r="BI64" i="4" s="1"/>
  <c r="BH143" i="4"/>
  <c r="BI143" i="4" s="1"/>
  <c r="BH191" i="4"/>
  <c r="BI191" i="4" s="1"/>
  <c r="BH133" i="4"/>
  <c r="BI133" i="4" s="1"/>
  <c r="BH44" i="4"/>
  <c r="BI44" i="4" s="1"/>
  <c r="BH75" i="4"/>
  <c r="BI75" i="4" s="1"/>
  <c r="BH403" i="4"/>
  <c r="BI403" i="4" s="1"/>
  <c r="BH174" i="4"/>
  <c r="BI174" i="4" s="1"/>
  <c r="BH438" i="4"/>
  <c r="BI438" i="4" s="1"/>
  <c r="BH23" i="4"/>
  <c r="BI23" i="4" s="1"/>
  <c r="BH86" i="4"/>
  <c r="BI86" i="4" s="1"/>
  <c r="BH30" i="4"/>
  <c r="BI30" i="4" s="1"/>
  <c r="BH267" i="4"/>
  <c r="BI267" i="4" s="1"/>
  <c r="BH9" i="4"/>
  <c r="BI9" i="4" s="1"/>
  <c r="BH445" i="4"/>
  <c r="BI445" i="4" s="1"/>
  <c r="BH418" i="4"/>
  <c r="BI418" i="4" s="1"/>
  <c r="BH443" i="4"/>
  <c r="BI443" i="4" s="1"/>
  <c r="BH146" i="4"/>
  <c r="BI146" i="4" s="1"/>
  <c r="BH582" i="4"/>
  <c r="BI582" i="4" s="1"/>
  <c r="BH513" i="4"/>
  <c r="BI513" i="4" s="1"/>
  <c r="BH243" i="4"/>
  <c r="BI243" i="4" s="1"/>
  <c r="BH92" i="4"/>
  <c r="BI92" i="4" s="1"/>
  <c r="BH236" i="4"/>
  <c r="BI236" i="4" s="1"/>
  <c r="BH754" i="4"/>
  <c r="BI754" i="4" s="1"/>
  <c r="BH993" i="4"/>
  <c r="BI993" i="4" s="1"/>
  <c r="BH988" i="4"/>
  <c r="BI988" i="4" s="1"/>
  <c r="BH893" i="4"/>
  <c r="BI893" i="4" s="1"/>
  <c r="BH856" i="4"/>
  <c r="BI856" i="4" s="1"/>
  <c r="BH801" i="4"/>
  <c r="BI801" i="4" s="1"/>
  <c r="BH680" i="4"/>
  <c r="BI680" i="4" s="1"/>
  <c r="BH493" i="4"/>
  <c r="BI493" i="4" s="1"/>
  <c r="BH359" i="4"/>
  <c r="BI359" i="4" s="1"/>
  <c r="BH660" i="4"/>
  <c r="BI660" i="4" s="1"/>
  <c r="BH600" i="4"/>
  <c r="BI600" i="4" s="1"/>
  <c r="BH431" i="4"/>
  <c r="BI431" i="4" s="1"/>
  <c r="BH261" i="4"/>
  <c r="BI261" i="4" s="1"/>
  <c r="BH277" i="4"/>
  <c r="BI277" i="4" s="1"/>
  <c r="BH353" i="4"/>
  <c r="BI353" i="4" s="1"/>
  <c r="BH103" i="4"/>
  <c r="BI103" i="4" s="1"/>
  <c r="BH230" i="4"/>
  <c r="BI230" i="4" s="1"/>
  <c r="BH91" i="4"/>
  <c r="BI91" i="4" s="1"/>
  <c r="BH240" i="4"/>
  <c r="BI240" i="4" s="1"/>
  <c r="BH87" i="4"/>
  <c r="BI87" i="4" s="1"/>
  <c r="BH202" i="4"/>
  <c r="BI202" i="4" s="1"/>
  <c r="BH619" i="4"/>
  <c r="BI619" i="4" s="1"/>
  <c r="BH508" i="4"/>
  <c r="BI508" i="4" s="1"/>
  <c r="BH736" i="4"/>
  <c r="BI736" i="4" s="1"/>
  <c r="BH370" i="4"/>
  <c r="BI370" i="4" s="1"/>
  <c r="BH347" i="4"/>
  <c r="BI347" i="4" s="1"/>
  <c r="BH199" i="4"/>
  <c r="BI199" i="4" s="1"/>
  <c r="BH797" i="4"/>
  <c r="BI797" i="4" s="1"/>
  <c r="BH815" i="4"/>
  <c r="BI815" i="4" s="1"/>
  <c r="BH466" i="4"/>
  <c r="BI466" i="4" s="1"/>
  <c r="BH718" i="4"/>
  <c r="BI718" i="4" s="1"/>
  <c r="BH414" i="4"/>
  <c r="BI414" i="4" s="1"/>
  <c r="BH271" i="4"/>
  <c r="BI271" i="4" s="1"/>
  <c r="BH265" i="4"/>
  <c r="BI265" i="4" s="1"/>
  <c r="BH18" i="4"/>
  <c r="BI18" i="4" s="1"/>
  <c r="BH878" i="4"/>
  <c r="BI878" i="4" s="1"/>
  <c r="BH904" i="4"/>
  <c r="BI904" i="4" s="1"/>
  <c r="BH778" i="4"/>
  <c r="BI778" i="4" s="1"/>
  <c r="BH342" i="4"/>
  <c r="BI342" i="4" s="1"/>
  <c r="BH147" i="4"/>
  <c r="BI147" i="4" s="1"/>
  <c r="BH931" i="4"/>
  <c r="BI931" i="4" s="1"/>
  <c r="BH470" i="4"/>
  <c r="BI470" i="4" s="1"/>
  <c r="BH968" i="4"/>
  <c r="BI968" i="4" s="1"/>
  <c r="BH906" i="4"/>
  <c r="BI906" i="4" s="1"/>
  <c r="BH1000" i="4"/>
  <c r="BI1000" i="4" s="1"/>
  <c r="BH909" i="4"/>
  <c r="BI909" i="4" s="1"/>
  <c r="BH985" i="4"/>
  <c r="BI985" i="4" s="1"/>
  <c r="BH979" i="4"/>
  <c r="BI979" i="4" s="1"/>
  <c r="BH930" i="4"/>
  <c r="BI930" i="4" s="1"/>
  <c r="BH934" i="4"/>
  <c r="BI934" i="4" s="1"/>
  <c r="BH715" i="4"/>
  <c r="BI715" i="4" s="1"/>
  <c r="BH882" i="4"/>
  <c r="BI882" i="4" s="1"/>
  <c r="BH573" i="4"/>
  <c r="BI573" i="4" s="1"/>
  <c r="BH836" i="4"/>
  <c r="BI836" i="4" s="1"/>
  <c r="BH472" i="4"/>
  <c r="BI472" i="4" s="1"/>
  <c r="BH450" i="4"/>
  <c r="BI450" i="4" s="1"/>
  <c r="BH811" i="4"/>
  <c r="BI811" i="4" s="1"/>
  <c r="BH358" i="4"/>
  <c r="BI358" i="4" s="1"/>
  <c r="BH793" i="4"/>
  <c r="BI793" i="4" s="1"/>
  <c r="BH532" i="4"/>
  <c r="BI532" i="4" s="1"/>
  <c r="BH469" i="4"/>
  <c r="BI469" i="4" s="1"/>
  <c r="BH500" i="4"/>
  <c r="BI500" i="4" s="1"/>
  <c r="BH399" i="4"/>
  <c r="BI399" i="4" s="1"/>
  <c r="BH299" i="4"/>
  <c r="BI299" i="4" s="1"/>
  <c r="BH441" i="4"/>
  <c r="BI441" i="4" s="1"/>
  <c r="BH412" i="4"/>
  <c r="BI412" i="4" s="1"/>
  <c r="BH478" i="4"/>
  <c r="BI478" i="4" s="1"/>
  <c r="BH420" i="4"/>
  <c r="BI420" i="4" s="1"/>
  <c r="BH322" i="4"/>
  <c r="BI322" i="4" s="1"/>
  <c r="BH258" i="4"/>
  <c r="BI258" i="4" s="1"/>
  <c r="BH120" i="4"/>
  <c r="BI120" i="4" s="1"/>
  <c r="BH139" i="4"/>
  <c r="BI139" i="4" s="1"/>
  <c r="BH21" i="4"/>
  <c r="BI21" i="4" s="1"/>
  <c r="BH15" i="4"/>
  <c r="BI15" i="4" s="1"/>
  <c r="BH127" i="4"/>
  <c r="BI127" i="4" s="1"/>
  <c r="BH201" i="4"/>
  <c r="BI201" i="4" s="1"/>
  <c r="BH119" i="4"/>
  <c r="BI119" i="4" s="1"/>
  <c r="BH980" i="4"/>
  <c r="BI980" i="4" s="1"/>
  <c r="BH971" i="4"/>
  <c r="BI971" i="4" s="1"/>
  <c r="BH750" i="4"/>
  <c r="BI750" i="4" s="1"/>
  <c r="BH883" i="4"/>
  <c r="BI883" i="4" s="1"/>
  <c r="BH647" i="4"/>
  <c r="BI647" i="4" s="1"/>
  <c r="BH661" i="4"/>
  <c r="BI661" i="4" s="1"/>
  <c r="BH689" i="4"/>
  <c r="BI689" i="4" s="1"/>
  <c r="BH635" i="4"/>
  <c r="BI635" i="4" s="1"/>
  <c r="BH746" i="4"/>
  <c r="BI746" i="4" s="1"/>
  <c r="BH622" i="4"/>
  <c r="BI622" i="4" s="1"/>
  <c r="BH345" i="4"/>
  <c r="BI345" i="4" s="1"/>
  <c r="BH608" i="4"/>
  <c r="BI608" i="4" s="1"/>
  <c r="BH401" i="4"/>
  <c r="BI401" i="4" s="1"/>
  <c r="BH767" i="4"/>
  <c r="BI767" i="4" s="1"/>
  <c r="BH654" i="4"/>
  <c r="BI654" i="4" s="1"/>
  <c r="BH371" i="4"/>
  <c r="BI371" i="4" s="1"/>
  <c r="BH527" i="4"/>
  <c r="BI527" i="4" s="1"/>
  <c r="BH458" i="4"/>
  <c r="BI458" i="4" s="1"/>
  <c r="BH336" i="4"/>
  <c r="BI336" i="4" s="1"/>
  <c r="BH428" i="4"/>
  <c r="BI428" i="4" s="1"/>
  <c r="BH343" i="4"/>
  <c r="BI343" i="4" s="1"/>
  <c r="BH327" i="4"/>
  <c r="BI327" i="4" s="1"/>
  <c r="BH314" i="4"/>
  <c r="BI314" i="4" s="1"/>
  <c r="BH160" i="4"/>
  <c r="BI160" i="4" s="1"/>
  <c r="BH293" i="4"/>
  <c r="BI293" i="4" s="1"/>
  <c r="BH170" i="4"/>
  <c r="BI170" i="4" s="1"/>
  <c r="BH518" i="4"/>
  <c r="BI518" i="4" s="1"/>
  <c r="BH54" i="4"/>
  <c r="BI54" i="4" s="1"/>
  <c r="BH990" i="4"/>
  <c r="BI990" i="4" s="1"/>
  <c r="BH194" i="4"/>
  <c r="BI194" i="4" s="1"/>
  <c r="BH163" i="4"/>
  <c r="BI163" i="4" s="1"/>
  <c r="BH157" i="4"/>
  <c r="BI157" i="4" s="1"/>
  <c r="BH117" i="4"/>
  <c r="BI117" i="4" s="1"/>
  <c r="BH937" i="4"/>
  <c r="BI937" i="4" s="1"/>
  <c r="BH850" i="4"/>
  <c r="BI850" i="4" s="1"/>
  <c r="BH858" i="4"/>
  <c r="BI858" i="4" s="1"/>
  <c r="BH770" i="4"/>
  <c r="BI770" i="4" s="1"/>
  <c r="BH874" i="4"/>
  <c r="BI874" i="4" s="1"/>
  <c r="BH693" i="4"/>
  <c r="BI693" i="4" s="1"/>
  <c r="BH579" i="4"/>
  <c r="BI579" i="4" s="1"/>
  <c r="BH624" i="4"/>
  <c r="BI624" i="4" s="1"/>
  <c r="BH658" i="4"/>
  <c r="BI658" i="4" s="1"/>
  <c r="BH707" i="4"/>
  <c r="BI707" i="4" s="1"/>
  <c r="BH578" i="4"/>
  <c r="BI578" i="4" s="1"/>
  <c r="BH595" i="4"/>
  <c r="BI595" i="4" s="1"/>
  <c r="BH526" i="4"/>
  <c r="BI526" i="4" s="1"/>
  <c r="BH512" i="4"/>
  <c r="BI512" i="4" s="1"/>
  <c r="BH857" i="4"/>
  <c r="BI857" i="4" s="1"/>
  <c r="BH593" i="4"/>
  <c r="BI593" i="4" s="1"/>
  <c r="BH521" i="4"/>
  <c r="BI521" i="4" s="1"/>
  <c r="BH325" i="4"/>
  <c r="BI325" i="4" s="1"/>
  <c r="BH945" i="4"/>
  <c r="BI945" i="4" s="1"/>
  <c r="BH499" i="4"/>
  <c r="BI499" i="4" s="1"/>
  <c r="BH152" i="4"/>
  <c r="BI152" i="4" s="1"/>
  <c r="BH106" i="4"/>
  <c r="BI106" i="4" s="1"/>
  <c r="BH464" i="4"/>
  <c r="BI464" i="4" s="1"/>
  <c r="BH269" i="4"/>
  <c r="BI269" i="4" s="1"/>
  <c r="BH150" i="4"/>
  <c r="BI150" i="4" s="1"/>
  <c r="BH89" i="4"/>
  <c r="BI89" i="4" s="1"/>
  <c r="BH711" i="4"/>
  <c r="BI711" i="4" s="1"/>
  <c r="BH938" i="4"/>
  <c r="BI938" i="4" s="1"/>
  <c r="BH285" i="4"/>
  <c r="BI285" i="4" s="1"/>
  <c r="BH354" i="4"/>
  <c r="BI354" i="4" s="1"/>
  <c r="BH58" i="4"/>
  <c r="BI58" i="4" s="1"/>
  <c r="BH132" i="4"/>
  <c r="BI132" i="4" s="1"/>
  <c r="BH287" i="4"/>
  <c r="BI287" i="4" s="1"/>
  <c r="BH68" i="4"/>
  <c r="BI68" i="4" s="1"/>
  <c r="BH29" i="4"/>
  <c r="BI29" i="4" s="1"/>
  <c r="BH434" i="4"/>
  <c r="BI434" i="4" s="1"/>
  <c r="BH32" i="4"/>
  <c r="BI32" i="4" s="1"/>
  <c r="BH598" i="4"/>
  <c r="BI598" i="4" s="1"/>
  <c r="BH688" i="4"/>
  <c r="BI688" i="4" s="1"/>
  <c r="BH563" i="4"/>
  <c r="BI563" i="4" s="1"/>
  <c r="BH357" i="4"/>
  <c r="BI357" i="4" s="1"/>
  <c r="BH713" i="4"/>
  <c r="BI713" i="4" s="1"/>
  <c r="BH514" i="4"/>
  <c r="BI514" i="4" s="1"/>
  <c r="BH169" i="4"/>
  <c r="BI169" i="4" s="1"/>
  <c r="BH892" i="4"/>
  <c r="BI892" i="4" s="1"/>
  <c r="BH225" i="4"/>
  <c r="BI225" i="4" s="1"/>
  <c r="BH570" i="4"/>
  <c r="BI570" i="4" s="1"/>
  <c r="BH591" i="4"/>
  <c r="BI591" i="4" s="1"/>
  <c r="BH668" i="4"/>
  <c r="BI668" i="4" s="1"/>
  <c r="BH349" i="4"/>
  <c r="BI349" i="4" s="1"/>
  <c r="BH114" i="4"/>
  <c r="BI114" i="4" s="1"/>
  <c r="BH821" i="4"/>
  <c r="BI821" i="4" s="1"/>
  <c r="BH384" i="4"/>
  <c r="BI384" i="4" s="1"/>
  <c r="BH284" i="4"/>
  <c r="BI284" i="4" s="1"/>
  <c r="BH329" i="4"/>
  <c r="BI329" i="4" s="1"/>
  <c r="BH846" i="4"/>
  <c r="BI846" i="4" s="1"/>
  <c r="BH669" i="4"/>
  <c r="BI669" i="4" s="1"/>
  <c r="BH642" i="4"/>
  <c r="BI642" i="4" s="1"/>
  <c r="BH506" i="4"/>
  <c r="BI506" i="4" s="1"/>
  <c r="BH810" i="4"/>
  <c r="BI810" i="4" s="1"/>
  <c r="BH633" i="4"/>
  <c r="BI633" i="4" s="1"/>
  <c r="BH485" i="4"/>
  <c r="BI485" i="4" s="1"/>
  <c r="BH501" i="4"/>
  <c r="BI501" i="4" s="1"/>
  <c r="BH484" i="4"/>
  <c r="BI484" i="4" s="1"/>
  <c r="BH129" i="4"/>
  <c r="BI129" i="4" s="1"/>
  <c r="BH2" i="4"/>
  <c r="BH63" i="4"/>
  <c r="BI63" i="4" s="1"/>
  <c r="BH998" i="4"/>
  <c r="BI998" i="4" s="1"/>
  <c r="BH885" i="4"/>
  <c r="BI885" i="4" s="1"/>
  <c r="BH969" i="4"/>
  <c r="BI969" i="4" s="1"/>
  <c r="BH926" i="4"/>
  <c r="BI926" i="4" s="1"/>
  <c r="BH962" i="4"/>
  <c r="BI962" i="4" s="1"/>
  <c r="BH640" i="4"/>
  <c r="BI640" i="4" s="1"/>
  <c r="BH729" i="4"/>
  <c r="BI729" i="4" s="1"/>
  <c r="BH581" i="4"/>
  <c r="BI581" i="4" s="1"/>
  <c r="BH610" i="4"/>
  <c r="BI610" i="4" s="1"/>
  <c r="BH656" i="4"/>
  <c r="BI656" i="4" s="1"/>
  <c r="BH665" i="4"/>
  <c r="BI665" i="4" s="1"/>
  <c r="BH829" i="4"/>
  <c r="BI829" i="4" s="1"/>
  <c r="BH385" i="4"/>
  <c r="BI385" i="4" s="1"/>
  <c r="BH556" i="4"/>
  <c r="BI556" i="4" s="1"/>
  <c r="BH651" i="4"/>
  <c r="BI651" i="4" s="1"/>
  <c r="BH574" i="4"/>
  <c r="BI574" i="4" s="1"/>
  <c r="BH567" i="4"/>
  <c r="BI567" i="4" s="1"/>
  <c r="BH507" i="4"/>
  <c r="BI507" i="4" s="1"/>
  <c r="BH772" i="4"/>
  <c r="BI772" i="4" s="1"/>
  <c r="BH413" i="4"/>
  <c r="BI413" i="4" s="1"/>
  <c r="BH491" i="4"/>
  <c r="BI491" i="4" s="1"/>
  <c r="BH559" i="4"/>
  <c r="BI559" i="4" s="1"/>
  <c r="BH292" i="4"/>
  <c r="BI292" i="4" s="1"/>
  <c r="BH410" i="4"/>
  <c r="BI410" i="4" s="1"/>
  <c r="BH380" i="4"/>
  <c r="BI380" i="4" s="1"/>
  <c r="BH166" i="4"/>
  <c r="BI166" i="4" s="1"/>
  <c r="BH195" i="4"/>
  <c r="BI195" i="4" s="1"/>
  <c r="BH156" i="4"/>
  <c r="BI156" i="4" s="1"/>
  <c r="BH153" i="4"/>
  <c r="BI153" i="4" s="1"/>
  <c r="BH374" i="4"/>
  <c r="BI374" i="4" s="1"/>
  <c r="BH376" i="4"/>
  <c r="BI376" i="4" s="1"/>
  <c r="BH340" i="4"/>
  <c r="BI340" i="4" s="1"/>
  <c r="BH214" i="4"/>
  <c r="BI214" i="4" s="1"/>
  <c r="BH386" i="4"/>
  <c r="BI386" i="4" s="1"/>
  <c r="BH346" i="4"/>
  <c r="BI346" i="4" s="1"/>
  <c r="BH43" i="4"/>
  <c r="BI43" i="4" s="1"/>
  <c r="BH205" i="4"/>
  <c r="BI205" i="4" s="1"/>
  <c r="BH61" i="4"/>
  <c r="BI61" i="4" s="1"/>
  <c r="BH116" i="4"/>
  <c r="BI116" i="4" s="1"/>
  <c r="BH26" i="4"/>
  <c r="BI26" i="4" s="1"/>
  <c r="BH486" i="4"/>
  <c r="BI486" i="4" s="1"/>
  <c r="BH223" i="4"/>
  <c r="BI223" i="4" s="1"/>
  <c r="BH257" i="4"/>
  <c r="BI257" i="4" s="1"/>
  <c r="BH134" i="4"/>
  <c r="BI134" i="4" s="1"/>
  <c r="BH426" i="4"/>
  <c r="BI426" i="4" s="1"/>
  <c r="BH161" i="4"/>
  <c r="BI161" i="4" s="1"/>
  <c r="BH543" i="4"/>
  <c r="BI543" i="4" s="1"/>
  <c r="BH72" i="4"/>
  <c r="BI72" i="4" s="1"/>
  <c r="BH944" i="4"/>
  <c r="BI944" i="4" s="1"/>
  <c r="BH553" i="4"/>
  <c r="BI553" i="4" s="1"/>
  <c r="BH775" i="4"/>
  <c r="BI775" i="4" s="1"/>
  <c r="BH251" i="4"/>
  <c r="BI251" i="4" s="1"/>
  <c r="BH751" i="4"/>
  <c r="BI751" i="4" s="1"/>
  <c r="BH886" i="4"/>
  <c r="BI886" i="4" s="1"/>
  <c r="BH324" i="4"/>
  <c r="BI324" i="4" s="1"/>
  <c r="BH408" i="4"/>
  <c r="BI408" i="4" s="1"/>
  <c r="BH764" i="4"/>
  <c r="BI764" i="4" s="1"/>
  <c r="BH462" i="4"/>
  <c r="BI462" i="4" s="1"/>
  <c r="BH596" i="4"/>
  <c r="BI596" i="4" s="1"/>
  <c r="BH360" i="4"/>
  <c r="BI360" i="4" s="1"/>
  <c r="BH542" i="4"/>
  <c r="BI542" i="4" s="1"/>
  <c r="BH241" i="4"/>
  <c r="BI241" i="4" s="1"/>
  <c r="BH99" i="4"/>
  <c r="BI99" i="4" s="1"/>
  <c r="BH996" i="4"/>
  <c r="BI996" i="4" s="1"/>
  <c r="BH877" i="4"/>
  <c r="BI877" i="4" s="1"/>
  <c r="BH982" i="4"/>
  <c r="BI982" i="4" s="1"/>
  <c r="BH607" i="4"/>
  <c r="BI607" i="4" s="1"/>
  <c r="BH868" i="4"/>
  <c r="BI868" i="4" s="1"/>
  <c r="BH780" i="4"/>
  <c r="BI780" i="4" s="1"/>
  <c r="BH698" i="4"/>
  <c r="BI698" i="4" s="1"/>
  <c r="BH601" i="4"/>
  <c r="BI601" i="4" s="1"/>
  <c r="BH727" i="4"/>
  <c r="BI727" i="4" s="1"/>
  <c r="BH550" i="4"/>
  <c r="BI550" i="4" s="1"/>
  <c r="BH864" i="4"/>
  <c r="BI864" i="4" s="1"/>
  <c r="BH475" i="4"/>
  <c r="BI475" i="4" s="1"/>
  <c r="BH405" i="4"/>
  <c r="BI405" i="4" s="1"/>
  <c r="BH333" i="4"/>
  <c r="BI333" i="4" s="1"/>
  <c r="BH348" i="4"/>
  <c r="BI348" i="4" s="1"/>
  <c r="BH427" i="4"/>
  <c r="BI427" i="4" s="1"/>
  <c r="BH222" i="4"/>
  <c r="BI222" i="4" s="1"/>
  <c r="BH260" i="4"/>
  <c r="BI260" i="4" s="1"/>
  <c r="BH78" i="4"/>
  <c r="BI78" i="4" s="1"/>
  <c r="BH330" i="4"/>
  <c r="BI330" i="4" s="1"/>
  <c r="BH250" i="4"/>
  <c r="BI250" i="4" s="1"/>
  <c r="BH102" i="4"/>
  <c r="BI102" i="4" s="1"/>
  <c r="BH301" i="4"/>
  <c r="BI301" i="4" s="1"/>
  <c r="BH124" i="4"/>
  <c r="BI124" i="4" s="1"/>
  <c r="BH40" i="4"/>
  <c r="BI40" i="4" s="1"/>
  <c r="BH951" i="4"/>
  <c r="BI951" i="4" s="1"/>
  <c r="BH703" i="4"/>
  <c r="BI703" i="4" s="1"/>
  <c r="BH737" i="4"/>
  <c r="BI737" i="4" s="1"/>
  <c r="BH60" i="4"/>
  <c r="BI60" i="4" s="1"/>
  <c r="BH101" i="4"/>
  <c r="BI101" i="4" s="1"/>
  <c r="BH842" i="4"/>
  <c r="BI842" i="4" s="1"/>
  <c r="BH806" i="4"/>
  <c r="BI806" i="4" s="1"/>
  <c r="BH796" i="4"/>
  <c r="BI796" i="4" s="1"/>
  <c r="BH568" i="4"/>
  <c r="BI568" i="4" s="1"/>
  <c r="BH569" i="4"/>
  <c r="BI569" i="4" s="1"/>
  <c r="BH955" i="4"/>
  <c r="BI955" i="4" s="1"/>
  <c r="BH903" i="4"/>
  <c r="BI903" i="4" s="1"/>
  <c r="BH816" i="4"/>
  <c r="BI816" i="4" s="1"/>
  <c r="BH941" i="4"/>
  <c r="BI941" i="4" s="1"/>
  <c r="BH965" i="4"/>
  <c r="BI965" i="4" s="1"/>
  <c r="BH867" i="4"/>
  <c r="BI867" i="4" s="1"/>
  <c r="BH795" i="4"/>
  <c r="BI795" i="4" s="1"/>
  <c r="BH722" i="4"/>
  <c r="BI722" i="4" s="1"/>
  <c r="BH726" i="4"/>
  <c r="BI726" i="4" s="1"/>
  <c r="BH666" i="4"/>
  <c r="BI666" i="4" s="1"/>
  <c r="BH733" i="4"/>
  <c r="BI733" i="4" s="1"/>
  <c r="BH557" i="4"/>
  <c r="BI557" i="4" s="1"/>
  <c r="BH662" i="4"/>
  <c r="BI662" i="4" s="1"/>
  <c r="BH709" i="4"/>
  <c r="BI709" i="4" s="1"/>
  <c r="BH605" i="4"/>
  <c r="BI605" i="4" s="1"/>
  <c r="BH756" i="4"/>
  <c r="BI756" i="4" s="1"/>
  <c r="BH765" i="4"/>
  <c r="BI765" i="4" s="1"/>
  <c r="BH616" i="4"/>
  <c r="BI616" i="4" s="1"/>
  <c r="BH646" i="4"/>
  <c r="BI646" i="4" s="1"/>
  <c r="BH429" i="4"/>
  <c r="BI429" i="4" s="1"/>
  <c r="BH111" i="4"/>
  <c r="BI111" i="4" s="1"/>
  <c r="BH8" i="4"/>
  <c r="BI8" i="4" s="1"/>
  <c r="BH247" i="4"/>
  <c r="BI247" i="4" s="1"/>
  <c r="BH691" i="4"/>
  <c r="BI691" i="4" s="1"/>
  <c r="BH394" i="4"/>
  <c r="BI394" i="4" s="1"/>
  <c r="BH77" i="4"/>
  <c r="BI77" i="4" s="1"/>
  <c r="BH312" i="4"/>
  <c r="BI312" i="4" s="1"/>
  <c r="BH229" i="4"/>
  <c r="BI229" i="4" s="1"/>
  <c r="BH181" i="4"/>
  <c r="BI181" i="4" s="1"/>
  <c r="BH135" i="4"/>
  <c r="BI135" i="4" s="1"/>
  <c r="BH149" i="4"/>
  <c r="BI149" i="4" s="1"/>
  <c r="BH65" i="4"/>
  <c r="BI65" i="4" s="1"/>
  <c r="BH16" i="4"/>
  <c r="BI16" i="4" s="1"/>
  <c r="BH621" i="4"/>
  <c r="BI621" i="4" s="1"/>
  <c r="BH554" i="4"/>
  <c r="BI554" i="4" s="1"/>
  <c r="BH549" i="4"/>
  <c r="BI549" i="4" s="1"/>
  <c r="BH675" i="4"/>
  <c r="BI675" i="4" s="1"/>
  <c r="BH889" i="4"/>
  <c r="BI889" i="4" s="1"/>
  <c r="BH456" i="4"/>
  <c r="BI456" i="4" s="1"/>
  <c r="BH226" i="4"/>
  <c r="BI226" i="4" s="1"/>
  <c r="BH12" i="4"/>
  <c r="BI12" i="4" s="1"/>
  <c r="BH37" i="4"/>
  <c r="BI37" i="4" s="1"/>
  <c r="BH964" i="4"/>
  <c r="BI964" i="4" s="1"/>
  <c r="BH788" i="4"/>
  <c r="BI788" i="4" s="1"/>
  <c r="BH681" i="4"/>
  <c r="BI681" i="4" s="1"/>
  <c r="BH432" i="4"/>
  <c r="BI432" i="4" s="1"/>
  <c r="BH167" i="4"/>
  <c r="BI167" i="4" s="1"/>
  <c r="BH436" i="4"/>
  <c r="BI436" i="4" s="1"/>
  <c r="BH100" i="4"/>
  <c r="BI100" i="4" s="1"/>
  <c r="BH177" i="4"/>
  <c r="BI177" i="4" s="1"/>
  <c r="BH96" i="4"/>
  <c r="BI96" i="4" s="1"/>
  <c r="BH927" i="4"/>
  <c r="BI927" i="4" s="1"/>
  <c r="BH835" i="4"/>
  <c r="BI835" i="4" s="1"/>
  <c r="BH614" i="4"/>
  <c r="BI614" i="4" s="1"/>
  <c r="BH880" i="4"/>
  <c r="BI880" i="4" s="1"/>
  <c r="BH424" i="4"/>
  <c r="BI424" i="4" s="1"/>
  <c r="BH41" i="4"/>
  <c r="BI41" i="4" s="1"/>
  <c r="BH326" i="4"/>
  <c r="BI326" i="4" s="1"/>
  <c r="BH22" i="4"/>
  <c r="BI22" i="4" s="1"/>
  <c r="BH239" i="4"/>
  <c r="BI239" i="4" s="1"/>
  <c r="BH254" i="4"/>
  <c r="BI254" i="4" s="1"/>
  <c r="BH171" i="4"/>
  <c r="BI171" i="4" s="1"/>
  <c r="BH74" i="4"/>
  <c r="BI74" i="4" s="1"/>
  <c r="BH173" i="4"/>
  <c r="BI173" i="4" s="1"/>
  <c r="BH255" i="4"/>
  <c r="BI255" i="4" s="1"/>
  <c r="BH233" i="4"/>
  <c r="BI233" i="4" s="1"/>
  <c r="BH983" i="4"/>
  <c r="BI983" i="4" s="1"/>
  <c r="BH897" i="4"/>
  <c r="BI897" i="4" s="1"/>
  <c r="BH899" i="4"/>
  <c r="BI899" i="4" s="1"/>
  <c r="BH999" i="4"/>
  <c r="BI999" i="4" s="1"/>
  <c r="BH872" i="4"/>
  <c r="BI872" i="4" s="1"/>
  <c r="BH942" i="4"/>
  <c r="BI942" i="4" s="1"/>
  <c r="BH851" i="4"/>
  <c r="BI851" i="4" s="1"/>
  <c r="BH738" i="4"/>
  <c r="BI738" i="4" s="1"/>
  <c r="BH695" i="4"/>
  <c r="BI695" i="4" s="1"/>
  <c r="BH626" i="4"/>
  <c r="BI626" i="4" s="1"/>
  <c r="BH584" i="4"/>
  <c r="BI584" i="4" s="1"/>
  <c r="BH628" i="4"/>
  <c r="BI628" i="4" s="1"/>
  <c r="BH636" i="4"/>
  <c r="BI636" i="4" s="1"/>
  <c r="BH498" i="4"/>
  <c r="BI498" i="4" s="1"/>
  <c r="BH490" i="4"/>
  <c r="BI490" i="4" s="1"/>
  <c r="BH830" i="4"/>
  <c r="BI830" i="4" s="1"/>
  <c r="BH572" i="4"/>
  <c r="BI572" i="4" s="1"/>
  <c r="BH476" i="4"/>
  <c r="BI476" i="4" s="1"/>
  <c r="BH367" i="4"/>
  <c r="BI367" i="4" s="1"/>
  <c r="BH803" i="4"/>
  <c r="BI803" i="4" s="1"/>
  <c r="BH477" i="4"/>
  <c r="BI477" i="4" s="1"/>
  <c r="BH697" i="4"/>
  <c r="BI697" i="4" s="1"/>
  <c r="BH577" i="4"/>
  <c r="BI577" i="4" s="1"/>
  <c r="BH702" i="4"/>
  <c r="BI702" i="4" s="1"/>
  <c r="BH684" i="4"/>
  <c r="BI684" i="4" s="1"/>
  <c r="BH487" i="4"/>
  <c r="BI487" i="4" s="1"/>
  <c r="BH373" i="4"/>
  <c r="BI373" i="4" s="1"/>
  <c r="BH442" i="4"/>
  <c r="BI442" i="4" s="1"/>
  <c r="BH305" i="4"/>
  <c r="BI305" i="4" s="1"/>
  <c r="BH219" i="4"/>
  <c r="BI219" i="4" s="1"/>
  <c r="BH264" i="4"/>
  <c r="BI264" i="4" s="1"/>
  <c r="BH141" i="4"/>
  <c r="BI141" i="4" s="1"/>
  <c r="BH69" i="4"/>
  <c r="BI69" i="4" s="1"/>
  <c r="BH278" i="4"/>
  <c r="BI278" i="4" s="1"/>
  <c r="BH256" i="4"/>
  <c r="BI256" i="4" s="1"/>
  <c r="BH338" i="4"/>
  <c r="BI338" i="4" s="1"/>
  <c r="BH356" i="4"/>
  <c r="BI356" i="4" s="1"/>
  <c r="BH298" i="4"/>
  <c r="BI298" i="4" s="1"/>
  <c r="BH5" i="4"/>
  <c r="BI5" i="4" s="1"/>
  <c r="BH31" i="4"/>
  <c r="BI31" i="4" s="1"/>
  <c r="BH186" i="4"/>
  <c r="BI186" i="4" s="1"/>
  <c r="BH46" i="4"/>
  <c r="BI46" i="4" s="1"/>
  <c r="BH19" i="4"/>
  <c r="BI19" i="4" s="1"/>
  <c r="BH164" i="4"/>
  <c r="BI164" i="4" s="1"/>
  <c r="BH113" i="4"/>
  <c r="BI113" i="4" s="1"/>
  <c r="F161" i="6" l="1"/>
  <c r="G161" i="6" s="1"/>
  <c r="F10" i="6"/>
  <c r="G10" i="6" s="1"/>
  <c r="F61" i="6"/>
  <c r="G61" i="6" s="1"/>
  <c r="F100" i="6"/>
  <c r="G100" i="6" s="1"/>
  <c r="F105" i="6"/>
  <c r="G105" i="6" s="1"/>
  <c r="F22" i="6"/>
  <c r="G22" i="6" s="1"/>
  <c r="F66" i="6"/>
  <c r="G66" i="6" s="1"/>
  <c r="F117" i="6"/>
  <c r="G117" i="6" s="1"/>
  <c r="F144" i="6"/>
  <c r="G144" i="6" s="1"/>
  <c r="F78" i="6"/>
  <c r="G78" i="6" s="1"/>
  <c r="F122" i="6"/>
  <c r="G122" i="6" s="1"/>
  <c r="F173" i="6"/>
  <c r="G173" i="6" s="1"/>
  <c r="F49" i="6"/>
  <c r="G49" i="6" s="1"/>
  <c r="F5" i="6"/>
  <c r="G5" i="6" s="1"/>
  <c r="F134" i="6"/>
  <c r="G134" i="6" s="1"/>
  <c r="F178" i="6"/>
  <c r="G178" i="6" s="1"/>
  <c r="F34" i="6"/>
  <c r="G34" i="6" s="1"/>
  <c r="F156" i="6"/>
  <c r="G156" i="6" s="1"/>
  <c r="F190" i="6"/>
  <c r="G190" i="6" s="1"/>
  <c r="F32" i="6"/>
  <c r="G32" i="6" s="1"/>
  <c r="F90" i="6"/>
  <c r="G90" i="6" s="1"/>
  <c r="F44" i="6"/>
  <c r="G44" i="6" s="1"/>
  <c r="F88" i="6"/>
  <c r="G88" i="6" s="1"/>
  <c r="F146" i="6"/>
  <c r="G146" i="6" s="1"/>
  <c r="F29" i="6"/>
  <c r="G29" i="6" s="1"/>
  <c r="F197" i="6"/>
  <c r="G197" i="6" s="1"/>
  <c r="F163" i="6"/>
  <c r="G163" i="6" s="1"/>
  <c r="F129" i="6"/>
  <c r="G129" i="6" s="1"/>
  <c r="F95" i="6"/>
  <c r="G95" i="6" s="1"/>
  <c r="F151" i="6"/>
  <c r="G151" i="6" s="1"/>
  <c r="F12" i="6"/>
  <c r="G12" i="6" s="1"/>
  <c r="F68" i="6"/>
  <c r="G68" i="6" s="1"/>
  <c r="F180" i="6"/>
  <c r="G180" i="6" s="1"/>
  <c r="F153" i="6"/>
  <c r="G153" i="6" s="1"/>
  <c r="F7" i="6"/>
  <c r="G7" i="6" s="1"/>
  <c r="F63" i="6"/>
  <c r="G63" i="6" s="1"/>
  <c r="F119" i="6"/>
  <c r="G119" i="6" s="1"/>
  <c r="F175" i="6"/>
  <c r="G175" i="6" s="1"/>
  <c r="F36" i="6"/>
  <c r="G36" i="6" s="1"/>
  <c r="F92" i="6"/>
  <c r="G92" i="6" s="1"/>
  <c r="F148" i="6"/>
  <c r="G148" i="6" s="1"/>
  <c r="F2" i="6"/>
  <c r="G2" i="6" s="1"/>
  <c r="F58" i="6"/>
  <c r="G58" i="6" s="1"/>
  <c r="F114" i="6"/>
  <c r="G114" i="6" s="1"/>
  <c r="F170" i="6"/>
  <c r="G170" i="6" s="1"/>
  <c r="F24" i="6"/>
  <c r="G24" i="6" s="1"/>
  <c r="F80" i="6"/>
  <c r="G80" i="6" s="1"/>
  <c r="F136" i="6"/>
  <c r="G136" i="6" s="1"/>
  <c r="F192" i="6"/>
  <c r="G192" i="6" s="1"/>
  <c r="F46" i="6"/>
  <c r="G46" i="6" s="1"/>
  <c r="F102" i="6"/>
  <c r="G102" i="6" s="1"/>
  <c r="F158" i="6"/>
  <c r="G158" i="6" s="1"/>
  <c r="F19" i="6"/>
  <c r="G19" i="6" s="1"/>
  <c r="F75" i="6"/>
  <c r="G75" i="6" s="1"/>
  <c r="F131" i="6"/>
  <c r="G131" i="6" s="1"/>
  <c r="F187" i="6"/>
  <c r="G187" i="6" s="1"/>
  <c r="F48" i="6"/>
  <c r="G48" i="6" s="1"/>
  <c r="F104" i="6"/>
  <c r="G104" i="6" s="1"/>
  <c r="F160" i="6"/>
  <c r="G160" i="6" s="1"/>
  <c r="F189" i="6"/>
  <c r="G189" i="6" s="1"/>
  <c r="F162" i="6"/>
  <c r="G162" i="6" s="1"/>
  <c r="F128" i="6"/>
  <c r="G128" i="6" s="1"/>
  <c r="F94" i="6"/>
  <c r="G94" i="6" s="1"/>
  <c r="F150" i="6"/>
  <c r="G150" i="6" s="1"/>
  <c r="F4" i="6"/>
  <c r="G4" i="6" s="1"/>
  <c r="F60" i="6"/>
  <c r="G60" i="6" s="1"/>
  <c r="F116" i="6"/>
  <c r="G116" i="6" s="1"/>
  <c r="F172" i="6"/>
  <c r="G172" i="6" s="1"/>
  <c r="F89" i="6"/>
  <c r="G89" i="6" s="1"/>
  <c r="F145" i="6"/>
  <c r="G145" i="6" s="1"/>
  <c r="F118" i="6"/>
  <c r="G118" i="6" s="1"/>
  <c r="F174" i="6"/>
  <c r="G174" i="6" s="1"/>
  <c r="F56" i="6"/>
  <c r="G56" i="6" s="1"/>
  <c r="F168" i="6"/>
  <c r="G168" i="6" s="1"/>
  <c r="F141" i="6"/>
  <c r="G141" i="6" s="1"/>
  <c r="F107" i="6"/>
  <c r="G107" i="6" s="1"/>
  <c r="F17" i="6"/>
  <c r="G17" i="6" s="1"/>
  <c r="F185" i="6"/>
  <c r="G185" i="6" s="1"/>
  <c r="F97" i="6"/>
  <c r="G97" i="6" s="1"/>
  <c r="F14" i="6"/>
  <c r="G14" i="6" s="1"/>
  <c r="F182" i="6"/>
  <c r="G182" i="6" s="1"/>
  <c r="F99" i="6"/>
  <c r="G99" i="6" s="1"/>
  <c r="F9" i="6"/>
  <c r="G9" i="6" s="1"/>
  <c r="F121" i="6"/>
  <c r="G121" i="6" s="1"/>
  <c r="F31" i="6"/>
  <c r="G31" i="6" s="1"/>
  <c r="F143" i="6"/>
  <c r="G143" i="6" s="1"/>
  <c r="F53" i="6"/>
  <c r="G53" i="6" s="1"/>
  <c r="F165" i="6"/>
  <c r="G165" i="6" s="1"/>
  <c r="F82" i="6"/>
  <c r="G82" i="6" s="1"/>
  <c r="F194" i="6"/>
  <c r="G194" i="6" s="1"/>
  <c r="F111" i="6"/>
  <c r="G111" i="6" s="1"/>
  <c r="F77" i="6"/>
  <c r="G77" i="6" s="1"/>
  <c r="F50" i="6"/>
  <c r="G50" i="6" s="1"/>
  <c r="F16" i="6"/>
  <c r="G16" i="6" s="1"/>
  <c r="F184" i="6"/>
  <c r="G184" i="6" s="1"/>
  <c r="F6" i="6"/>
  <c r="G6" i="6" s="1"/>
  <c r="F28" i="6"/>
  <c r="G28" i="6" s="1"/>
  <c r="F84" i="6"/>
  <c r="G84" i="6" s="1"/>
  <c r="F140" i="6"/>
  <c r="G140" i="6" s="1"/>
  <c r="F196" i="6"/>
  <c r="G196" i="6" s="1"/>
  <c r="F57" i="6"/>
  <c r="G57" i="6" s="1"/>
  <c r="F113" i="6"/>
  <c r="G113" i="6" s="1"/>
  <c r="F169" i="6"/>
  <c r="G169" i="6" s="1"/>
  <c r="F23" i="6"/>
  <c r="G23" i="6" s="1"/>
  <c r="F79" i="6"/>
  <c r="G79" i="6" s="1"/>
  <c r="F135" i="6"/>
  <c r="G135" i="6" s="1"/>
  <c r="F191" i="6"/>
  <c r="G191" i="6" s="1"/>
  <c r="F45" i="6"/>
  <c r="G45" i="6" s="1"/>
  <c r="F101" i="6"/>
  <c r="G101" i="6" s="1"/>
  <c r="F157" i="6"/>
  <c r="G157" i="6" s="1"/>
  <c r="F11" i="6"/>
  <c r="G11" i="6" s="1"/>
  <c r="F67" i="6"/>
  <c r="G67" i="6" s="1"/>
  <c r="F123" i="6"/>
  <c r="G123" i="6" s="1"/>
  <c r="F179" i="6"/>
  <c r="G179" i="6" s="1"/>
  <c r="F40" i="6"/>
  <c r="G40" i="6" s="1"/>
  <c r="F96" i="6"/>
  <c r="G96" i="6" s="1"/>
  <c r="F152" i="6"/>
  <c r="G152" i="6" s="1"/>
  <c r="F13" i="6"/>
  <c r="G13" i="6" s="1"/>
  <c r="F69" i="6"/>
  <c r="G69" i="6" s="1"/>
  <c r="F125" i="6"/>
  <c r="G125" i="6" s="1"/>
  <c r="F181" i="6"/>
  <c r="G181" i="6" s="1"/>
  <c r="F112" i="6"/>
  <c r="G112" i="6" s="1"/>
  <c r="F85" i="6"/>
  <c r="G85" i="6" s="1"/>
  <c r="F51" i="6"/>
  <c r="G51" i="6" s="1"/>
  <c r="F73" i="6"/>
  <c r="G73" i="6" s="1"/>
  <c r="F39" i="6"/>
  <c r="G39" i="6" s="1"/>
  <c r="F41" i="6"/>
  <c r="G41" i="6" s="1"/>
  <c r="F126" i="6"/>
  <c r="G126" i="6" s="1"/>
  <c r="F43" i="6"/>
  <c r="G43" i="6" s="1"/>
  <c r="F155" i="6"/>
  <c r="G155" i="6" s="1"/>
  <c r="F65" i="6"/>
  <c r="G65" i="6" s="1"/>
  <c r="F177" i="6"/>
  <c r="G177" i="6" s="1"/>
  <c r="F87" i="6"/>
  <c r="G87" i="6" s="1"/>
  <c r="F199" i="6"/>
  <c r="G199" i="6" s="1"/>
  <c r="F109" i="6"/>
  <c r="G109" i="6" s="1"/>
  <c r="F26" i="6"/>
  <c r="G26" i="6" s="1"/>
  <c r="F138" i="6"/>
  <c r="G138" i="6" s="1"/>
  <c r="F167" i="6"/>
  <c r="G167" i="6" s="1"/>
  <c r="F21" i="6"/>
  <c r="G21" i="6" s="1"/>
  <c r="F133" i="6"/>
  <c r="G133" i="6" s="1"/>
  <c r="F106" i="6"/>
  <c r="G106" i="6" s="1"/>
  <c r="F72" i="6"/>
  <c r="G72" i="6" s="1"/>
  <c r="F38" i="6"/>
  <c r="G38" i="6" s="1"/>
  <c r="F62" i="6"/>
  <c r="G62" i="6" s="1"/>
  <c r="F35" i="6"/>
  <c r="G35" i="6" s="1"/>
  <c r="F91" i="6"/>
  <c r="G91" i="6" s="1"/>
  <c r="F147" i="6"/>
  <c r="G147" i="6" s="1"/>
  <c r="F8" i="6"/>
  <c r="G8" i="6" s="1"/>
  <c r="F64" i="6"/>
  <c r="G64" i="6" s="1"/>
  <c r="F120" i="6"/>
  <c r="G120" i="6" s="1"/>
  <c r="F176" i="6"/>
  <c r="G176" i="6" s="1"/>
  <c r="F30" i="6"/>
  <c r="G30" i="6" s="1"/>
  <c r="F86" i="6"/>
  <c r="G86" i="6" s="1"/>
  <c r="F142" i="6"/>
  <c r="G142" i="6" s="1"/>
  <c r="F198" i="6"/>
  <c r="G198" i="6" s="1"/>
  <c r="F52" i="6"/>
  <c r="G52" i="6" s="1"/>
  <c r="F108" i="6"/>
  <c r="G108" i="6" s="1"/>
  <c r="F164" i="6"/>
  <c r="G164" i="6" s="1"/>
  <c r="F18" i="6"/>
  <c r="G18" i="6" s="1"/>
  <c r="F74" i="6"/>
  <c r="G74" i="6" s="1"/>
  <c r="F130" i="6"/>
  <c r="G130" i="6" s="1"/>
  <c r="F186" i="6"/>
  <c r="G186" i="6" s="1"/>
  <c r="F47" i="6"/>
  <c r="G47" i="6" s="1"/>
  <c r="F103" i="6"/>
  <c r="G103" i="6" s="1"/>
  <c r="F159" i="6"/>
  <c r="G159" i="6" s="1"/>
  <c r="F20" i="6"/>
  <c r="G20" i="6" s="1"/>
  <c r="F76" i="6"/>
  <c r="G76" i="6" s="1"/>
  <c r="F132" i="6"/>
  <c r="G132" i="6" s="1"/>
  <c r="F188" i="6"/>
  <c r="G188" i="6" s="1"/>
  <c r="F124" i="6"/>
  <c r="G124" i="6" s="1"/>
  <c r="F70" i="6"/>
  <c r="G70" i="6" s="1"/>
  <c r="F55" i="6"/>
  <c r="G55" i="6" s="1"/>
  <c r="F33" i="6"/>
  <c r="G33" i="6" s="1"/>
  <c r="F42" i="6"/>
  <c r="G42" i="6" s="1"/>
  <c r="F98" i="6"/>
  <c r="G98" i="6" s="1"/>
  <c r="F154" i="6"/>
  <c r="G154" i="6" s="1"/>
  <c r="F15" i="6"/>
  <c r="G15" i="6" s="1"/>
  <c r="F71" i="6"/>
  <c r="G71" i="6" s="1"/>
  <c r="F127" i="6"/>
  <c r="G127" i="6" s="1"/>
  <c r="F183" i="6"/>
  <c r="G183" i="6" s="1"/>
  <c r="F37" i="6"/>
  <c r="G37" i="6" s="1"/>
  <c r="F93" i="6"/>
  <c r="G93" i="6" s="1"/>
  <c r="F149" i="6"/>
  <c r="G149" i="6" s="1"/>
  <c r="F3" i="6"/>
  <c r="G3" i="6" s="1"/>
  <c r="F59" i="6"/>
  <c r="G59" i="6" s="1"/>
  <c r="F115" i="6"/>
  <c r="G115" i="6" s="1"/>
  <c r="F171" i="6"/>
  <c r="G171" i="6" s="1"/>
  <c r="F25" i="6"/>
  <c r="G25" i="6" s="1"/>
  <c r="F81" i="6"/>
  <c r="G81" i="6" s="1"/>
  <c r="F137" i="6"/>
  <c r="G137" i="6" s="1"/>
  <c r="F193" i="6"/>
  <c r="G193" i="6" s="1"/>
  <c r="F54" i="6"/>
  <c r="G54" i="6" s="1"/>
  <c r="F110" i="6"/>
  <c r="G110" i="6" s="1"/>
  <c r="F166" i="6"/>
  <c r="G166" i="6" s="1"/>
  <c r="F27" i="6"/>
  <c r="G27" i="6" s="1"/>
  <c r="F83" i="6"/>
  <c r="G83" i="6" s="1"/>
  <c r="F139" i="6"/>
  <c r="G139" i="6" s="1"/>
  <c r="B5" i="7"/>
  <c r="BI2" i="4"/>
  <c r="B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tc={79C873DA-3629-4232-8E28-3C9AF9264F51}</author>
  </authors>
  <commentList>
    <comment ref="R1" authorId="0" shapeId="0" xr:uid="{79C873DA-3629-4232-8E28-3C9AF9264F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instructivo presupuetso</t>
      </text>
    </comment>
  </commentList>
</comments>
</file>

<file path=xl/sharedStrings.xml><?xml version="1.0" encoding="utf-8"?>
<sst xmlns="http://schemas.openxmlformats.org/spreadsheetml/2006/main" count="449" uniqueCount="385">
  <si>
    <t>Gerencia</t>
  </si>
  <si>
    <t>Superintendencia</t>
  </si>
  <si>
    <t>Área usuaria</t>
  </si>
  <si>
    <t>Área AdC MLP</t>
  </si>
  <si>
    <t>AdC MLP</t>
  </si>
  <si>
    <t>Número de contrato</t>
  </si>
  <si>
    <t>Nombre del servicio</t>
  </si>
  <si>
    <t>Empresa</t>
  </si>
  <si>
    <t>Tipo de contrato (PU/SA/Mixto)</t>
  </si>
  <si>
    <t>Vía financiamiento (OPEX/CAPEX)</t>
  </si>
  <si>
    <t>Fecha inicio contrato</t>
  </si>
  <si>
    <t>Fecha término contrato</t>
  </si>
  <si>
    <t>Nivel de madurez esperado (1/2/3)</t>
  </si>
  <si>
    <t>Backoffice</t>
  </si>
  <si>
    <t>Tipo continuidad del servicio</t>
  </si>
  <si>
    <t>Alcance presupuestado</t>
  </si>
  <si>
    <t>Fecha inicio efectiva</t>
  </si>
  <si>
    <t>Fecha término efectiva</t>
  </si>
  <si>
    <t>Condición contractual al presupuestar</t>
  </si>
  <si>
    <t>Servicio origen/destino</t>
  </si>
  <si>
    <t>Impacto esperado en dotación</t>
  </si>
  <si>
    <t>Cargo</t>
  </si>
  <si>
    <t>Clasificación dotacional (cerrada)</t>
  </si>
  <si>
    <t>Permanente/Temporal</t>
  </si>
  <si>
    <t>Tipo temporal</t>
  </si>
  <si>
    <t>Directa/Indirecta</t>
  </si>
  <si>
    <t>Turno</t>
  </si>
  <si>
    <t>Jornada</t>
  </si>
  <si>
    <t>N° personas contractuales</t>
  </si>
  <si>
    <t>N° días presentes mes</t>
  </si>
  <si>
    <t>N° días mes calendario</t>
  </si>
  <si>
    <t>Factor FTE mes</t>
  </si>
  <si>
    <t>HH día turno</t>
  </si>
  <si>
    <t>FTE contractual (mes)</t>
  </si>
  <si>
    <t>Observación contractual</t>
  </si>
  <si>
    <t>Tipo de servicio</t>
  </si>
  <si>
    <t>Actividad / frente de trabajo</t>
  </si>
  <si>
    <t>Unidad</t>
  </si>
  <si>
    <t>Cantidad mensual</t>
  </si>
  <si>
    <t>Rendimiento (HH por unidad)</t>
  </si>
  <si>
    <t>HH requeridas</t>
  </si>
  <si>
    <t>Fuente ratio (Histórico/Benchmark/BT)</t>
  </si>
  <si>
    <t>Comentarios</t>
  </si>
  <si>
    <t>Modalidad trabajo</t>
  </si>
  <si>
    <t>%Teletrabajo</t>
  </si>
  <si>
    <t>N° personas</t>
  </si>
  <si>
    <t>HH día turno (ref)</t>
  </si>
  <si>
    <t>Días presentes Ene</t>
  </si>
  <si>
    <t>Días mes Ene</t>
  </si>
  <si>
    <t>Factor mes Ene</t>
  </si>
  <si>
    <t>FTE Ene</t>
  </si>
  <si>
    <t>Días presentes Feb</t>
  </si>
  <si>
    <t>Días mes Feb</t>
  </si>
  <si>
    <t>Factor mes Feb</t>
  </si>
  <si>
    <t>FTE Feb</t>
  </si>
  <si>
    <t>Días presentes Mar</t>
  </si>
  <si>
    <t>Días mes Mar</t>
  </si>
  <si>
    <t>Factor mes Mar</t>
  </si>
  <si>
    <t>FTE Mar</t>
  </si>
  <si>
    <t>Días presentes Abr</t>
  </si>
  <si>
    <t>Días mes Abr</t>
  </si>
  <si>
    <t>Factor mes Abr</t>
  </si>
  <si>
    <t>FTE Abr</t>
  </si>
  <si>
    <t>Días presentes May</t>
  </si>
  <si>
    <t>Días mes May</t>
  </si>
  <si>
    <t>Factor mes May</t>
  </si>
  <si>
    <t>FTE May</t>
  </si>
  <si>
    <t>Días presentes Jun</t>
  </si>
  <si>
    <t>Días mes Jun</t>
  </si>
  <si>
    <t>Factor mes Jun</t>
  </si>
  <si>
    <t>FTE Jun</t>
  </si>
  <si>
    <t>Días presentes Jul</t>
  </si>
  <si>
    <t>Días mes Jul</t>
  </si>
  <si>
    <t>Factor mes Jul</t>
  </si>
  <si>
    <t>FTE Jul</t>
  </si>
  <si>
    <t>Días presentes Ago</t>
  </si>
  <si>
    <t>Días mes Ago</t>
  </si>
  <si>
    <t>Factor mes Ago</t>
  </si>
  <si>
    <t>FTE Ago</t>
  </si>
  <si>
    <t>Días presentes Sep</t>
  </si>
  <si>
    <t>Días mes Sep</t>
  </si>
  <si>
    <t>Factor mes Sep</t>
  </si>
  <si>
    <t>FTE Sep</t>
  </si>
  <si>
    <t>Días presentes Oct</t>
  </si>
  <si>
    <t>Días mes Oct</t>
  </si>
  <si>
    <t>Factor mes Oct</t>
  </si>
  <si>
    <t>FTE Oct</t>
  </si>
  <si>
    <t>Días presentes Nov</t>
  </si>
  <si>
    <t>Días mes Nov</t>
  </si>
  <si>
    <t>Factor mes Nov</t>
  </si>
  <si>
    <t>FTE Nov</t>
  </si>
  <si>
    <t>Días presentes Dic</t>
  </si>
  <si>
    <t>Días mes Dic</t>
  </si>
  <si>
    <t>Factor mes Dic</t>
  </si>
  <si>
    <t>FTE Dic</t>
  </si>
  <si>
    <t>FTE anual (suma meses)</t>
  </si>
  <si>
    <t>FTE terreno anual</t>
  </si>
  <si>
    <t>Observaciones</t>
  </si>
  <si>
    <t>Contrato comparable</t>
  </si>
  <si>
    <t>Año</t>
  </si>
  <si>
    <t>FTE referencia</t>
  </si>
  <si>
    <t>FTE propuesto (anual)</t>
  </si>
  <si>
    <t>Delta %</t>
  </si>
  <si>
    <t>¿Dentro de rango? (±10%)</t>
  </si>
  <si>
    <t>Justificación</t>
  </si>
  <si>
    <t>Cumple rangos de razonabilidad (Sí/No)</t>
  </si>
  <si>
    <t>Cumple ratios técnicos (Sí/No)</t>
  </si>
  <si>
    <t>Cumple benchmark interno (Sí/No)</t>
  </si>
  <si>
    <t>Observaciones GST</t>
  </si>
  <si>
    <t>Ajuste aplicado (Sí/No)</t>
  </si>
  <si>
    <t>FTE original (anual)</t>
  </si>
  <si>
    <t>FTE ajustado (anual)</t>
  </si>
  <si>
    <t>Motivo ajuste</t>
  </si>
  <si>
    <t>Fecha validación</t>
  </si>
  <si>
    <t>Responsable validación</t>
  </si>
  <si>
    <t>Sí</t>
  </si>
  <si>
    <t>No</t>
  </si>
  <si>
    <t>Resumen Ejecutivo – Presupuesto Dotacional</t>
  </si>
  <si>
    <t>FTE contractual (anual estimado)</t>
  </si>
  <si>
    <t>FTE presupuestado (anual)</t>
  </si>
  <si>
    <t>Brecha % (ppto vs contractual)</t>
  </si>
  <si>
    <t>FTE terreno (anual)</t>
  </si>
  <si>
    <t>% teletrabajo ponderado (referencial)</t>
  </si>
  <si>
    <t>Clasificación FTE (cerrada)</t>
  </si>
  <si>
    <t>CAPEX - Permanente (&gt;6 meses)</t>
  </si>
  <si>
    <t>CAPEX - Temporal (&lt;6 meses)</t>
  </si>
  <si>
    <t>CAPEX - Fuera de Faena MLP</t>
  </si>
  <si>
    <t>OPEX - Permanente (&gt;6 meses)</t>
  </si>
  <si>
    <t>OPEX - Temporal (&lt;6 meses)</t>
  </si>
  <si>
    <t>OPEX - Mantención Mayor / Campaña (Temporal)</t>
  </si>
  <si>
    <t>OPEX - Fuera de Faena MLP</t>
  </si>
  <si>
    <t>Teletrabajo - CAPEX Permanente</t>
  </si>
  <si>
    <t>Teletrabajo - CAPEX Temporal</t>
  </si>
  <si>
    <t>Teletrabajo - OPEX Permanente</t>
  </si>
  <si>
    <t>Teletrabajo - OPEX Temporal</t>
  </si>
  <si>
    <t>Días laborables</t>
  </si>
  <si>
    <t>4x3</t>
  </si>
  <si>
    <t>4x4</t>
  </si>
  <si>
    <t>5x2</t>
  </si>
  <si>
    <t>6x1</t>
  </si>
  <si>
    <t>7x7</t>
  </si>
  <si>
    <t>8x6 Ordinaria</t>
  </si>
  <si>
    <t>9x5</t>
  </si>
  <si>
    <t>10x5</t>
  </si>
  <si>
    <t>10x10</t>
  </si>
  <si>
    <t>14x7</t>
  </si>
  <si>
    <t>14x14</t>
  </si>
  <si>
    <t>15x15</t>
  </si>
  <si>
    <t>20x10</t>
  </si>
  <si>
    <t>Art.22 inc.2(4x3)</t>
  </si>
  <si>
    <t>Art.22 inc.2(5x2)</t>
  </si>
  <si>
    <t>Art.25 bis</t>
  </si>
  <si>
    <t>Art.26 bis</t>
  </si>
  <si>
    <t>Jornada Parcial</t>
  </si>
  <si>
    <t>P.Planta</t>
  </si>
  <si>
    <t>Temporal</t>
  </si>
  <si>
    <t>Listas para validaciones (hoja técnica)</t>
  </si>
  <si>
    <t>TipoContrato</t>
  </si>
  <si>
    <t>ViaFinanc</t>
  </si>
  <si>
    <t>Madurez</t>
  </si>
  <si>
    <t>Continuidad</t>
  </si>
  <si>
    <t>Alcance</t>
  </si>
  <si>
    <t>CondicionContractual</t>
  </si>
  <si>
    <t>ImpactoDotacion</t>
  </si>
  <si>
    <t>ModalidadTrabajo</t>
  </si>
  <si>
    <t>PermTemporal</t>
  </si>
  <si>
    <t>DirectaIndirecta</t>
  </si>
  <si>
    <t>TipoTemporal</t>
  </si>
  <si>
    <t>PU</t>
  </si>
  <si>
    <t>OPEX</t>
  </si>
  <si>
    <t>1</t>
  </si>
  <si>
    <t>Continuo</t>
  </si>
  <si>
    <t>Año completo</t>
  </si>
  <si>
    <t>Contrato vigente</t>
  </si>
  <si>
    <t>Sin cambio relevante</t>
  </si>
  <si>
    <t>Presencial</t>
  </si>
  <si>
    <t>0%</t>
  </si>
  <si>
    <t>Permanente</t>
  </si>
  <si>
    <t>Directa</t>
  </si>
  <si>
    <t>N/A</t>
  </si>
  <si>
    <t>12x4</t>
  </si>
  <si>
    <t>SA</t>
  </si>
  <si>
    <t>CAPEX</t>
  </si>
  <si>
    <t>2</t>
  </si>
  <si>
    <t>En transición / reemplazo</t>
  </si>
  <si>
    <t>Parcial (inicio o término durante el año)</t>
  </si>
  <si>
    <t>Contrato por relicitar</t>
  </si>
  <si>
    <t>Aumento esperado de dotación</t>
  </si>
  <si>
    <t>Teletrabajo</t>
  </si>
  <si>
    <t>20%</t>
  </si>
  <si>
    <t>Indirecta</t>
  </si>
  <si>
    <t>Temporal continuo</t>
  </si>
  <si>
    <t>12x7</t>
  </si>
  <si>
    <t>Mixto</t>
  </si>
  <si>
    <t>3</t>
  </si>
  <si>
    <t>Nuevo / TBD</t>
  </si>
  <si>
    <t>Servicio nuevo sin contrato</t>
  </si>
  <si>
    <t>Disminución esperada de dotación</t>
  </si>
  <si>
    <t>50%</t>
  </si>
  <si>
    <t>Temporal discontinuo</t>
  </si>
  <si>
    <t>8x5</t>
  </si>
  <si>
    <t>80%</t>
  </si>
  <si>
    <t>Temporal parcial</t>
  </si>
  <si>
    <t>Otra</t>
  </si>
  <si>
    <t>100%</t>
  </si>
  <si>
    <t>Mantención mayor / campaña</t>
  </si>
  <si>
    <t>Índice Template Presupuesto Dotacional</t>
  </si>
  <si>
    <t>01_Identificación</t>
  </si>
  <si>
    <t>Identificación del Servicio / Contrato</t>
  </si>
  <si>
    <t>Nombre Hoja</t>
  </si>
  <si>
    <t>Título</t>
  </si>
  <si>
    <t xml:space="preserve">Descripción </t>
  </si>
  <si>
    <t>Dotación Contractual Base</t>
  </si>
  <si>
    <t>03_Supuestos_Ratios</t>
  </si>
  <si>
    <t>Supuestos Técnicos y Ratios de Dimensionamiento</t>
  </si>
  <si>
    <t>Presupuestación FTE Mensualizada</t>
  </si>
  <si>
    <t>Benchmark y Comparabilidad</t>
  </si>
  <si>
    <t>04_Ppto_FTE_Mensual</t>
  </si>
  <si>
    <t>05_Benchmark</t>
  </si>
  <si>
    <t>06_Validación_GST</t>
  </si>
  <si>
    <t>Validación GST y Resolución de Discrepancias</t>
  </si>
  <si>
    <t>Registra el proceso de revisión y validación técnica de la dotación presupuestada por parte de Gestión de Servicios Terceros (GST), incluyendo observaciones, ajustes aplicados y su justificación. Esta hoja materializa el rol de GST como garante del cumplimiento de los criterios de razonabilidad y del límite dotacional aprobado.</t>
  </si>
  <si>
    <t>Resumen Ejecutivo</t>
  </si>
  <si>
    <t>07_Resumen_Ejecutivo</t>
  </si>
  <si>
    <t>Presenta una vista consolidada y sintética del presupuesto dotacional, con los principales totales, brechas e indicadores relevantes para la toma de decisiones ejecutivas. Está orientada a facilitar la revisión gerencial y la aprobación del presupuesto, sin reemplazar el detalle técnico de las hojas anteriores.</t>
  </si>
  <si>
    <t>02_Dotación_Contractual</t>
  </si>
  <si>
    <r>
      <t xml:space="preserve">Contiene la </t>
    </r>
    <r>
      <rPr>
        <b/>
        <sz val="11"/>
        <color theme="1"/>
        <rFont val="Calibri"/>
        <family val="2"/>
        <scheme val="minor"/>
      </rPr>
      <t>información general del servicio</t>
    </r>
    <r>
      <rPr>
        <sz val="11"/>
        <color theme="1"/>
        <rFont val="Calibri"/>
        <family val="2"/>
        <scheme val="minor"/>
      </rPr>
      <t xml:space="preserve">, contrato y responsables, así como la caracterización de su continuidad, alcance y </t>
    </r>
    <r>
      <rPr>
        <b/>
        <sz val="11"/>
        <color theme="1"/>
        <rFont val="Calibri"/>
        <family val="2"/>
        <scheme val="minor"/>
      </rPr>
      <t>condición contractual al momento de la presupuestación</t>
    </r>
    <r>
      <rPr>
        <sz val="11"/>
        <color theme="1"/>
        <rFont val="Calibri"/>
        <family val="2"/>
        <scheme val="minor"/>
      </rPr>
      <t>. Esta hoja permite contextualizar la dotación presupuestada, identificando servicios continuos, en transición o nuevos, y entregando trazabilidad para el análisis posterior de desviaciones.</t>
    </r>
  </si>
  <si>
    <t>96_Clasificación_Dotacional</t>
  </si>
  <si>
    <t>97_Factor_Mes</t>
  </si>
  <si>
    <t>98_Turnos_SIGA</t>
  </si>
  <si>
    <t>99_Listas</t>
  </si>
  <si>
    <t>Contiene el catálogo cerrado de clasificaciones dotacionales autorizadas para el proceso de presupuestación, incluyendo distinción por tipo de financiamiento, permanencia, temporalidad, ejecución fuera de faena y teletrabajo. Esta hoja asegura consistencia en la clasificación y evita interpretaciones discrecionales.</t>
  </si>
  <si>
    <t>Clasificación Dotacional (Cerrada)</t>
  </si>
  <si>
    <t>Define los factores FTE mensuales utilizados para el cálculo de dotación, en función de la cantidad de días del mes calendario. Esta hoja estandariza el cálculo de FTE y garantiza consistencia con los criterios corporativos vigentes.</t>
  </si>
  <si>
    <t>Factores FTE por Mes Calendario</t>
  </si>
  <si>
    <t>Tabla de Turnos y Horas Hombre (SIGA)</t>
  </si>
  <si>
    <t>Consolida la tabla de turnos estándar y sus respectivas horas hombre diarias, utilizada como referencia oficial para el cálculo de FTE. Esta hoja asegura alineamiento entre el presupuesto dotacional y los parámetros operativos definidos en los sistemas corporativos.</t>
  </si>
  <si>
    <t>Listas de Validación y Parámetros</t>
  </si>
  <si>
    <t>Hoja técnica destinada a soportar listas desplegables y validaciones de datos utilizadas en el template, tales como tipos de contrato, modalidades de trabajo y niveles de madurez. No contiene información de análisis y se utiliza exclusivamente como soporte de consistencia del modelo.</t>
  </si>
  <si>
    <r>
      <rPr>
        <b/>
        <sz val="11"/>
        <color theme="1"/>
        <rFont val="Calibri"/>
        <family val="2"/>
        <scheme val="minor"/>
      </rPr>
      <t>Registra la dotación contractual vigente que sirve como línea base</t>
    </r>
    <r>
      <rPr>
        <sz val="11"/>
        <color theme="1"/>
        <rFont val="Calibri"/>
        <family val="2"/>
        <scheme val="minor"/>
      </rPr>
      <t xml:space="preserve"> de comparación para el proceso de presupuestación y control dotacional. Incluye la caracterización de cargos, tipo de dotación, jornada y factor FTE, permitiendo identificar brechas entre lo contratado y lo presupuestado.</t>
    </r>
  </si>
  <si>
    <r>
      <t xml:space="preserve">Consolida los supuestos técnicos utilizados para dimensionar la dotación presupuestada, tales como volúmenes de actividad, rendimientos, horas hombre requeridas y ratios de referencia. Esta hoja sustenta los </t>
    </r>
    <r>
      <rPr>
        <b/>
        <sz val="11"/>
        <color theme="1"/>
        <rFont val="Calibri"/>
        <family val="2"/>
        <scheme val="minor"/>
      </rPr>
      <t>criterios de razonabilidad</t>
    </r>
    <r>
      <rPr>
        <sz val="11"/>
        <color theme="1"/>
        <rFont val="Calibri"/>
        <family val="2"/>
        <scheme val="minor"/>
      </rPr>
      <t xml:space="preserve"> definidos en el procedimiento, reduciendo la subjetividad en la construcción del presupuesto.</t>
    </r>
  </si>
  <si>
    <r>
      <t>Corresponde al</t>
    </r>
    <r>
      <rPr>
        <b/>
        <sz val="11"/>
        <color theme="1"/>
        <rFont val="Calibri"/>
        <family val="2"/>
        <scheme val="minor"/>
      </rPr>
      <t xml:space="preserve"> detalle de la dotación FTE presupuestada, distribuida mensualmente a lo largo del año</t>
    </r>
    <r>
      <rPr>
        <sz val="11"/>
        <color theme="1"/>
        <rFont val="Calibri"/>
        <family val="2"/>
        <scheme val="minor"/>
      </rPr>
      <t>, diferenciando tipo de dotación, modalidad de trabajo (presencial, teletrabajo o mixta) y FTE efectivo en terreno. Constituye el núcleo del presupuesto dotacional y la referencia para el control y análisis posterior.</t>
    </r>
  </si>
  <si>
    <r>
      <t>Permite contrastar la dotación presupuestada con</t>
    </r>
    <r>
      <rPr>
        <b/>
        <sz val="11"/>
        <color theme="1"/>
        <rFont val="Calibri"/>
        <family val="2"/>
        <scheme val="minor"/>
      </rPr>
      <t xml:space="preserve"> contratos o servicios similares,</t>
    </r>
    <r>
      <rPr>
        <sz val="11"/>
        <color theme="1"/>
        <rFont val="Calibri"/>
        <family val="2"/>
        <scheme val="minor"/>
      </rPr>
      <t xml:space="preserve"> utilizando benchmarks internos u otras referencias técnicas. Su objetivo es verificar que la dotación propuesta se encuentre dentro de rangos razonables y dejar respaldo explícito en caso de desviaciones justificadas.</t>
    </r>
  </si>
  <si>
    <t>Glosario</t>
  </si>
  <si>
    <t xml:space="preserve">Clasificación dotacional </t>
  </si>
  <si>
    <t>Cantidad de trabajadores comprometidos contractualmente para el cargo.
Campo numérico.</t>
  </si>
  <si>
    <t>*registro de si se validó la catego.</t>
  </si>
  <si>
    <t>*Validación de categorización por GST</t>
  </si>
  <si>
    <t>Check (si/no)</t>
  </si>
  <si>
    <t>Unidad organizacional superior responsable del contrato.</t>
  </si>
  <si>
    <t>Subunidad organizacional dependiente de la gerencia que administra directamente el servicio.</t>
  </si>
  <si>
    <t xml:space="preserve">Superintendencia </t>
  </si>
  <si>
    <t>Área operacional o funcional que recibe y utiliza el servicio contratado.</t>
  </si>
  <si>
    <t>Área organizacional a la que pertenece el Administrador de Contrato.</t>
  </si>
  <si>
    <t xml:space="preserve"> Administrador de Contrato designado formalmente por Minera Los Pelambres para la gestión del servicio.</t>
  </si>
  <si>
    <t>Identificador único del contrato en el sistema SAP.</t>
  </si>
  <si>
    <t xml:space="preserve"> Denominación formal del servicio según el instrumento contractual vigente.</t>
  </si>
  <si>
    <t xml:space="preserve"> Razón social de la empresa contratista adjudicada</t>
  </si>
  <si>
    <t xml:space="preserve">Tipo de contrato (PU/SA/Mixto) </t>
  </si>
  <si>
    <t xml:space="preserve"> Clasificación contable del gasto conforme a la estructura SAP.</t>
  </si>
  <si>
    <t xml:space="preserve"> Fecha formal de inicio establecida en el contrato.</t>
  </si>
  <si>
    <t>Fecha formal de término establecida en el contrato.</t>
  </si>
  <si>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Clasificación de la naturaleza del servicio en términos de permanencia (continuo, transitorio o proyecto).</t>
    </r>
  </si>
  <si>
    <t>Fecha real en que comenzó la ejecución del servicio.</t>
  </si>
  <si>
    <t xml:space="preserve"> Condición contractual al presupuestar</t>
  </si>
  <si>
    <t xml:space="preserve"> Fecha real en que finalizó la ejecución del servicio (si aplica).</t>
  </si>
  <si>
    <t xml:space="preserve"> Indica si el contrato corresponde a continuidad, reemplazo o nueva contratación.</t>
  </si>
  <si>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Variación proyectada de dotación asociada al presupuesto (mantención, aumento, disminución o reestructuración).</t>
    </r>
  </si>
  <si>
    <t xml:space="preserve"> Indica si el contrato contempla dotación administrativa o de soporte no directamente operacional.</t>
  </si>
  <si>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Denominación del rol o función definida contractualmente para el servicio.</t>
    </r>
  </si>
  <si>
    <t>Categoría estandarizada que define el tipo de dotación según su fuente de financiamiento (OPEX/CAPEX), su carácter permanente o temporal y, cuando aplica, su modalidad especial (teletrabajo, fuera de faena o campaña). Permite distinguir dotación estructural de variaciones transitorias para efectos de control dotacional y presupuestario.</t>
  </si>
  <si>
    <t xml:space="preserve"> Condición estructural del cargo dentro del contrato, indicando si corresponde a dotación estable del servicio o a requerimiento transitorio.Cargo estructural del servicio, requerido de manera continua durante la vigencia contractual y necesario para la operación base.</t>
  </si>
  <si>
    <t>Descripción del alcance considerado en el ejercicio presupuestario.</t>
  </si>
  <si>
    <t>Clasificación específica aplicable cuando el cargo es temporal.</t>
  </si>
  <si>
    <t>Nivel de desarrollo del control dotacional proyectado según estándar metodológico GST.</t>
  </si>
  <si>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Dotación adicional asociada a actividades extraordinarias de mantención o campañas operacionales.</t>
    </r>
  </si>
  <si>
    <t>Naturaleza de la dotación respecto de la operación.</t>
  </si>
  <si>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Esquema bajo el cual se ejecuta la función.</t>
    </r>
  </si>
  <si>
    <r>
      <t xml:space="preserve"> </t>
    </r>
    <r>
      <rPr>
        <sz val="11"/>
        <color theme="1"/>
        <rFont val="Calibri"/>
        <family val="2"/>
        <scheme val="minor"/>
      </rPr>
      <t>Porcentaje de jornada ejecutado en modalidad remota.</t>
    </r>
  </si>
  <si>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Estructura de turno contractual asociada al cargo.</t>
    </r>
  </si>
  <si>
    <t>Tipo de jornada laboral asociada.</t>
  </si>
  <si>
    <r>
      <t xml:space="preserve"> </t>
    </r>
    <r>
      <rPr>
        <sz val="11"/>
        <color theme="1"/>
        <rFont val="Calibri"/>
        <family val="2"/>
        <scheme val="minor"/>
      </rPr>
      <t>Cantidad de días efectivos considerados para el cálculo mensual.</t>
    </r>
  </si>
  <si>
    <t>Total de días del mes calendario correspondiente.
Campo numérico.</t>
  </si>
  <si>
    <r>
      <t xml:space="preserve"> </t>
    </r>
    <r>
      <rPr>
        <sz val="11"/>
        <color theme="1"/>
        <rFont val="Calibri"/>
        <family val="2"/>
        <scheme val="minor"/>
      </rPr>
      <t>Factor de equivalencia utilizado para convertir la dotación contractual a FTE mensual.</t>
    </r>
  </si>
  <si>
    <t>Horas hombre asociadas a un día de turno del cargo.</t>
  </si>
  <si>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Dotación equivalente a tiempo completo correspondiente al cargo en el mes.
Campo calculado</t>
    </r>
  </si>
  <si>
    <t>Campo de texto libre destinado a registrar aclaraciones relevantes sobre condiciones particulares del cargo.</t>
  </si>
  <si>
    <t xml:space="preserve"> Actividad específica o frente operacional para el cual se define el ratio (unidad de análisis del cálculo).</t>
  </si>
  <si>
    <t>Unidad de medida de la actividad (base sobre la cual se expresa el rendimiento; p. ej., “m”, “t”, “viajes”, “equipos”, etc., según corresponda).</t>
  </si>
  <si>
    <r>
      <t xml:space="preserve"> </t>
    </r>
    <r>
      <rPr>
        <sz val="11"/>
        <color theme="1"/>
        <rFont val="Calibri"/>
        <family val="2"/>
        <scheme val="minor"/>
      </rPr>
      <t>Volumen mensual estimado de la actividad en la unidad definida.</t>
    </r>
  </si>
  <si>
    <t>Factor de consumo de horas-hombre por unidad de actividad (productividad/rendimiento adoptado para el cálculo).</t>
  </si>
  <si>
    <t>Origen del ratio utilizado para sustento y trazabilidad del supuesto.</t>
  </si>
  <si>
    <t xml:space="preserve"> Justificación breve del supuesto (contexto, restricciones, alcance, consideraciones de turno/condición, supuestos críticos).</t>
  </si>
  <si>
    <t>Rol definido en la hoja de Dotación Contractual sobre el cual se proyecta FTE mensual.</t>
  </si>
  <si>
    <t>Clasificación dotacional</t>
  </si>
  <si>
    <t>Categoría estructural del cargo (OPEX/CAPEX, permanente/temporal, etc.) que condiciona su análisis presupuestario.</t>
  </si>
  <si>
    <t>Diferencia entre el FTE presupuestado mensual y el FTE base contractual.</t>
  </si>
  <si>
    <t>Brecha acumulada entre dotación contractual y proyectada en el período.</t>
  </si>
  <si>
    <t>Suma anual de FTE presupuestado, utilizada para análisis consolidado.</t>
  </si>
  <si>
    <t>Promedio mensual de FTE proyectado en el año presupuestario.</t>
  </si>
  <si>
    <t>Diferencia sostenida entre dotación contractual y presupuestada que podría indicar sobredotación o subdotación estructural.</t>
  </si>
  <si>
    <t>Fundamento técnico que explica aumentos o disminuciones proyectadas respecto de la base contractual.</t>
  </si>
  <si>
    <t>Centro de costo</t>
  </si>
  <si>
    <t>SI.ERROR(FTE Anual × (1 − % Teletrabajo); 0)</t>
  </si>
  <si>
    <t>Días  presentes Mes</t>
  </si>
  <si>
    <t>Días Mes</t>
  </si>
  <si>
    <t>FTE mes</t>
  </si>
  <si>
    <t>Factor mes</t>
  </si>
  <si>
    <t>% Teletrabajo</t>
  </si>
  <si>
    <t xml:space="preserve">Jornada </t>
  </si>
  <si>
    <t xml:space="preserve">N° personas contractuales </t>
  </si>
  <si>
    <t xml:space="preserve">N° días mes calendario  </t>
  </si>
  <si>
    <t xml:space="preserve">HH día turno  </t>
  </si>
  <si>
    <t xml:space="preserve">FTE contractual (mes) </t>
  </si>
  <si>
    <t xml:space="preserve">Observación contractual </t>
  </si>
  <si>
    <t>Validación de categorización</t>
  </si>
  <si>
    <t xml:space="preserve">Fuente ratio (Histórico/Benchmark/BT) </t>
  </si>
  <si>
    <t xml:space="preserve"> Modalidad contractual que define la estructura de pago PU Precio Unitario; SA Suma Alzada; Mixto combinación de ambas</t>
  </si>
  <si>
    <t xml:space="preserve"> Clasificación presupuestaria del servicio según su fuente de financiamiento OPEX gasto operacional recurrente; CAPEX gasto asociado a inversión o proyecto.</t>
  </si>
  <si>
    <t xml:space="preserve"> Estructura contable donde se imputa el gasto del servicio
CECO para operación
Elemento PEP u Orden Interna para inversión</t>
  </si>
  <si>
    <t>Temporal continuo Dotación transitoria requerida de forma continua por un período definido.</t>
  </si>
  <si>
    <t>Temporal discontinuo Dotación transitoria que se activa en períodos o eventos específicos.</t>
  </si>
  <si>
    <t>Temporal parcial Dotación transitoria que cubre solo parte de la jornada o del alcance del servicio</t>
  </si>
  <si>
    <t>Directa Dotación que ejecuta directamente la actividad principal del servicio.</t>
  </si>
  <si>
    <t>Indirecta Dotación de apoyo o soporte que no participa directamente en la ejecución operacional.</t>
  </si>
  <si>
    <t xml:space="preserve">Dotación equivalente anual correspondiente a presencia física en terreno, calculada descontando el porcentaje de teletrabajo respecto del FTE anual total.
Se obtiene mediante la siguiente expresión de cálculo
</t>
  </si>
  <si>
    <t>Actividad / frente de trabajo Actividad específica o frente operacional para el cual se define el ratio (unidad de análisis del cálculo).</t>
  </si>
  <si>
    <t>Unidad Unidad de medida de la actividad (base sobre la cual se expresa el rendimiento; p. ej., “m”, “t”, “viajes”, “equipos”, etc., según corresponda).</t>
  </si>
  <si>
    <t>Cantidad mensual Volumen mensual estimado de la actividad en la unidad definida.</t>
  </si>
  <si>
    <t>Rendimiento (HH por unidad) Factor de consumo de horas-hombre por unidad de actividad (productividad/rendimiento adoptado para el cálculo).</t>
  </si>
  <si>
    <t>Comentarios Justificación breve del supuesto (contexto, restricciones, alcance, consideraciones de turno/condición, supuestos críticos).</t>
  </si>
  <si>
    <t>Histórico ratio derivado de desempeño real observado (ejecución/LAR/meses anteriores).</t>
  </si>
  <si>
    <t>Benchmark ratio referenciado contra estándar interno/externo comparable (servicios similares/industria).</t>
  </si>
  <si>
    <t>BT ratio definido como “baseline/teórico” del modelo (supuesto técnico base cuando no hay histórico comparable o para proyección objetivo).</t>
  </si>
  <si>
    <t xml:space="preserve">Área usuaria </t>
  </si>
  <si>
    <t xml:space="preserve">Área AdC MLP </t>
  </si>
  <si>
    <t xml:space="preserve">Número de contrato </t>
  </si>
  <si>
    <t xml:space="preserve">Empresa </t>
  </si>
  <si>
    <t xml:space="preserve">CECO o Elemento PEP </t>
  </si>
  <si>
    <t>Clase de Costo</t>
  </si>
  <si>
    <t xml:space="preserve">Fecha término contrato </t>
  </si>
  <si>
    <t xml:space="preserve">Fecha inicio efectiva </t>
  </si>
  <si>
    <t xml:space="preserve">Servicio origen/destino </t>
  </si>
  <si>
    <t xml:space="preserve">Impacto esperado en dotación </t>
  </si>
  <si>
    <t xml:space="preserve">Tipo temporal </t>
  </si>
  <si>
    <t xml:space="preserve">Nivel de madurez esperado (1/2/3) </t>
  </si>
  <si>
    <t xml:space="preserve">Mantención mayor / campaña </t>
  </si>
  <si>
    <t xml:space="preserve">Directa/Indirecta </t>
  </si>
  <si>
    <t xml:space="preserve">Unidad </t>
  </si>
  <si>
    <t xml:space="preserve">Rendimiento (HH por unidad) </t>
  </si>
  <si>
    <t>Cantidad de días efectivamente trabajados en el mes, utilizados como base para el cálculo del FTE mensual.</t>
  </si>
  <si>
    <t>Número de días calendario del mes correspondiente, utilizado como referencia para el cálculo del FTE mensual.</t>
  </si>
  <si>
    <t>Total de horas base del mes calendario, determinado según el número de días del mes. Se utiliza como denominador para convertir horas trabajadas en FTE mensual equivalente.</t>
  </si>
  <si>
    <t>Se determina automáticamente mediante búsqueda en la tabla técnica de factores mensuales:</t>
  </si>
  <si>
    <t>Factor Mes = SI.ERROR( BUSCARV( Días Mes ; tbFactorMes ; 2 ; FALSO ) ; """" )</t>
  </si>
  <si>
    <t>Donde:</t>
  </si>
  <si>
    <t>Días Mes corresponde al número de días calendario del mes.</t>
  </si>
  <si>
    <t>En caso de no encontrarse el valor en la tabla, el resultado se deja en blanco.</t>
  </si>
  <si>
    <t>Suma de los FTE mensuales proyectados durante el período presupuestario.</t>
  </si>
  <si>
    <t xml:space="preserve">FTE Anual </t>
  </si>
  <si>
    <t xml:space="preserve">    </t>
  </si>
  <si>
    <t>Tipología estandarizada que categoriza cada FTE según su fuente de financiamiento, duración contractual y modalidad de ejecución, conforme al Árbol de Decisión Dotacional GST.</t>
  </si>
  <si>
    <t>Permite distinguir dotación estructural, transitoria o especial para efectos de control presupuestario y análisis de brechas.</t>
  </si>
  <si>
    <t>CAPEX – Permanente (&gt;6 meses)</t>
  </si>
  <si>
    <t>CAPEX – Temporal (&lt;6 meses)</t>
  </si>
  <si>
    <t>CAPEX – Fuera de Faena MLP</t>
  </si>
  <si>
    <t>OPEX – Permanente (&gt;6 meses)</t>
  </si>
  <si>
    <t>OPEX – Temporal (&lt;6 meses)</t>
  </si>
  <si>
    <t>OPEX – Mantención Mayor / Campaña (Temporal)</t>
  </si>
  <si>
    <t>OPEX – Fuera de Faena MLP</t>
  </si>
  <si>
    <t>Teletrabajo – CAPEX Permanente</t>
  </si>
  <si>
    <t>Teletrabajo – CAPEX Temporal</t>
  </si>
  <si>
    <t>Teletrabajo – OPEX Permanente</t>
  </si>
  <si>
    <t>Teletrabajo – OPEX Temporal</t>
  </si>
  <si>
    <t>FTE financiado con inversión, asociado a proyecto vigente con duración superior a seis meses.</t>
  </si>
  <si>
    <t>FTE financiado con inversión, vinculado a actividad o fase de proyecto de duración inferior a seis meses.</t>
  </si>
  <si>
    <t>FTE financiado con inversión cuya ejecución se realiza fuera de instalaciones MLP.</t>
  </si>
  <si>
    <t>FTE financiado con presupuesto operacional, requerido de forma estructural y continua.</t>
  </si>
  <si>
    <t>FTE operacional asociado a necesidad transitoria de corta duración.</t>
  </si>
  <si>
    <t>FTE operacional adicional asociado a eventos extraordinarios como shutdown o campañas específicas.</t>
  </si>
  <si>
    <t>FTE operacional cuya ejecución ocurre fuera de instalaciones MLP.</t>
  </si>
  <si>
    <t>FTE de inversión estructural ejecutado bajo modalidad remota.</t>
  </si>
  <si>
    <t>FTE de inversión transitorio ejecutado bajo modalidad remota.</t>
  </si>
  <si>
    <t>FTE operacional estructural ejecutado bajo modalidad remota.</t>
  </si>
  <si>
    <t>FTE operacional transitorio ejecutado bajo modalidad remota.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</si>
</sst>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1"/>
      <color rgb="FF007C9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C00000"/>
        <bgColor indexed="64"/>
      </patternFill>
    </fill>
    <fill>
      <patternFill patternType="solid">
        <fgColor rgb="FF007C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3886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0" borderId="0" xfId="0" applyFont="1"/>
    <xf numFmtId="0" fontId="3" fillId="0" borderId="1" xfId="0" applyFont="1" applyBorder="1"/>
    <xf numFmtId="0" fontId="0" fillId="0" borderId="1" xfId="0" applyBorder="1"/>
    <xf numFmtId="10" fontId="0" fillId="0" borderId="1" xfId="0" applyNumberFormat="1" applyBorder="1"/>
    <xf numFmtId="0" fontId="5" fillId="0" borderId="1" xfId="0" applyFont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3" fillId="0" borderId="8" xfId="0" applyFont="1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9" xfId="0" applyFont="1" applyBorder="1" applyAlignment="1">
      <alignment horizontal="left" vertical="top"/>
    </xf>
    <xf numFmtId="0" fontId="3" fillId="0" borderId="6" xfId="0" applyFont="1" applyBorder="1" applyAlignment="1">
      <alignment vertical="top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top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6" xfId="0" applyFont="1" applyBorder="1" applyAlignment="1">
      <alignment vertical="top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0" fillId="0" borderId="10" xfId="0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0" borderId="14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3" fillId="0" borderId="2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top"/>
    </xf>
    <xf numFmtId="0" fontId="3" fillId="0" borderId="0" xfId="0" applyFont="1" applyAlignment="1">
      <alignment horizontal="right" vertical="top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7" xfId="0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20" fontId="3" fillId="0" borderId="2" xfId="0" applyNumberFormat="1" applyFont="1" applyBorder="1" applyAlignment="1">
      <alignment horizontal="right"/>
    </xf>
    <xf numFmtId="20" fontId="3" fillId="0" borderId="0" xfId="0" applyNumberFormat="1" applyFont="1" applyAlignment="1">
      <alignment horizontal="right"/>
    </xf>
    <xf numFmtId="20" fontId="0" fillId="0" borderId="2" xfId="0" applyNumberFormat="1" applyBorder="1" applyAlignment="1">
      <alignment horizontal="right"/>
    </xf>
    <xf numFmtId="20" fontId="0" fillId="0" borderId="0" xfId="0" applyNumberFormat="1" applyAlignment="1">
      <alignment horizontal="right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0" fillId="0" borderId="6" xfId="0" applyBorder="1" applyAlignment="1">
      <alignment horizontal="center" vertical="top" wrapText="1"/>
    </xf>
    <xf numFmtId="0" fontId="3" fillId="0" borderId="3" xfId="0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4" fillId="4" borderId="0" xfId="0" applyFont="1" applyFill="1" applyAlignment="1">
      <alignment horizontal="center" vertical="center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7C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339726</xdr:colOff>
      <xdr:row>0</xdr:row>
      <xdr:rowOff>0</xdr:rowOff>
    </xdr:from>
    <xdr:to>
      <xdr:col>9</xdr:col>
      <xdr:colOff>15876</xdr:colOff>
      <xdr:row>5</xdr:row>
      <xdr:rowOff>19242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E12F87-833C-D830-4523-AFB48E942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1576" y="171451"/>
          <a:ext cx="1200150" cy="924117"/>
        </a:xfrm>
        <a:prstGeom prst="rect">
          <a:avLst/>
        </a:prstGeom>
        <a:solidFill>
          <a:srgbClr val="007C92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349249</xdr:colOff>
      <xdr:row>0</xdr:row>
      <xdr:rowOff>95250</xdr:rowOff>
    </xdr:from>
    <xdr:to>
      <xdr:col>22</xdr:col>
      <xdr:colOff>350837</xdr:colOff>
      <xdr:row>33</xdr:row>
      <xdr:rowOff>169068</xdr:rowOff>
    </xdr:to>
    <xdr:pic>
      <xdr:nvPicPr>
        <xdr:cNvPr id="3" name="image8.png">
          <a:extLst>
            <a:ext uri="{FF2B5EF4-FFF2-40B4-BE49-F238E27FC236}">
              <a16:creationId xmlns:a16="http://schemas.microsoft.com/office/drawing/2014/main" id="{FC547144-0EBF-CAAF-D88E-A49E82887C9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9"/>
        <a:stretch>
          <a:fillRect/>
        </a:stretch>
      </xdr:blipFill>
      <xdr:spPr>
        <a:xfrm>
          <a:off x="2654299" y="95250"/>
          <a:ext cx="13376275" cy="5848349"/>
        </a:xfrm>
        <a:prstGeom prst="rect">
          <a:avLst/>
        </a:prstGeom>
        <a:ln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sidora Escobar" id="{426CD2CB-147E-4589-A678-6176F0F5337C}" userId="S::iescobar@eeccmlp.cl::71b43869-7193-4f52-a4ee-93b6b055632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Clasificacion" displayName="tbClasificacion" ref="A1:A12">
  <autoFilter ref="A1:A12" xr:uid="{00000000-0009-0000-0100-000001000000}"/>
  <tableColumns count="1">
    <tableColumn id="1" xr3:uid="{00000000-0010-0000-0000-000001000000}" name="Clasificación FTE (cerrada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FactorMes" displayName="tbFactorMes" ref="A1:B5">
  <autoFilter ref="A1:B5" xr:uid="{00000000-0009-0000-0100-000002000000}"/>
  <tableColumns count="2">
    <tableColumn id="1" xr3:uid="{00000000-0010-0000-0100-000001000000}" name="N° días mes calendario"/>
    <tableColumn id="2" xr3:uid="{00000000-0010-0000-0100-000002000000}" name="Factor FTE m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Turnos" displayName="tbTurnos" ref="A1:C21">
  <autoFilter ref="A1:C21" xr:uid="{00000000-0009-0000-0100-000003000000}"/>
  <tableColumns count="3">
    <tableColumn id="1" xr3:uid="{00000000-0010-0000-0200-000001000000}" name="Turno"/>
    <tableColumn id="2" xr3:uid="{00000000-0010-0000-0200-000002000000}" name="Días laborables"/>
    <tableColumn id="3" xr3:uid="{00000000-0010-0000-0200-000003000000}" name="HH día tur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" dT="2026-02-23T21:40:33.65" personId="{426CD2CB-147E-4589-A678-6176F0F5337C}" id="{79C873DA-3629-4232-8E28-3C9AF9264F51}">
    <text>En instructivo presupuetso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D3BA-518A-492E-A09D-4D6D16C2288A}">
  <dimension ref="B1:BC231"/>
  <sheetViews>
    <sheetView showGridLines="0" topLeftCell="A46" zoomScale="61" zoomScaleNormal="70" workbookViewId="0">
      <selection activeCell="W67" sqref="W67"/>
    </sheetView>
  </sheetViews>
  <sheetFormatPr baseColWidth="10" defaultRowHeight="14.5" x14ac:dyDescent="0.35"/>
  <cols>
    <col min="1" max="1" width="3.81640625" customWidth="1"/>
    <col min="2" max="2" width="24.453125" customWidth="1"/>
    <col min="3" max="3" width="33.54296875" customWidth="1"/>
    <col min="4" max="5" width="13.81640625" customWidth="1"/>
    <col min="10" max="10" width="15.7265625" customWidth="1"/>
    <col min="11" max="11" width="23.1796875" customWidth="1"/>
    <col min="20" max="20" width="11.453125" customWidth="1"/>
    <col min="21" max="21" width="7.54296875" customWidth="1"/>
    <col min="22" max="22" width="10" customWidth="1"/>
    <col min="23" max="23" width="6.81640625" customWidth="1"/>
    <col min="24" max="24" width="10.1796875" customWidth="1"/>
    <col min="25" max="25" width="8.26953125" customWidth="1"/>
    <col min="26" max="26" width="9.453125" customWidth="1"/>
    <col min="27" max="27" width="9" customWidth="1"/>
    <col min="28" max="28" width="8.26953125" customWidth="1"/>
    <col min="29" max="29" width="13.7265625" customWidth="1"/>
    <col min="30" max="30" width="10.54296875" customWidth="1"/>
    <col min="31" max="31" width="9.1796875" customWidth="1"/>
  </cols>
  <sheetData>
    <row r="1" spans="2:55" ht="14.5" customHeight="1" x14ac:dyDescent="0.35">
      <c r="B1" s="51" t="s">
        <v>206</v>
      </c>
      <c r="C1" s="51"/>
      <c r="D1" s="51"/>
      <c r="E1" s="51"/>
      <c r="F1" s="51"/>
      <c r="G1" s="51"/>
      <c r="H1" s="51"/>
    </row>
    <row r="2" spans="2:55" ht="14.5" customHeight="1" x14ac:dyDescent="0.35">
      <c r="B2" s="51"/>
      <c r="C2" s="51"/>
      <c r="D2" s="51"/>
      <c r="E2" s="51"/>
      <c r="F2" s="51"/>
      <c r="G2" s="51"/>
      <c r="H2" s="51"/>
    </row>
    <row r="3" spans="2:55" ht="14.5" customHeight="1" x14ac:dyDescent="0.35">
      <c r="B3" s="51"/>
      <c r="C3" s="51"/>
      <c r="D3" s="51"/>
      <c r="E3" s="51"/>
      <c r="F3" s="51"/>
      <c r="G3" s="51"/>
      <c r="H3" s="51"/>
    </row>
    <row r="4" spans="2:55" ht="14.5" customHeight="1" x14ac:dyDescent="0.35">
      <c r="B4" s="51"/>
      <c r="C4" s="51"/>
      <c r="D4" s="51"/>
      <c r="E4" s="51"/>
      <c r="F4" s="51"/>
      <c r="G4" s="51"/>
      <c r="H4" s="51"/>
    </row>
    <row r="5" spans="2:55" ht="14.5" customHeight="1" x14ac:dyDescent="0.35">
      <c r="B5" s="51"/>
      <c r="C5" s="51"/>
      <c r="D5" s="51"/>
      <c r="E5" s="51"/>
      <c r="F5" s="51"/>
      <c r="G5" s="51"/>
      <c r="H5" s="51"/>
    </row>
    <row r="6" spans="2:55" ht="7" customHeight="1" x14ac:dyDescent="0.35"/>
    <row r="7" spans="2:55" x14ac:dyDescent="0.35">
      <c r="B7" s="6" t="s">
        <v>209</v>
      </c>
      <c r="C7" s="6" t="s">
        <v>210</v>
      </c>
      <c r="D7" s="50" t="s">
        <v>211</v>
      </c>
      <c r="E7" s="50"/>
      <c r="F7" s="50"/>
      <c r="G7" s="50"/>
      <c r="H7" s="50"/>
      <c r="I7" s="50"/>
      <c r="J7" s="68" t="s">
        <v>243</v>
      </c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70"/>
    </row>
    <row r="8" spans="2:55" ht="14.5" customHeight="1" x14ac:dyDescent="0.35">
      <c r="B8" s="86" t="s">
        <v>207</v>
      </c>
      <c r="C8" s="33" t="s">
        <v>208</v>
      </c>
      <c r="D8" s="84" t="s">
        <v>226</v>
      </c>
      <c r="E8" s="84"/>
      <c r="F8" s="84"/>
      <c r="G8" s="84"/>
      <c r="H8" s="84"/>
      <c r="I8" s="85"/>
      <c r="J8" s="93" t="s">
        <v>0</v>
      </c>
      <c r="K8" s="94"/>
      <c r="L8" s="74" t="s">
        <v>249</v>
      </c>
      <c r="M8" s="74"/>
      <c r="N8" s="74"/>
      <c r="O8" s="74"/>
      <c r="P8" s="74"/>
      <c r="Q8" s="74"/>
      <c r="R8" s="74"/>
      <c r="S8" s="74"/>
      <c r="T8" s="74"/>
      <c r="U8" s="74"/>
      <c r="V8" s="75"/>
    </row>
    <row r="9" spans="2:55" x14ac:dyDescent="0.35">
      <c r="B9" s="87"/>
      <c r="C9" s="34"/>
      <c r="D9" s="84"/>
      <c r="E9" s="84"/>
      <c r="F9" s="84"/>
      <c r="G9" s="84"/>
      <c r="H9" s="84"/>
      <c r="I9" s="85"/>
      <c r="J9" s="89" t="s">
        <v>251</v>
      </c>
      <c r="K9" s="90"/>
      <c r="L9" s="63" t="s">
        <v>250</v>
      </c>
      <c r="M9" s="63"/>
      <c r="N9" s="63"/>
      <c r="O9" s="63"/>
      <c r="P9" s="63"/>
      <c r="Q9" s="63"/>
      <c r="R9" s="63"/>
      <c r="S9" s="63"/>
      <c r="T9" s="63"/>
      <c r="U9" s="63"/>
      <c r="V9" s="66"/>
    </row>
    <row r="10" spans="2:55" x14ac:dyDescent="0.35">
      <c r="B10" s="87"/>
      <c r="C10" s="34"/>
      <c r="D10" s="84"/>
      <c r="E10" s="84"/>
      <c r="F10" s="84"/>
      <c r="G10" s="84"/>
      <c r="H10" s="84"/>
      <c r="I10" s="85"/>
      <c r="J10" s="89" t="s">
        <v>334</v>
      </c>
      <c r="K10" s="90"/>
      <c r="L10" s="63" t="s">
        <v>252</v>
      </c>
      <c r="M10" s="63"/>
      <c r="N10" s="63"/>
      <c r="O10" s="63"/>
      <c r="P10" s="63"/>
      <c r="Q10" s="63"/>
      <c r="R10" s="63"/>
      <c r="S10" s="63"/>
      <c r="T10" s="63"/>
      <c r="U10" s="63"/>
      <c r="V10" s="66"/>
    </row>
    <row r="11" spans="2:55" x14ac:dyDescent="0.35">
      <c r="B11" s="87"/>
      <c r="C11" s="34"/>
      <c r="D11" s="84"/>
      <c r="E11" s="84"/>
      <c r="F11" s="84"/>
      <c r="G11" s="84"/>
      <c r="H11" s="84"/>
      <c r="I11" s="85"/>
      <c r="J11" s="89" t="s">
        <v>335</v>
      </c>
      <c r="K11" s="90"/>
      <c r="L11" s="63" t="s">
        <v>253</v>
      </c>
      <c r="M11" s="63"/>
      <c r="N11" s="63"/>
      <c r="O11" s="63"/>
      <c r="P11" s="63"/>
      <c r="Q11" s="63"/>
      <c r="R11" s="63"/>
      <c r="S11" s="63"/>
      <c r="T11" s="63"/>
      <c r="U11" s="63"/>
      <c r="V11" s="66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</row>
    <row r="12" spans="2:55" x14ac:dyDescent="0.35">
      <c r="B12" s="87"/>
      <c r="C12" s="34"/>
      <c r="D12" s="84"/>
      <c r="E12" s="84"/>
      <c r="F12" s="84"/>
      <c r="G12" s="84"/>
      <c r="H12" s="84"/>
      <c r="I12" s="85"/>
      <c r="J12" s="89" t="s">
        <v>4</v>
      </c>
      <c r="K12" s="90"/>
      <c r="L12" s="63" t="s">
        <v>254</v>
      </c>
      <c r="M12" s="63"/>
      <c r="N12" s="63"/>
      <c r="O12" s="63"/>
      <c r="P12" s="63"/>
      <c r="Q12" s="63"/>
      <c r="R12" s="63"/>
      <c r="S12" s="63"/>
      <c r="T12" s="63"/>
      <c r="U12" s="63"/>
      <c r="V12" s="66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</row>
    <row r="13" spans="2:55" ht="14.5" customHeight="1" x14ac:dyDescent="0.35">
      <c r="B13" s="87"/>
      <c r="C13" s="34"/>
      <c r="D13" s="84"/>
      <c r="E13" s="84"/>
      <c r="F13" s="84"/>
      <c r="G13" s="84"/>
      <c r="H13" s="84"/>
      <c r="I13" s="85"/>
      <c r="J13" s="89" t="s">
        <v>336</v>
      </c>
      <c r="K13" s="90"/>
      <c r="L13" s="63" t="s">
        <v>255</v>
      </c>
      <c r="M13" s="63"/>
      <c r="N13" s="63"/>
      <c r="O13" s="63"/>
      <c r="P13" s="63"/>
      <c r="Q13" s="63"/>
      <c r="R13" s="63"/>
      <c r="S13" s="63"/>
      <c r="T13" s="63"/>
      <c r="U13" s="63"/>
      <c r="V13" s="66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 spans="2:55" ht="15" customHeight="1" x14ac:dyDescent="0.35">
      <c r="B14" s="87"/>
      <c r="C14" s="34"/>
      <c r="D14" s="84"/>
      <c r="E14" s="84"/>
      <c r="F14" s="84"/>
      <c r="G14" s="84"/>
      <c r="H14" s="84"/>
      <c r="I14" s="85"/>
      <c r="J14" s="89" t="s">
        <v>6</v>
      </c>
      <c r="K14" s="90"/>
      <c r="L14" s="63" t="s">
        <v>256</v>
      </c>
      <c r="M14" s="63"/>
      <c r="N14" s="63"/>
      <c r="O14" s="63"/>
      <c r="P14" s="63"/>
      <c r="Q14" s="63"/>
      <c r="R14" s="63"/>
      <c r="S14" s="63"/>
      <c r="T14" s="63"/>
      <c r="U14" s="63"/>
      <c r="V14" s="66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2:55" ht="15" customHeight="1" x14ac:dyDescent="0.35">
      <c r="B15" s="87"/>
      <c r="C15" s="34"/>
      <c r="D15" s="84"/>
      <c r="E15" s="84"/>
      <c r="F15" s="84"/>
      <c r="G15" s="84"/>
      <c r="H15" s="84"/>
      <c r="I15" s="85"/>
      <c r="J15" s="89" t="s">
        <v>337</v>
      </c>
      <c r="K15" s="90"/>
      <c r="L15" s="63" t="s">
        <v>257</v>
      </c>
      <c r="M15" s="63"/>
      <c r="N15" s="63"/>
      <c r="O15" s="63"/>
      <c r="P15" s="63"/>
      <c r="Q15" s="63"/>
      <c r="R15" s="63"/>
      <c r="S15" s="63"/>
      <c r="T15" s="63"/>
      <c r="U15" s="63"/>
      <c r="V15" s="66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 spans="2:55" ht="15" customHeight="1" x14ac:dyDescent="0.35">
      <c r="B16" s="87"/>
      <c r="C16" s="34"/>
      <c r="D16" s="84"/>
      <c r="E16" s="84"/>
      <c r="F16" s="84"/>
      <c r="G16" s="84"/>
      <c r="H16" s="84"/>
      <c r="I16" s="85"/>
      <c r="J16" s="89" t="s">
        <v>258</v>
      </c>
      <c r="K16" s="90"/>
      <c r="L16" s="63" t="s">
        <v>317</v>
      </c>
      <c r="M16" s="63"/>
      <c r="N16" s="63"/>
      <c r="O16" s="63"/>
      <c r="P16" s="63"/>
      <c r="Q16" s="63"/>
      <c r="R16" s="63"/>
      <c r="S16" s="63"/>
      <c r="T16" s="63"/>
      <c r="U16" s="63"/>
      <c r="V16" s="66"/>
    </row>
    <row r="17" spans="2:55" ht="14.5" customHeight="1" x14ac:dyDescent="0.35">
      <c r="B17" s="87"/>
      <c r="C17" s="34"/>
      <c r="D17" s="84"/>
      <c r="E17" s="84"/>
      <c r="F17" s="84"/>
      <c r="G17" s="84"/>
      <c r="H17" s="84"/>
      <c r="I17" s="85"/>
      <c r="J17" s="89" t="s">
        <v>9</v>
      </c>
      <c r="K17" s="90"/>
      <c r="L17" s="63" t="s">
        <v>318</v>
      </c>
      <c r="M17" s="63"/>
      <c r="N17" s="63"/>
      <c r="O17" s="63"/>
      <c r="P17" s="63"/>
      <c r="Q17" s="63"/>
      <c r="R17" s="63"/>
      <c r="S17" s="63"/>
      <c r="T17" s="63"/>
      <c r="U17" s="63"/>
      <c r="V17" s="66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</row>
    <row r="18" spans="2:55" ht="15" customHeight="1" x14ac:dyDescent="0.35">
      <c r="B18" s="87"/>
      <c r="C18" s="34"/>
      <c r="D18" s="84"/>
      <c r="E18" s="84"/>
      <c r="F18" s="84"/>
      <c r="G18" s="84"/>
      <c r="H18" s="84"/>
      <c r="I18" s="85"/>
      <c r="J18" s="89" t="s">
        <v>338</v>
      </c>
      <c r="K18" s="90"/>
      <c r="L18" s="63" t="s">
        <v>319</v>
      </c>
      <c r="M18" s="63"/>
      <c r="N18" s="63"/>
      <c r="O18" s="63"/>
      <c r="P18" s="63"/>
      <c r="Q18" s="63"/>
      <c r="R18" s="63"/>
      <c r="S18" s="63"/>
      <c r="T18" s="63"/>
      <c r="U18" s="63"/>
      <c r="V18" s="66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</row>
    <row r="19" spans="2:55" ht="15" customHeight="1" x14ac:dyDescent="0.35">
      <c r="B19" s="87"/>
      <c r="C19" s="34"/>
      <c r="D19" s="84"/>
      <c r="E19" s="84"/>
      <c r="F19" s="84"/>
      <c r="G19" s="84"/>
      <c r="H19" s="84"/>
      <c r="I19" s="85"/>
      <c r="J19" s="89" t="s">
        <v>339</v>
      </c>
      <c r="K19" s="90"/>
      <c r="L19" s="63" t="s">
        <v>259</v>
      </c>
      <c r="M19" s="63"/>
      <c r="N19" s="63"/>
      <c r="O19" s="63"/>
      <c r="P19" s="63"/>
      <c r="Q19" s="63"/>
      <c r="R19" s="63"/>
      <c r="S19" s="63"/>
      <c r="T19" s="63"/>
      <c r="U19" s="63"/>
      <c r="V19" s="66"/>
    </row>
    <row r="20" spans="2:55" ht="15" customHeight="1" x14ac:dyDescent="0.35">
      <c r="B20" s="87"/>
      <c r="C20" s="34"/>
      <c r="D20" s="84"/>
      <c r="E20" s="84"/>
      <c r="F20" s="84"/>
      <c r="G20" s="84"/>
      <c r="H20" s="84"/>
      <c r="I20" s="85"/>
      <c r="J20" s="89" t="s">
        <v>10</v>
      </c>
      <c r="K20" s="90"/>
      <c r="L20" s="63" t="s">
        <v>260</v>
      </c>
      <c r="M20" s="63"/>
      <c r="N20" s="63"/>
      <c r="O20" s="63"/>
      <c r="P20" s="63"/>
      <c r="Q20" s="63"/>
      <c r="R20" s="63"/>
      <c r="S20" s="63"/>
      <c r="T20" s="63"/>
      <c r="U20" s="63"/>
      <c r="V20" s="66"/>
    </row>
    <row r="21" spans="2:55" ht="15" customHeight="1" x14ac:dyDescent="0.35">
      <c r="B21" s="87"/>
      <c r="C21" s="34"/>
      <c r="D21" s="84"/>
      <c r="E21" s="84"/>
      <c r="F21" s="84"/>
      <c r="G21" s="84"/>
      <c r="H21" s="84"/>
      <c r="I21" s="85"/>
      <c r="J21" s="89" t="s">
        <v>340</v>
      </c>
      <c r="K21" s="90"/>
      <c r="L21" s="63" t="s">
        <v>261</v>
      </c>
      <c r="M21" s="63"/>
      <c r="N21" s="63"/>
      <c r="O21" s="63"/>
      <c r="P21" s="63"/>
      <c r="Q21" s="63"/>
      <c r="R21" s="63"/>
      <c r="S21" s="63"/>
      <c r="T21" s="63"/>
      <c r="U21" s="63"/>
      <c r="V21" s="66"/>
    </row>
    <row r="22" spans="2:55" ht="14.5" customHeight="1" x14ac:dyDescent="0.35">
      <c r="B22" s="87"/>
      <c r="C22" s="34"/>
      <c r="D22" s="84"/>
      <c r="E22" s="84"/>
      <c r="F22" s="84"/>
      <c r="G22" s="84"/>
      <c r="H22" s="84"/>
      <c r="I22" s="85"/>
      <c r="J22" s="89" t="s">
        <v>14</v>
      </c>
      <c r="K22" s="90"/>
      <c r="L22" s="63" t="s">
        <v>262</v>
      </c>
      <c r="M22" s="63"/>
      <c r="N22" s="63"/>
      <c r="O22" s="63"/>
      <c r="P22" s="63"/>
      <c r="Q22" s="63"/>
      <c r="R22" s="63"/>
      <c r="S22" s="63"/>
      <c r="T22" s="63"/>
      <c r="U22" s="63"/>
      <c r="V22" s="66"/>
    </row>
    <row r="23" spans="2:55" ht="15" customHeight="1" x14ac:dyDescent="0.35">
      <c r="B23" s="87"/>
      <c r="C23" s="34"/>
      <c r="D23" s="84"/>
      <c r="E23" s="84"/>
      <c r="F23" s="84"/>
      <c r="G23" s="84"/>
      <c r="H23" s="84"/>
      <c r="I23" s="85"/>
      <c r="J23" s="89" t="s">
        <v>341</v>
      </c>
      <c r="K23" s="90"/>
      <c r="L23" s="63" t="s">
        <v>263</v>
      </c>
      <c r="M23" s="63"/>
      <c r="N23" s="63"/>
      <c r="O23" s="63"/>
      <c r="P23" s="63"/>
      <c r="Q23" s="63"/>
      <c r="R23" s="63"/>
      <c r="S23" s="63"/>
      <c r="T23" s="63"/>
      <c r="U23" s="63"/>
      <c r="V23" s="66"/>
    </row>
    <row r="24" spans="2:55" ht="15" customHeight="1" x14ac:dyDescent="0.35">
      <c r="B24" s="87"/>
      <c r="C24" s="34"/>
      <c r="D24" s="84"/>
      <c r="E24" s="84"/>
      <c r="F24" s="84"/>
      <c r="G24" s="84"/>
      <c r="H24" s="84"/>
      <c r="I24" s="85"/>
      <c r="J24" s="89" t="s">
        <v>17</v>
      </c>
      <c r="K24" s="90"/>
      <c r="L24" s="63" t="s">
        <v>265</v>
      </c>
      <c r="M24" s="63"/>
      <c r="N24" s="63"/>
      <c r="O24" s="63"/>
      <c r="P24" s="63"/>
      <c r="Q24" s="63"/>
      <c r="R24" s="63"/>
      <c r="S24" s="63"/>
      <c r="T24" s="63"/>
      <c r="U24" s="63"/>
      <c r="V24" s="66"/>
    </row>
    <row r="25" spans="2:55" ht="15" customHeight="1" x14ac:dyDescent="0.35">
      <c r="B25" s="87"/>
      <c r="C25" s="34"/>
      <c r="D25" s="84"/>
      <c r="E25" s="84"/>
      <c r="F25" s="84"/>
      <c r="G25" s="84"/>
      <c r="H25" s="84"/>
      <c r="I25" s="85"/>
      <c r="J25" s="89" t="s">
        <v>18</v>
      </c>
      <c r="K25" s="90"/>
      <c r="L25" s="63" t="s">
        <v>264</v>
      </c>
      <c r="M25" s="63"/>
      <c r="N25" s="63"/>
      <c r="O25" s="63"/>
      <c r="P25" s="63"/>
      <c r="Q25" s="63"/>
      <c r="R25" s="63"/>
      <c r="S25" s="63"/>
      <c r="T25" s="63"/>
      <c r="U25" s="63"/>
      <c r="V25" s="66"/>
    </row>
    <row r="26" spans="2:55" ht="15" customHeight="1" x14ac:dyDescent="0.35">
      <c r="B26" s="87"/>
      <c r="C26" s="34"/>
      <c r="D26" s="84"/>
      <c r="E26" s="84"/>
      <c r="F26" s="84"/>
      <c r="G26" s="84"/>
      <c r="H26" s="84"/>
      <c r="I26" s="85"/>
      <c r="J26" s="97" t="s">
        <v>342</v>
      </c>
      <c r="K26" s="98"/>
      <c r="L26" s="63" t="s">
        <v>266</v>
      </c>
      <c r="M26" s="63"/>
      <c r="N26" s="63"/>
      <c r="O26" s="63"/>
      <c r="P26" s="63"/>
      <c r="Q26" s="63"/>
      <c r="R26" s="63"/>
      <c r="S26" s="63"/>
      <c r="T26" s="63"/>
      <c r="U26" s="63"/>
      <c r="V26" s="66"/>
    </row>
    <row r="27" spans="2:55" ht="15" customHeight="1" x14ac:dyDescent="0.35">
      <c r="B27" s="87"/>
      <c r="C27" s="34"/>
      <c r="D27" s="84"/>
      <c r="E27" s="84"/>
      <c r="F27" s="84"/>
      <c r="G27" s="84"/>
      <c r="H27" s="84"/>
      <c r="I27" s="85"/>
      <c r="J27" s="89" t="s">
        <v>343</v>
      </c>
      <c r="K27" s="90"/>
      <c r="L27" s="63" t="s">
        <v>267</v>
      </c>
      <c r="M27" s="63"/>
      <c r="N27" s="63"/>
      <c r="O27" s="63"/>
      <c r="P27" s="63"/>
      <c r="Q27" s="63"/>
      <c r="R27" s="63"/>
      <c r="S27" s="63"/>
      <c r="T27" s="63"/>
      <c r="U27" s="63"/>
      <c r="V27" s="66"/>
    </row>
    <row r="28" spans="2:55" ht="15" customHeight="1" x14ac:dyDescent="0.35">
      <c r="B28" s="88"/>
      <c r="C28" s="35"/>
      <c r="D28" s="84"/>
      <c r="E28" s="84"/>
      <c r="F28" s="84"/>
      <c r="G28" s="84"/>
      <c r="H28" s="84"/>
      <c r="I28" s="85"/>
      <c r="J28" s="89" t="s">
        <v>13</v>
      </c>
      <c r="K28" s="90"/>
      <c r="L28" s="63" t="s">
        <v>268</v>
      </c>
      <c r="M28" s="63"/>
      <c r="N28" s="63"/>
      <c r="O28" s="63"/>
      <c r="P28" s="63"/>
      <c r="Q28" s="63"/>
      <c r="R28" s="63"/>
      <c r="S28" s="63"/>
      <c r="T28" s="63"/>
      <c r="U28" s="63"/>
      <c r="V28" s="66"/>
    </row>
    <row r="29" spans="2:55" ht="15" customHeight="1" x14ac:dyDescent="0.35">
      <c r="B29" s="36" t="s">
        <v>225</v>
      </c>
      <c r="C29" s="33" t="s">
        <v>212</v>
      </c>
      <c r="D29" s="54" t="s">
        <v>239</v>
      </c>
      <c r="E29" s="55"/>
      <c r="F29" s="55"/>
      <c r="G29" s="55"/>
      <c r="H29" s="55"/>
      <c r="I29" s="55"/>
      <c r="J29" s="95" t="s">
        <v>21</v>
      </c>
      <c r="K29" s="96"/>
      <c r="L29" s="74" t="s">
        <v>269</v>
      </c>
      <c r="M29" s="74"/>
      <c r="N29" s="74"/>
      <c r="O29" s="74"/>
      <c r="P29" s="74"/>
      <c r="Q29" s="74"/>
      <c r="R29" s="74"/>
      <c r="S29" s="74"/>
      <c r="T29" s="74"/>
      <c r="U29" s="74"/>
      <c r="V29" s="75"/>
    </row>
    <row r="30" spans="2:55" ht="15" customHeight="1" x14ac:dyDescent="0.35">
      <c r="B30" s="37"/>
      <c r="C30" s="34"/>
      <c r="D30" s="56"/>
      <c r="E30" s="57"/>
      <c r="F30" s="57"/>
      <c r="G30" s="57"/>
      <c r="H30" s="57"/>
      <c r="I30" s="57"/>
      <c r="J30" s="91" t="s">
        <v>244</v>
      </c>
      <c r="K30" s="92"/>
      <c r="L30" s="63" t="s">
        <v>270</v>
      </c>
      <c r="M30" s="63"/>
      <c r="N30" s="63"/>
      <c r="O30" s="63"/>
      <c r="P30" s="63"/>
      <c r="Q30" s="63"/>
      <c r="R30" s="63"/>
      <c r="S30" s="63"/>
      <c r="T30" s="63"/>
      <c r="U30" s="63"/>
      <c r="V30" s="66"/>
    </row>
    <row r="31" spans="2:55" ht="14.25" customHeight="1" x14ac:dyDescent="0.35">
      <c r="B31" s="37"/>
      <c r="C31" s="34"/>
      <c r="D31" s="56"/>
      <c r="E31" s="57"/>
      <c r="F31" s="57"/>
      <c r="G31" s="57"/>
      <c r="H31" s="57"/>
      <c r="I31" s="57"/>
      <c r="J31" s="91"/>
      <c r="K31" s="92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6"/>
    </row>
    <row r="32" spans="2:55" ht="15" customHeight="1" x14ac:dyDescent="0.35">
      <c r="B32" s="37"/>
      <c r="C32" s="34"/>
      <c r="D32" s="56"/>
      <c r="E32" s="57"/>
      <c r="F32" s="57"/>
      <c r="G32" s="57"/>
      <c r="H32" s="57"/>
      <c r="I32" s="57"/>
      <c r="J32" s="91"/>
      <c r="K32" s="92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6"/>
    </row>
    <row r="33" spans="2:22" ht="21.75" customHeight="1" x14ac:dyDescent="0.35">
      <c r="B33" s="37"/>
      <c r="C33" s="34"/>
      <c r="D33" s="56"/>
      <c r="E33" s="57"/>
      <c r="F33" s="57"/>
      <c r="G33" s="57"/>
      <c r="H33" s="57"/>
      <c r="I33" s="57"/>
      <c r="J33" s="91" t="s">
        <v>23</v>
      </c>
      <c r="K33" s="92"/>
      <c r="L33" s="63" t="s">
        <v>271</v>
      </c>
      <c r="M33" s="63"/>
      <c r="N33" s="63"/>
      <c r="O33" s="63"/>
      <c r="P33" s="63"/>
      <c r="Q33" s="63"/>
      <c r="R33" s="63"/>
      <c r="S33" s="63"/>
      <c r="T33" s="63"/>
      <c r="U33" s="63"/>
      <c r="V33" s="66"/>
    </row>
    <row r="34" spans="2:22" ht="15" customHeight="1" x14ac:dyDescent="0.35">
      <c r="B34" s="37"/>
      <c r="C34" s="34"/>
      <c r="D34" s="56"/>
      <c r="E34" s="57"/>
      <c r="F34" s="57"/>
      <c r="G34" s="57"/>
      <c r="H34" s="57"/>
      <c r="I34" s="57"/>
      <c r="J34" s="91"/>
      <c r="K34" s="92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6"/>
    </row>
    <row r="35" spans="2:22" ht="14.5" customHeight="1" x14ac:dyDescent="0.35">
      <c r="B35" s="37"/>
      <c r="C35" s="34"/>
      <c r="D35" s="56"/>
      <c r="E35" s="57"/>
      <c r="F35" s="57"/>
      <c r="G35" s="57"/>
      <c r="H35" s="57"/>
      <c r="I35" s="57"/>
      <c r="J35" s="91"/>
      <c r="K35" s="92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6"/>
    </row>
    <row r="36" spans="2:22" x14ac:dyDescent="0.35">
      <c r="B36" s="37"/>
      <c r="C36" s="34"/>
      <c r="D36" s="56"/>
      <c r="E36" s="57"/>
      <c r="F36" s="57"/>
      <c r="G36" s="57"/>
      <c r="H36" s="57"/>
      <c r="I36" s="57"/>
      <c r="J36" s="91" t="s">
        <v>15</v>
      </c>
      <c r="K36" s="92"/>
      <c r="L36" s="63" t="s">
        <v>272</v>
      </c>
      <c r="M36" s="63"/>
      <c r="N36" s="63"/>
      <c r="O36" s="63"/>
      <c r="P36" s="63"/>
      <c r="Q36" s="63"/>
      <c r="R36" s="63"/>
      <c r="S36" s="63"/>
      <c r="T36" s="63"/>
      <c r="U36" s="63"/>
      <c r="V36" s="66"/>
    </row>
    <row r="37" spans="2:22" ht="15" customHeight="1" x14ac:dyDescent="0.35">
      <c r="B37" s="37"/>
      <c r="C37" s="34"/>
      <c r="D37" s="56"/>
      <c r="E37" s="57"/>
      <c r="F37" s="57"/>
      <c r="G37" s="57"/>
      <c r="H37" s="57"/>
      <c r="I37" s="57"/>
      <c r="J37" s="91" t="s">
        <v>344</v>
      </c>
      <c r="K37" s="92"/>
      <c r="L37" s="63" t="s">
        <v>273</v>
      </c>
      <c r="M37" s="63"/>
      <c r="N37" s="63"/>
      <c r="O37" s="63"/>
      <c r="P37" s="63"/>
      <c r="Q37" s="63"/>
      <c r="R37" s="63"/>
      <c r="S37" s="63"/>
      <c r="T37" s="63"/>
      <c r="U37" s="63"/>
      <c r="V37" s="66"/>
    </row>
    <row r="38" spans="2:22" x14ac:dyDescent="0.35">
      <c r="B38" s="37"/>
      <c r="C38" s="34"/>
      <c r="D38" s="56"/>
      <c r="E38" s="57"/>
      <c r="F38" s="57"/>
      <c r="G38" s="57"/>
      <c r="H38" s="57"/>
      <c r="I38" s="57"/>
      <c r="J38" s="91"/>
      <c r="K38" s="92"/>
      <c r="L38" s="63" t="s">
        <v>320</v>
      </c>
      <c r="M38" s="63"/>
      <c r="N38" s="63"/>
      <c r="O38" s="63"/>
      <c r="P38" s="63"/>
      <c r="Q38" s="63"/>
      <c r="R38" s="63"/>
      <c r="S38" s="63"/>
      <c r="T38" s="63"/>
      <c r="U38" s="63"/>
      <c r="V38" s="66"/>
    </row>
    <row r="39" spans="2:22" ht="15" customHeight="1" x14ac:dyDescent="0.35">
      <c r="B39" s="37"/>
      <c r="C39" s="34"/>
      <c r="D39" s="56"/>
      <c r="E39" s="57"/>
      <c r="F39" s="57"/>
      <c r="G39" s="57"/>
      <c r="H39" s="57"/>
      <c r="I39" s="57"/>
      <c r="J39" s="91"/>
      <c r="K39" s="92"/>
      <c r="L39" s="64" t="s">
        <v>321</v>
      </c>
      <c r="M39" s="64"/>
      <c r="N39" s="64"/>
      <c r="O39" s="64"/>
      <c r="P39" s="64"/>
      <c r="Q39" s="64"/>
      <c r="R39" s="64"/>
      <c r="S39" s="64"/>
      <c r="T39" s="64"/>
      <c r="U39" s="64"/>
      <c r="V39" s="65"/>
    </row>
    <row r="40" spans="2:22" x14ac:dyDescent="0.35">
      <c r="B40" s="37"/>
      <c r="C40" s="34"/>
      <c r="D40" s="56"/>
      <c r="E40" s="57"/>
      <c r="F40" s="57"/>
      <c r="G40" s="57"/>
      <c r="H40" s="57"/>
      <c r="I40" s="57"/>
      <c r="J40" s="91"/>
      <c r="K40" s="92"/>
      <c r="L40" s="63" t="s">
        <v>322</v>
      </c>
      <c r="M40" s="63"/>
      <c r="N40" s="63"/>
      <c r="O40" s="63"/>
      <c r="P40" s="63"/>
      <c r="Q40" s="63"/>
      <c r="R40" s="63"/>
      <c r="S40" s="63"/>
      <c r="T40" s="63"/>
      <c r="U40" s="63"/>
      <c r="V40" s="66"/>
    </row>
    <row r="41" spans="2:22" x14ac:dyDescent="0.35">
      <c r="B41" s="37"/>
      <c r="C41" s="34"/>
      <c r="D41" s="56"/>
      <c r="E41" s="57"/>
      <c r="F41" s="57"/>
      <c r="G41" s="57"/>
      <c r="H41" s="57"/>
      <c r="I41" s="57"/>
      <c r="J41" s="91" t="s">
        <v>345</v>
      </c>
      <c r="K41" s="92"/>
      <c r="L41" s="63" t="s">
        <v>274</v>
      </c>
      <c r="M41" s="63"/>
      <c r="N41" s="63"/>
      <c r="O41" s="63"/>
      <c r="P41" s="63"/>
      <c r="Q41" s="63"/>
      <c r="R41" s="63"/>
      <c r="S41" s="63"/>
      <c r="T41" s="63"/>
      <c r="U41" s="63"/>
      <c r="V41" s="66"/>
    </row>
    <row r="42" spans="2:22" x14ac:dyDescent="0.35">
      <c r="B42" s="37"/>
      <c r="C42" s="34"/>
      <c r="D42" s="56"/>
      <c r="E42" s="57"/>
      <c r="F42" s="57"/>
      <c r="G42" s="57"/>
      <c r="H42" s="57"/>
      <c r="I42" s="57"/>
      <c r="J42" s="91" t="s">
        <v>346</v>
      </c>
      <c r="K42" s="92"/>
      <c r="L42" s="63" t="s">
        <v>275</v>
      </c>
      <c r="M42" s="63"/>
      <c r="N42" s="63"/>
      <c r="O42" s="63"/>
      <c r="P42" s="63"/>
      <c r="Q42" s="63"/>
      <c r="R42" s="63"/>
      <c r="S42" s="63"/>
      <c r="T42" s="63"/>
      <c r="U42" s="63"/>
      <c r="V42" s="66"/>
    </row>
    <row r="43" spans="2:22" ht="15" customHeight="1" x14ac:dyDescent="0.35">
      <c r="B43" s="37"/>
      <c r="C43" s="34"/>
      <c r="D43" s="56"/>
      <c r="E43" s="57"/>
      <c r="F43" s="57"/>
      <c r="G43" s="57"/>
      <c r="H43" s="57"/>
      <c r="I43" s="57"/>
      <c r="J43" s="91" t="s">
        <v>347</v>
      </c>
      <c r="K43" s="92"/>
      <c r="L43" s="63" t="s">
        <v>276</v>
      </c>
      <c r="M43" s="64"/>
      <c r="N43" s="64"/>
      <c r="O43" s="64"/>
      <c r="P43" s="64"/>
      <c r="Q43" s="64"/>
      <c r="R43" s="64"/>
      <c r="S43" s="64"/>
      <c r="T43" s="64"/>
      <c r="U43" s="64"/>
      <c r="V43" s="65"/>
    </row>
    <row r="44" spans="2:22" x14ac:dyDescent="0.35">
      <c r="B44" s="37"/>
      <c r="C44" s="34"/>
      <c r="D44" s="56"/>
      <c r="E44" s="57"/>
      <c r="F44" s="57"/>
      <c r="G44" s="57"/>
      <c r="H44" s="57"/>
      <c r="I44" s="57"/>
      <c r="J44" s="91"/>
      <c r="K44" s="92"/>
      <c r="L44" s="63" t="s">
        <v>323</v>
      </c>
      <c r="M44" s="63"/>
      <c r="N44" s="63"/>
      <c r="O44" s="63"/>
      <c r="P44" s="63"/>
      <c r="Q44" s="63"/>
      <c r="R44" s="63"/>
      <c r="S44" s="63"/>
      <c r="T44" s="63"/>
      <c r="U44" s="63"/>
      <c r="V44" s="66"/>
    </row>
    <row r="45" spans="2:22" ht="14.5" customHeight="1" x14ac:dyDescent="0.35">
      <c r="B45" s="37"/>
      <c r="C45" s="34"/>
      <c r="D45" s="56"/>
      <c r="E45" s="57"/>
      <c r="F45" s="57"/>
      <c r="G45" s="57"/>
      <c r="H45" s="57"/>
      <c r="I45" s="57"/>
      <c r="J45" s="91"/>
      <c r="K45" s="92"/>
      <c r="L45" s="63" t="s">
        <v>324</v>
      </c>
      <c r="M45" s="63"/>
      <c r="N45" s="63"/>
      <c r="O45" s="63"/>
      <c r="P45" s="63"/>
      <c r="Q45" s="63"/>
      <c r="R45" s="63"/>
      <c r="S45" s="63"/>
      <c r="T45" s="63"/>
      <c r="U45" s="63"/>
      <c r="V45" s="66"/>
    </row>
    <row r="46" spans="2:22" x14ac:dyDescent="0.35">
      <c r="B46" s="37"/>
      <c r="C46" s="34"/>
      <c r="D46" s="56"/>
      <c r="E46" s="57"/>
      <c r="F46" s="57"/>
      <c r="G46" s="57"/>
      <c r="H46" s="57"/>
      <c r="I46" s="57"/>
      <c r="J46" s="89" t="s">
        <v>43</v>
      </c>
      <c r="K46" s="90"/>
      <c r="L46" s="63" t="s">
        <v>277</v>
      </c>
      <c r="M46" s="63"/>
      <c r="N46" s="63"/>
      <c r="O46" s="63"/>
      <c r="P46" s="63"/>
      <c r="Q46" s="63"/>
      <c r="R46" s="63"/>
      <c r="S46" s="63"/>
      <c r="T46" s="63"/>
      <c r="U46" s="63"/>
      <c r="V46" s="66"/>
    </row>
    <row r="47" spans="2:22" x14ac:dyDescent="0.35">
      <c r="B47" s="37"/>
      <c r="C47" s="34"/>
      <c r="D47" s="56"/>
      <c r="E47" s="57"/>
      <c r="F47" s="57"/>
      <c r="G47" s="57"/>
      <c r="H47" s="57"/>
      <c r="I47" s="57"/>
      <c r="J47" s="89" t="s">
        <v>308</v>
      </c>
      <c r="K47" s="90"/>
      <c r="L47" s="64" t="s">
        <v>278</v>
      </c>
      <c r="M47" s="64"/>
      <c r="N47" s="64"/>
      <c r="O47" s="64"/>
      <c r="P47" s="64"/>
      <c r="Q47" s="64"/>
      <c r="R47" s="64"/>
      <c r="S47" s="64"/>
      <c r="T47" s="64"/>
      <c r="U47" s="64"/>
      <c r="V47" s="65"/>
    </row>
    <row r="48" spans="2:22" x14ac:dyDescent="0.35">
      <c r="B48" s="37"/>
      <c r="C48" s="34"/>
      <c r="D48" s="56"/>
      <c r="E48" s="57"/>
      <c r="F48" s="57"/>
      <c r="G48" s="57"/>
      <c r="H48" s="57"/>
      <c r="I48" s="57"/>
      <c r="J48" s="89" t="s">
        <v>26</v>
      </c>
      <c r="K48" s="90"/>
      <c r="L48" s="63" t="s">
        <v>279</v>
      </c>
      <c r="M48" s="63"/>
      <c r="N48" s="63"/>
      <c r="O48" s="63"/>
      <c r="P48" s="63"/>
      <c r="Q48" s="63"/>
      <c r="R48" s="63"/>
      <c r="S48" s="63"/>
      <c r="T48" s="63"/>
      <c r="U48" s="63"/>
      <c r="V48" s="66"/>
    </row>
    <row r="49" spans="2:22" ht="15" customHeight="1" x14ac:dyDescent="0.35">
      <c r="B49" s="37"/>
      <c r="C49" s="34"/>
      <c r="D49" s="56"/>
      <c r="E49" s="57"/>
      <c r="F49" s="57"/>
      <c r="G49" s="57"/>
      <c r="H49" s="57"/>
      <c r="I49" s="57"/>
      <c r="J49" s="89" t="s">
        <v>309</v>
      </c>
      <c r="K49" s="90"/>
      <c r="L49" s="63" t="s">
        <v>280</v>
      </c>
      <c r="M49" s="64"/>
      <c r="N49" s="64"/>
      <c r="O49" s="64"/>
      <c r="P49" s="64"/>
      <c r="Q49" s="64"/>
      <c r="R49" s="64"/>
      <c r="S49" s="64"/>
      <c r="T49" s="64"/>
      <c r="U49" s="64"/>
      <c r="V49" s="65"/>
    </row>
    <row r="50" spans="2:22" ht="15" customHeight="1" x14ac:dyDescent="0.35">
      <c r="B50" s="37"/>
      <c r="C50" s="34"/>
      <c r="D50" s="56"/>
      <c r="E50" s="57"/>
      <c r="F50" s="57"/>
      <c r="G50" s="57"/>
      <c r="H50" s="57"/>
      <c r="I50" s="57"/>
      <c r="J50" s="89" t="s">
        <v>310</v>
      </c>
      <c r="K50" s="90"/>
      <c r="L50" s="63" t="s">
        <v>245</v>
      </c>
      <c r="M50" s="63"/>
      <c r="N50" s="63"/>
      <c r="O50" s="63"/>
      <c r="P50" s="63"/>
      <c r="Q50" s="63"/>
      <c r="R50" s="63"/>
      <c r="S50" s="63"/>
      <c r="T50" s="63"/>
      <c r="U50" s="63"/>
      <c r="V50" s="66"/>
    </row>
    <row r="51" spans="2:22" ht="15" customHeight="1" x14ac:dyDescent="0.35">
      <c r="B51" s="37"/>
      <c r="C51" s="34"/>
      <c r="D51" s="56"/>
      <c r="E51" s="57"/>
      <c r="F51" s="57"/>
      <c r="G51" s="57"/>
      <c r="H51" s="57"/>
      <c r="I51" s="57"/>
      <c r="J51" s="89" t="s">
        <v>29</v>
      </c>
      <c r="K51" s="90"/>
      <c r="L51" s="64" t="s">
        <v>281</v>
      </c>
      <c r="M51" s="64"/>
      <c r="N51" s="64"/>
      <c r="O51" s="64"/>
      <c r="P51" s="64"/>
      <c r="Q51" s="64"/>
      <c r="R51" s="64"/>
      <c r="S51" s="64"/>
      <c r="T51" s="64"/>
      <c r="U51" s="64"/>
      <c r="V51" s="65"/>
    </row>
    <row r="52" spans="2:22" ht="15" customHeight="1" x14ac:dyDescent="0.35">
      <c r="B52" s="37"/>
      <c r="C52" s="34"/>
      <c r="D52" s="56"/>
      <c r="E52" s="57"/>
      <c r="F52" s="57"/>
      <c r="G52" s="57"/>
      <c r="H52" s="57"/>
      <c r="I52" s="57"/>
      <c r="J52" s="89" t="s">
        <v>311</v>
      </c>
      <c r="K52" s="90"/>
      <c r="L52" s="63" t="s">
        <v>282</v>
      </c>
      <c r="M52" s="64"/>
      <c r="N52" s="64"/>
      <c r="O52" s="64"/>
      <c r="P52" s="64"/>
      <c r="Q52" s="64"/>
      <c r="R52" s="64"/>
      <c r="S52" s="64"/>
      <c r="T52" s="64"/>
      <c r="U52" s="64"/>
      <c r="V52" s="65"/>
    </row>
    <row r="53" spans="2:22" x14ac:dyDescent="0.35">
      <c r="B53" s="37"/>
      <c r="C53" s="34"/>
      <c r="D53" s="56"/>
      <c r="E53" s="57"/>
      <c r="F53" s="57"/>
      <c r="G53" s="57"/>
      <c r="H53" s="57"/>
      <c r="I53" s="57"/>
      <c r="J53" s="89" t="s">
        <v>31</v>
      </c>
      <c r="K53" s="90"/>
      <c r="L53" s="64" t="s">
        <v>283</v>
      </c>
      <c r="M53" s="64"/>
      <c r="N53" s="64"/>
      <c r="O53" s="64"/>
      <c r="P53" s="64"/>
      <c r="Q53" s="64"/>
      <c r="R53" s="64"/>
      <c r="S53" s="64"/>
      <c r="T53" s="64"/>
      <c r="U53" s="64"/>
      <c r="V53" s="65"/>
    </row>
    <row r="54" spans="2:22" x14ac:dyDescent="0.35">
      <c r="B54" s="37"/>
      <c r="C54" s="34"/>
      <c r="D54" s="56"/>
      <c r="E54" s="57"/>
      <c r="F54" s="57"/>
      <c r="G54" s="57"/>
      <c r="H54" s="57"/>
      <c r="I54" s="57"/>
      <c r="J54" s="89" t="s">
        <v>312</v>
      </c>
      <c r="K54" s="90"/>
      <c r="L54" s="63" t="s">
        <v>284</v>
      </c>
      <c r="M54" s="63"/>
      <c r="N54" s="63"/>
      <c r="O54" s="63"/>
      <c r="P54" s="63"/>
      <c r="Q54" s="63"/>
      <c r="R54" s="63"/>
      <c r="S54" s="63"/>
      <c r="T54" s="63"/>
      <c r="U54" s="63"/>
      <c r="V54" s="66"/>
    </row>
    <row r="55" spans="2:22" x14ac:dyDescent="0.35">
      <c r="B55" s="37"/>
      <c r="C55" s="34"/>
      <c r="D55" s="56"/>
      <c r="E55" s="57"/>
      <c r="F55" s="57"/>
      <c r="G55" s="57"/>
      <c r="H55" s="57"/>
      <c r="I55" s="57"/>
      <c r="J55" s="89" t="s">
        <v>313</v>
      </c>
      <c r="K55" s="90"/>
      <c r="L55" s="63" t="s">
        <v>285</v>
      </c>
      <c r="M55" s="63"/>
      <c r="N55" s="63"/>
      <c r="O55" s="63"/>
      <c r="P55" s="63"/>
      <c r="Q55" s="63"/>
      <c r="R55" s="63"/>
      <c r="S55" s="63"/>
      <c r="T55" s="63"/>
      <c r="U55" s="63"/>
      <c r="V55" s="66"/>
    </row>
    <row r="56" spans="2:22" x14ac:dyDescent="0.35">
      <c r="B56" s="37"/>
      <c r="C56" s="34"/>
      <c r="D56" s="56"/>
      <c r="E56" s="57"/>
      <c r="F56" s="57"/>
      <c r="G56" s="57"/>
      <c r="H56" s="57"/>
      <c r="I56" s="57"/>
      <c r="J56" s="97" t="s">
        <v>314</v>
      </c>
      <c r="K56" s="98"/>
      <c r="L56" s="63" t="s">
        <v>286</v>
      </c>
      <c r="M56" s="64"/>
      <c r="N56" s="64"/>
      <c r="O56" s="64"/>
      <c r="P56" s="64"/>
      <c r="Q56" s="64"/>
      <c r="R56" s="64"/>
      <c r="S56" s="64"/>
      <c r="T56" s="64"/>
      <c r="U56" s="64"/>
      <c r="V56" s="65"/>
    </row>
    <row r="57" spans="2:22" x14ac:dyDescent="0.35">
      <c r="B57" s="38"/>
      <c r="C57" s="34"/>
      <c r="D57" s="56"/>
      <c r="E57" s="57"/>
      <c r="F57" s="57"/>
      <c r="G57" s="57"/>
      <c r="H57" s="57"/>
      <c r="I57" s="57"/>
      <c r="J57" s="103" t="s">
        <v>315</v>
      </c>
      <c r="K57" s="104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6"/>
    </row>
    <row r="58" spans="2:22" ht="15" customHeight="1" x14ac:dyDescent="0.35">
      <c r="B58" s="36" t="s">
        <v>213</v>
      </c>
      <c r="C58" s="36" t="s">
        <v>214</v>
      </c>
      <c r="D58" s="54" t="s">
        <v>240</v>
      </c>
      <c r="E58" s="55"/>
      <c r="F58" s="55"/>
      <c r="G58" s="55"/>
      <c r="H58" s="55"/>
      <c r="I58" s="55"/>
      <c r="J58" s="91" t="s">
        <v>36</v>
      </c>
      <c r="K58" s="92"/>
      <c r="L58" s="60" t="s">
        <v>287</v>
      </c>
      <c r="M58" s="61"/>
      <c r="N58" s="61"/>
      <c r="O58" s="61"/>
      <c r="P58" s="61"/>
      <c r="Q58" s="61"/>
      <c r="R58" s="61"/>
      <c r="S58" s="61"/>
      <c r="T58" s="61"/>
      <c r="U58" s="61"/>
      <c r="V58" s="62"/>
    </row>
    <row r="59" spans="2:22" x14ac:dyDescent="0.35">
      <c r="B59" s="37"/>
      <c r="C59" s="37"/>
      <c r="D59" s="56"/>
      <c r="E59" s="57"/>
      <c r="F59" s="57"/>
      <c r="G59" s="57"/>
      <c r="H59" s="57"/>
      <c r="I59" s="57"/>
      <c r="J59" s="91" t="s">
        <v>348</v>
      </c>
      <c r="K59" s="92"/>
      <c r="L59" s="60" t="s">
        <v>288</v>
      </c>
      <c r="M59" s="61"/>
      <c r="N59" s="61"/>
      <c r="O59" s="61"/>
      <c r="P59" s="61"/>
      <c r="Q59" s="61"/>
      <c r="R59" s="61"/>
      <c r="S59" s="61"/>
      <c r="T59" s="61"/>
      <c r="U59" s="61"/>
      <c r="V59" s="62"/>
    </row>
    <row r="60" spans="2:22" x14ac:dyDescent="0.35">
      <c r="B60" s="37"/>
      <c r="C60" s="37"/>
      <c r="D60" s="56"/>
      <c r="E60" s="57"/>
      <c r="F60" s="57"/>
      <c r="G60" s="57"/>
      <c r="H60" s="57"/>
      <c r="I60" s="57"/>
      <c r="J60" s="91" t="s">
        <v>38</v>
      </c>
      <c r="K60" s="92"/>
      <c r="L60" s="61" t="s">
        <v>289</v>
      </c>
      <c r="M60" s="61"/>
      <c r="N60" s="61"/>
      <c r="O60" s="61"/>
      <c r="P60" s="61"/>
      <c r="Q60" s="61"/>
      <c r="R60" s="61"/>
      <c r="S60" s="61"/>
      <c r="T60" s="61"/>
      <c r="U60" s="61"/>
      <c r="V60" s="62"/>
    </row>
    <row r="61" spans="2:22" x14ac:dyDescent="0.35">
      <c r="B61" s="37"/>
      <c r="C61" s="37"/>
      <c r="D61" s="56"/>
      <c r="E61" s="57"/>
      <c r="F61" s="57"/>
      <c r="G61" s="57"/>
      <c r="H61" s="57"/>
      <c r="I61" s="57"/>
      <c r="J61" s="91" t="s">
        <v>349</v>
      </c>
      <c r="K61" s="92"/>
      <c r="L61" s="60" t="s">
        <v>290</v>
      </c>
      <c r="M61" s="61"/>
      <c r="N61" s="61"/>
      <c r="O61" s="61"/>
      <c r="P61" s="61"/>
      <c r="Q61" s="61"/>
      <c r="R61" s="61"/>
      <c r="S61" s="61"/>
      <c r="T61" s="61"/>
      <c r="U61" s="61"/>
      <c r="V61" s="62"/>
    </row>
    <row r="62" spans="2:22" ht="15" customHeight="1" x14ac:dyDescent="0.35">
      <c r="B62" s="37"/>
      <c r="C62" s="37"/>
      <c r="D62" s="56"/>
      <c r="E62" s="57"/>
      <c r="F62" s="57"/>
      <c r="G62" s="57"/>
      <c r="H62" s="57"/>
      <c r="I62" s="57"/>
      <c r="J62" s="89" t="s">
        <v>316</v>
      </c>
      <c r="K62" s="90"/>
      <c r="L62" s="60" t="s">
        <v>291</v>
      </c>
      <c r="M62" s="61"/>
      <c r="N62" s="61"/>
      <c r="O62" s="61"/>
      <c r="P62" s="61"/>
      <c r="Q62" s="61"/>
      <c r="R62" s="61"/>
      <c r="S62" s="61"/>
      <c r="T62" s="61"/>
      <c r="U62" s="61"/>
      <c r="V62" s="62"/>
    </row>
    <row r="63" spans="2:22" x14ac:dyDescent="0.35">
      <c r="B63" s="37"/>
      <c r="C63" s="37"/>
      <c r="D63" s="56"/>
      <c r="E63" s="57"/>
      <c r="F63" s="57"/>
      <c r="G63" s="57"/>
      <c r="H63" s="57"/>
      <c r="I63" s="57"/>
      <c r="J63" s="89"/>
      <c r="K63" s="90"/>
      <c r="L63" s="29"/>
      <c r="M63" s="28" t="s">
        <v>331</v>
      </c>
      <c r="N63" s="29"/>
      <c r="O63" s="29"/>
      <c r="P63" s="29"/>
      <c r="Q63" s="29"/>
      <c r="R63" s="29"/>
      <c r="S63" s="29"/>
      <c r="T63" s="29"/>
      <c r="U63" s="29"/>
      <c r="V63" s="30"/>
    </row>
    <row r="64" spans="2:22" x14ac:dyDescent="0.35">
      <c r="B64" s="37"/>
      <c r="C64" s="37"/>
      <c r="D64" s="56"/>
      <c r="E64" s="57"/>
      <c r="F64" s="57"/>
      <c r="G64" s="57"/>
      <c r="H64" s="57"/>
      <c r="I64" s="57"/>
      <c r="J64" s="89"/>
      <c r="K64" s="90"/>
      <c r="L64" s="29"/>
      <c r="M64" s="28" t="s">
        <v>332</v>
      </c>
      <c r="N64" s="29"/>
      <c r="O64" s="29"/>
      <c r="P64" s="29"/>
      <c r="Q64" s="29"/>
      <c r="R64" s="29"/>
      <c r="S64" s="29"/>
      <c r="T64" s="29"/>
      <c r="U64" s="29"/>
      <c r="V64" s="30"/>
    </row>
    <row r="65" spans="2:33" ht="15" customHeight="1" x14ac:dyDescent="0.35">
      <c r="B65" s="37"/>
      <c r="C65" s="37"/>
      <c r="D65" s="56"/>
      <c r="E65" s="57"/>
      <c r="F65" s="57"/>
      <c r="G65" s="57"/>
      <c r="H65" s="57"/>
      <c r="I65" s="57"/>
      <c r="J65" s="89"/>
      <c r="K65" s="90"/>
      <c r="M65" s="15" t="s">
        <v>333</v>
      </c>
      <c r="N65" s="15"/>
      <c r="O65" s="15"/>
      <c r="P65" s="15"/>
      <c r="Q65" s="15"/>
      <c r="R65" s="15"/>
      <c r="S65" s="15"/>
      <c r="T65" s="15"/>
      <c r="U65" s="15"/>
      <c r="V65" s="17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</row>
    <row r="66" spans="2:33" ht="15" customHeight="1" x14ac:dyDescent="0.35">
      <c r="B66" s="37"/>
      <c r="C66" s="38"/>
      <c r="D66" s="58"/>
      <c r="E66" s="59"/>
      <c r="F66" s="59"/>
      <c r="G66" s="59"/>
      <c r="H66" s="59"/>
      <c r="I66" s="59"/>
      <c r="J66" s="91" t="s">
        <v>42</v>
      </c>
      <c r="K66" s="92"/>
      <c r="L66" s="63" t="s">
        <v>292</v>
      </c>
      <c r="M66" s="64"/>
      <c r="N66" s="64"/>
      <c r="O66" s="64"/>
      <c r="P66" s="64"/>
      <c r="Q66" s="64"/>
      <c r="R66" s="64"/>
      <c r="S66" s="64"/>
      <c r="T66" s="64"/>
      <c r="U66" s="64"/>
      <c r="V66" s="65"/>
      <c r="AG66" s="11"/>
    </row>
    <row r="67" spans="2:33" ht="377" customHeight="1" x14ac:dyDescent="0.35">
      <c r="B67" s="24"/>
      <c r="C67" s="24"/>
      <c r="D67" s="23"/>
      <c r="E67" s="14"/>
      <c r="F67" s="14"/>
      <c r="G67" s="14"/>
      <c r="H67" s="14"/>
      <c r="I67" s="14"/>
      <c r="J67" s="95" t="s">
        <v>21</v>
      </c>
      <c r="K67" s="96"/>
      <c r="L67" s="74" t="s">
        <v>293</v>
      </c>
      <c r="M67" s="74"/>
      <c r="N67" s="74"/>
      <c r="O67" s="74"/>
      <c r="P67" s="74"/>
      <c r="Q67" s="74"/>
      <c r="R67" s="74"/>
      <c r="S67" s="74"/>
      <c r="T67" s="74"/>
      <c r="U67" s="74"/>
      <c r="V67" s="75"/>
    </row>
    <row r="68" spans="2:33" x14ac:dyDescent="0.35">
      <c r="B68" s="24"/>
      <c r="C68" s="24"/>
      <c r="D68" s="23"/>
      <c r="E68" s="14"/>
      <c r="F68" s="14"/>
      <c r="G68" s="14"/>
      <c r="H68" s="14"/>
      <c r="I68" s="14"/>
      <c r="J68" s="91" t="s">
        <v>294</v>
      </c>
      <c r="K68" s="92"/>
      <c r="L68" s="63" t="s">
        <v>295</v>
      </c>
      <c r="M68" s="63"/>
      <c r="N68" s="63"/>
      <c r="O68" s="63"/>
      <c r="P68" s="63"/>
      <c r="Q68" s="63"/>
      <c r="R68" s="63"/>
      <c r="S68" s="63"/>
      <c r="T68" s="63"/>
      <c r="U68" s="63"/>
      <c r="V68" s="66"/>
    </row>
    <row r="69" spans="2:33" x14ac:dyDescent="0.35">
      <c r="B69" s="24"/>
      <c r="C69" s="24"/>
      <c r="D69" s="23"/>
      <c r="E69" s="14"/>
      <c r="F69" s="14"/>
      <c r="G69" s="14"/>
      <c r="H69" s="14"/>
      <c r="I69" s="14"/>
      <c r="J69" s="105" t="s">
        <v>45</v>
      </c>
      <c r="K69" s="106"/>
      <c r="L69" s="111" t="s">
        <v>296</v>
      </c>
      <c r="M69" s="111"/>
      <c r="N69" s="111"/>
      <c r="O69" s="111"/>
      <c r="P69" s="111"/>
      <c r="Q69" s="111"/>
      <c r="R69" s="111"/>
      <c r="S69" s="111"/>
      <c r="T69" s="111"/>
      <c r="U69" s="111"/>
      <c r="V69" s="112"/>
    </row>
    <row r="70" spans="2:33" ht="30" customHeight="1" x14ac:dyDescent="0.35">
      <c r="B70" s="24"/>
      <c r="C70" s="24"/>
      <c r="D70" s="23"/>
      <c r="E70" s="14"/>
      <c r="F70" s="14"/>
      <c r="G70" s="14"/>
      <c r="H70" s="14"/>
      <c r="I70" s="14"/>
      <c r="J70" s="105" t="s">
        <v>46</v>
      </c>
      <c r="K70" s="106"/>
      <c r="L70" s="63" t="s">
        <v>297</v>
      </c>
      <c r="M70" s="63"/>
      <c r="N70" s="63"/>
      <c r="O70" s="63"/>
      <c r="P70" s="63"/>
      <c r="Q70" s="63"/>
      <c r="R70" s="63"/>
      <c r="S70" s="63"/>
      <c r="T70" s="63"/>
      <c r="U70" s="63"/>
      <c r="V70" s="66"/>
    </row>
    <row r="71" spans="2:33" x14ac:dyDescent="0.35">
      <c r="B71" s="24"/>
      <c r="C71" s="24"/>
      <c r="D71" s="23"/>
      <c r="E71" s="14"/>
      <c r="F71" s="14"/>
      <c r="G71" s="14"/>
      <c r="H71" s="14"/>
      <c r="I71" s="14"/>
      <c r="J71" s="105"/>
      <c r="K71" s="106"/>
      <c r="L71" s="63" t="s">
        <v>298</v>
      </c>
      <c r="M71" s="63"/>
      <c r="N71" s="63"/>
      <c r="O71" s="63"/>
      <c r="P71" s="63"/>
      <c r="Q71" s="63"/>
      <c r="R71" s="63"/>
      <c r="S71" s="63"/>
      <c r="T71" s="63"/>
      <c r="U71" s="63"/>
      <c r="V71" s="66"/>
    </row>
    <row r="72" spans="2:33" ht="15" customHeight="1" x14ac:dyDescent="0.35">
      <c r="B72" s="24"/>
      <c r="C72" s="24"/>
      <c r="D72" s="23"/>
      <c r="E72" s="14"/>
      <c r="F72" s="14"/>
      <c r="G72" s="14"/>
      <c r="H72" s="14"/>
      <c r="I72" s="14"/>
      <c r="J72" s="107"/>
      <c r="K72" s="108"/>
      <c r="L72" s="63" t="s">
        <v>299</v>
      </c>
      <c r="M72" s="63"/>
      <c r="N72" s="63"/>
      <c r="O72" s="63"/>
      <c r="P72" s="63"/>
      <c r="Q72" s="63"/>
      <c r="R72" s="63"/>
      <c r="S72" s="63"/>
      <c r="T72" s="63"/>
      <c r="U72" s="63"/>
      <c r="V72" s="66"/>
    </row>
    <row r="73" spans="2:33" x14ac:dyDescent="0.35">
      <c r="B73" s="24"/>
      <c r="C73" s="24"/>
      <c r="D73" s="23"/>
      <c r="E73" s="14"/>
      <c r="F73" s="14"/>
      <c r="G73" s="14"/>
      <c r="H73" s="14"/>
      <c r="I73" s="14"/>
      <c r="J73" s="107"/>
      <c r="K73" s="108"/>
      <c r="L73" s="63" t="s">
        <v>300</v>
      </c>
      <c r="M73" s="63"/>
      <c r="N73" s="63"/>
      <c r="O73" s="63"/>
      <c r="P73" s="63"/>
      <c r="Q73" s="63"/>
      <c r="R73" s="63"/>
      <c r="S73" s="63"/>
      <c r="T73" s="63"/>
      <c r="U73" s="63"/>
      <c r="V73" s="66"/>
    </row>
    <row r="74" spans="2:33" x14ac:dyDescent="0.35">
      <c r="B74" s="24"/>
      <c r="C74" s="24"/>
      <c r="D74" s="23"/>
      <c r="E74" s="14"/>
      <c r="F74" s="14"/>
      <c r="G74" s="14"/>
      <c r="H74" s="14"/>
      <c r="I74" s="14"/>
      <c r="J74" s="107"/>
      <c r="K74" s="108"/>
      <c r="L74" s="63" t="s">
        <v>301</v>
      </c>
      <c r="M74" s="63"/>
      <c r="N74" s="63"/>
      <c r="O74" s="63"/>
      <c r="P74" s="63"/>
      <c r="Q74" s="63"/>
      <c r="R74" s="63"/>
      <c r="S74" s="63"/>
      <c r="T74" s="63"/>
      <c r="U74" s="63"/>
      <c r="V74" s="66"/>
    </row>
    <row r="75" spans="2:33" x14ac:dyDescent="0.35">
      <c r="B75" s="24"/>
      <c r="C75" s="24"/>
      <c r="D75" s="23"/>
      <c r="E75" s="14"/>
      <c r="F75" s="14"/>
      <c r="G75" s="14"/>
      <c r="H75" s="14"/>
      <c r="I75" s="14"/>
      <c r="J75" s="97" t="s">
        <v>304</v>
      </c>
      <c r="K75" s="98"/>
      <c r="L75" s="63" t="s">
        <v>350</v>
      </c>
      <c r="M75" s="63"/>
      <c r="N75" s="63"/>
      <c r="O75" s="63"/>
      <c r="P75" s="63"/>
      <c r="Q75" s="63"/>
      <c r="R75" s="63"/>
      <c r="S75" s="63"/>
      <c r="T75" s="63"/>
      <c r="U75" s="63"/>
      <c r="V75" s="66"/>
    </row>
    <row r="76" spans="2:33" x14ac:dyDescent="0.35">
      <c r="B76" s="24"/>
      <c r="C76" s="24"/>
      <c r="D76" s="23"/>
      <c r="E76" s="14"/>
      <c r="F76" s="14"/>
      <c r="G76" s="14"/>
      <c r="H76" s="14"/>
      <c r="I76" s="14"/>
      <c r="J76" s="97"/>
      <c r="K76" s="98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6"/>
    </row>
    <row r="77" spans="2:33" x14ac:dyDescent="0.35">
      <c r="B77" s="24"/>
      <c r="C77" s="24"/>
      <c r="D77" s="23"/>
      <c r="E77" s="14"/>
      <c r="F77" s="14"/>
      <c r="G77" s="14"/>
      <c r="H77" s="14"/>
      <c r="I77" s="14"/>
      <c r="J77" s="115" t="s">
        <v>305</v>
      </c>
      <c r="K77" s="116"/>
      <c r="L77" s="113" t="s">
        <v>351</v>
      </c>
      <c r="M77" s="113"/>
      <c r="N77" s="113"/>
      <c r="O77" s="113"/>
      <c r="P77" s="113"/>
      <c r="Q77" s="113"/>
      <c r="R77" s="113"/>
      <c r="S77" s="113"/>
      <c r="T77" s="113"/>
      <c r="U77" s="113"/>
      <c r="V77" s="114"/>
    </row>
    <row r="78" spans="2:33" x14ac:dyDescent="0.35">
      <c r="B78" s="24"/>
      <c r="C78" s="24"/>
      <c r="D78" s="23"/>
      <c r="E78" s="14"/>
      <c r="F78" s="14"/>
      <c r="G78" s="14"/>
      <c r="H78" s="14"/>
      <c r="I78" s="14"/>
      <c r="J78" s="115"/>
      <c r="K78" s="116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4"/>
    </row>
    <row r="79" spans="2:33" x14ac:dyDescent="0.35">
      <c r="B79" s="24"/>
      <c r="C79" s="24"/>
      <c r="D79" s="23"/>
      <c r="E79" s="14"/>
      <c r="F79" s="14"/>
      <c r="G79" s="14"/>
      <c r="H79" s="14"/>
      <c r="I79" s="14"/>
      <c r="J79" s="97" t="s">
        <v>307</v>
      </c>
      <c r="K79" s="98"/>
      <c r="L79" s="99" t="s">
        <v>352</v>
      </c>
      <c r="M79" s="99"/>
      <c r="N79" s="99"/>
      <c r="O79" s="99"/>
      <c r="P79" s="99"/>
      <c r="Q79" s="99"/>
      <c r="R79" s="99"/>
      <c r="S79" s="99"/>
      <c r="T79" s="99"/>
      <c r="U79" s="99"/>
      <c r="V79" s="100"/>
    </row>
    <row r="80" spans="2:33" x14ac:dyDescent="0.35">
      <c r="B80" s="24"/>
      <c r="C80" s="24"/>
      <c r="D80" s="23"/>
      <c r="E80" s="14"/>
      <c r="F80" s="14"/>
      <c r="G80" s="14"/>
      <c r="H80" s="14"/>
      <c r="I80" s="14"/>
      <c r="J80" s="97"/>
      <c r="K80" s="9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100"/>
    </row>
    <row r="81" spans="2:22" x14ac:dyDescent="0.35">
      <c r="B81" s="24"/>
      <c r="C81" s="24"/>
      <c r="D81" s="23"/>
      <c r="E81" s="14"/>
      <c r="F81" s="14"/>
      <c r="G81" s="14"/>
      <c r="H81" s="14"/>
      <c r="I81" s="14"/>
      <c r="J81" s="22"/>
      <c r="K81" s="25"/>
      <c r="L81" s="99" t="s">
        <v>353</v>
      </c>
      <c r="M81" s="99"/>
      <c r="N81" s="99"/>
      <c r="O81" s="99"/>
      <c r="P81" s="99"/>
      <c r="Q81" s="99"/>
      <c r="R81" s="99"/>
      <c r="S81" s="99"/>
      <c r="T81" s="99"/>
      <c r="U81" s="99"/>
      <c r="V81" s="100"/>
    </row>
    <row r="82" spans="2:22" ht="174" customHeight="1" x14ac:dyDescent="0.35">
      <c r="B82" s="24"/>
      <c r="C82" s="24"/>
      <c r="D82" s="23"/>
      <c r="E82" s="14"/>
      <c r="F82" s="14"/>
      <c r="G82" s="14"/>
      <c r="H82" s="14"/>
      <c r="I82" s="14"/>
      <c r="J82" s="22"/>
      <c r="K82" s="25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7"/>
    </row>
    <row r="83" spans="2:22" x14ac:dyDescent="0.35">
      <c r="B83" s="24"/>
      <c r="C83" s="24"/>
      <c r="D83" s="23"/>
      <c r="E83" s="14"/>
      <c r="F83" s="14"/>
      <c r="G83" s="14"/>
      <c r="H83" s="14"/>
      <c r="I83" s="14"/>
      <c r="J83" s="22"/>
      <c r="K83" s="25"/>
      <c r="L83" s="117" t="s">
        <v>354</v>
      </c>
      <c r="M83" s="117"/>
      <c r="N83" s="117"/>
      <c r="O83" s="117"/>
      <c r="P83" s="117"/>
      <c r="Q83" s="117"/>
      <c r="R83" s="117"/>
      <c r="S83" s="117"/>
      <c r="T83" s="117"/>
      <c r="U83" s="117"/>
      <c r="V83" s="118"/>
    </row>
    <row r="84" spans="2:22" ht="188.5" customHeight="1" x14ac:dyDescent="0.35">
      <c r="B84" s="24"/>
      <c r="C84" s="24"/>
      <c r="D84" s="23"/>
      <c r="E84" s="14"/>
      <c r="F84" s="14"/>
      <c r="G84" s="14"/>
      <c r="H84" s="14"/>
      <c r="I84" s="14"/>
      <c r="J84" s="22"/>
      <c r="K84" s="25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21"/>
    </row>
    <row r="85" spans="2:22" x14ac:dyDescent="0.35">
      <c r="B85" s="24"/>
      <c r="C85" s="24"/>
      <c r="D85" s="23"/>
      <c r="E85" s="14"/>
      <c r="F85" s="14"/>
      <c r="G85" s="14"/>
      <c r="H85" s="14"/>
      <c r="I85" s="14"/>
      <c r="J85" s="22"/>
      <c r="K85" s="25"/>
      <c r="L85" s="99" t="s">
        <v>355</v>
      </c>
      <c r="M85" s="99"/>
      <c r="N85" s="99"/>
      <c r="O85" s="99"/>
      <c r="P85" s="99"/>
      <c r="Q85" s="99"/>
      <c r="R85" s="99"/>
      <c r="S85" s="99"/>
      <c r="T85" s="99"/>
      <c r="U85" s="99"/>
      <c r="V85" s="100"/>
    </row>
    <row r="86" spans="2:22" ht="275.5" customHeight="1" x14ac:dyDescent="0.35">
      <c r="B86" s="24"/>
      <c r="C86" s="24"/>
      <c r="D86" s="23"/>
      <c r="E86" s="14"/>
      <c r="F86" s="14"/>
      <c r="G86" s="14"/>
      <c r="H86" s="14"/>
      <c r="I86" s="14"/>
      <c r="J86" s="22"/>
      <c r="K86" s="25"/>
      <c r="L86" s="99" t="s">
        <v>356</v>
      </c>
      <c r="M86" s="99"/>
      <c r="N86" s="99"/>
      <c r="O86" s="99"/>
      <c r="P86" s="99"/>
      <c r="Q86" s="99"/>
      <c r="R86" s="99"/>
      <c r="S86" s="99"/>
      <c r="T86" s="99"/>
      <c r="U86" s="99"/>
      <c r="V86" s="100"/>
    </row>
    <row r="87" spans="2:22" ht="15" customHeight="1" x14ac:dyDescent="0.35">
      <c r="B87" s="24"/>
      <c r="C87" s="24"/>
      <c r="D87" s="23"/>
      <c r="E87" s="14"/>
      <c r="F87" s="14"/>
      <c r="G87" s="14"/>
      <c r="H87" s="14"/>
      <c r="I87" s="14"/>
      <c r="J87" s="22"/>
      <c r="K87" s="25"/>
      <c r="L87" s="99" t="s">
        <v>360</v>
      </c>
      <c r="M87" s="99"/>
      <c r="N87" s="99"/>
      <c r="O87" s="99"/>
      <c r="P87" s="99"/>
      <c r="Q87" s="99"/>
      <c r="R87" s="99"/>
      <c r="S87" s="99"/>
      <c r="T87" s="99"/>
      <c r="U87" s="99"/>
      <c r="V87" s="100"/>
    </row>
    <row r="88" spans="2:22" x14ac:dyDescent="0.35">
      <c r="B88" s="24"/>
      <c r="C88" s="24"/>
      <c r="D88" s="23"/>
      <c r="E88" s="14"/>
      <c r="F88" s="14"/>
      <c r="G88" s="14"/>
      <c r="H88" s="14"/>
      <c r="I88" s="14"/>
      <c r="J88" s="22"/>
      <c r="K88" s="25"/>
      <c r="L88" s="99" t="s">
        <v>357</v>
      </c>
      <c r="M88" s="99"/>
      <c r="N88" s="99"/>
      <c r="O88" s="99"/>
      <c r="P88" s="99"/>
      <c r="Q88" s="99"/>
      <c r="R88" s="99"/>
      <c r="S88" s="99"/>
      <c r="T88" s="99"/>
      <c r="U88" s="99"/>
      <c r="V88" s="100"/>
    </row>
    <row r="89" spans="2:22" x14ac:dyDescent="0.35">
      <c r="B89" s="24"/>
      <c r="C89" s="24"/>
      <c r="D89" s="23"/>
      <c r="E89" s="14"/>
      <c r="F89" s="14"/>
      <c r="G89" s="14"/>
      <c r="H89" s="14"/>
      <c r="I89" s="14"/>
      <c r="J89" s="22"/>
      <c r="K89" s="25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31"/>
    </row>
    <row r="90" spans="2:22" x14ac:dyDescent="0.35">
      <c r="B90" s="24"/>
      <c r="C90" s="24"/>
      <c r="D90" s="23"/>
      <c r="E90" s="14"/>
      <c r="F90" s="14"/>
      <c r="G90" s="14"/>
      <c r="H90" s="14"/>
      <c r="I90" s="14"/>
      <c r="J90" s="97" t="s">
        <v>306</v>
      </c>
      <c r="K90" s="98"/>
      <c r="L90" s="63" t="s">
        <v>325</v>
      </c>
      <c r="M90" s="63"/>
      <c r="N90" s="63"/>
      <c r="O90" s="63"/>
      <c r="P90" s="63"/>
      <c r="Q90" s="63"/>
      <c r="R90" s="63"/>
      <c r="S90" s="63"/>
      <c r="T90" s="63"/>
      <c r="U90" s="63"/>
      <c r="V90" s="66"/>
    </row>
    <row r="91" spans="2:22" x14ac:dyDescent="0.35">
      <c r="B91" s="24"/>
      <c r="C91" s="24"/>
      <c r="D91" s="23"/>
      <c r="E91" s="14"/>
      <c r="F91" s="14"/>
      <c r="G91" s="14"/>
      <c r="H91" s="14"/>
      <c r="I91" s="14"/>
      <c r="J91" s="97"/>
      <c r="K91" s="98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6"/>
    </row>
    <row r="92" spans="2:22" x14ac:dyDescent="0.35">
      <c r="B92" s="24"/>
      <c r="C92" s="24"/>
      <c r="D92" s="23"/>
      <c r="E92" s="14"/>
      <c r="F92" s="14"/>
      <c r="G92" s="14"/>
      <c r="H92" s="14"/>
      <c r="I92" s="14"/>
      <c r="J92" s="97"/>
      <c r="K92" s="98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6"/>
    </row>
    <row r="93" spans="2:22" x14ac:dyDescent="0.35">
      <c r="B93" s="24"/>
      <c r="C93" s="24"/>
      <c r="D93" s="23"/>
      <c r="E93" s="14"/>
      <c r="F93" s="14"/>
      <c r="G93" s="14"/>
      <c r="H93" s="14"/>
      <c r="I93" s="14"/>
      <c r="J93" s="97"/>
      <c r="K93" s="98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6"/>
    </row>
    <row r="94" spans="2:22" x14ac:dyDescent="0.35">
      <c r="B94" s="24"/>
      <c r="C94" s="24"/>
      <c r="D94" s="23"/>
      <c r="E94" s="14"/>
      <c r="F94" s="14"/>
      <c r="G94" s="14"/>
      <c r="H94" s="14"/>
      <c r="I94" s="14"/>
      <c r="J94" s="97"/>
      <c r="K94" s="98"/>
      <c r="L94" s="109" t="s">
        <v>303</v>
      </c>
      <c r="M94" s="109"/>
      <c r="N94" s="109"/>
      <c r="O94" s="109"/>
      <c r="P94" s="109"/>
      <c r="Q94" s="109"/>
      <c r="R94" s="109"/>
      <c r="S94" s="109"/>
      <c r="T94" s="109"/>
      <c r="U94" s="109"/>
      <c r="V94" s="124"/>
    </row>
    <row r="95" spans="2:22" x14ac:dyDescent="0.35">
      <c r="B95" s="24"/>
      <c r="C95" s="24"/>
      <c r="D95" s="23"/>
      <c r="E95" s="14"/>
      <c r="F95" s="14"/>
      <c r="G95" s="14"/>
      <c r="H95" s="14"/>
      <c r="I95" s="14"/>
      <c r="J95" s="97"/>
      <c r="K95" s="98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5"/>
    </row>
    <row r="96" spans="2:22" x14ac:dyDescent="0.35">
      <c r="B96" s="24"/>
      <c r="C96" s="24"/>
      <c r="D96" s="23"/>
      <c r="E96" s="14"/>
      <c r="F96" s="14"/>
      <c r="G96" s="14"/>
      <c r="H96" s="14"/>
      <c r="I96" s="14"/>
      <c r="J96" s="97" t="s">
        <v>359</v>
      </c>
      <c r="K96" s="98"/>
      <c r="L96" s="63" t="s">
        <v>358</v>
      </c>
      <c r="M96" s="63"/>
      <c r="N96" s="63"/>
      <c r="O96" s="63"/>
      <c r="P96" s="63"/>
      <c r="Q96" s="63"/>
      <c r="R96" s="63"/>
      <c r="S96" s="63"/>
      <c r="T96" s="63"/>
      <c r="U96" s="63"/>
      <c r="V96" s="66"/>
    </row>
    <row r="97" spans="2:22" x14ac:dyDescent="0.35">
      <c r="B97" s="24"/>
      <c r="C97" s="24"/>
      <c r="D97" s="23"/>
      <c r="E97" s="14"/>
      <c r="F97" s="14"/>
      <c r="G97" s="14"/>
      <c r="H97" s="14"/>
      <c r="I97" s="14"/>
      <c r="J97" s="97"/>
      <c r="K97" s="98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6"/>
    </row>
    <row r="98" spans="2:22" x14ac:dyDescent="0.35">
      <c r="B98" s="24"/>
      <c r="C98" s="24"/>
      <c r="D98" s="23"/>
      <c r="E98" s="14"/>
      <c r="F98" s="14"/>
      <c r="G98" s="14"/>
      <c r="H98" s="14"/>
      <c r="I98" s="14"/>
      <c r="J98" s="22"/>
      <c r="K98" s="25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5"/>
    </row>
    <row r="99" spans="2:22" x14ac:dyDescent="0.35">
      <c r="B99" s="24"/>
      <c r="C99" s="24"/>
      <c r="D99" s="23"/>
      <c r="E99" s="14"/>
      <c r="F99" s="14"/>
      <c r="G99" s="14"/>
      <c r="H99" s="14"/>
      <c r="I99" s="14"/>
      <c r="J99" s="22"/>
      <c r="K99" s="25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5"/>
    </row>
    <row r="100" spans="2:22" x14ac:dyDescent="0.35">
      <c r="B100" s="24"/>
      <c r="C100" s="24"/>
      <c r="D100" s="23"/>
      <c r="E100" s="14"/>
      <c r="F100" s="14"/>
      <c r="G100" s="14"/>
      <c r="H100" s="14"/>
      <c r="I100" s="14"/>
      <c r="J100" s="132" t="s">
        <v>98</v>
      </c>
      <c r="K100" s="133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3"/>
    </row>
    <row r="101" spans="2:22" x14ac:dyDescent="0.35">
      <c r="B101" s="24"/>
      <c r="C101" s="24"/>
      <c r="D101" s="23"/>
      <c r="E101" s="14"/>
      <c r="F101" s="14"/>
      <c r="G101" s="14"/>
      <c r="H101" s="14"/>
      <c r="I101" s="14"/>
      <c r="J101" s="101"/>
      <c r="K101" s="102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5"/>
    </row>
    <row r="102" spans="2:22" x14ac:dyDescent="0.35">
      <c r="B102" s="24"/>
      <c r="C102" s="24"/>
      <c r="D102" s="23"/>
      <c r="E102" s="14"/>
      <c r="F102" s="14"/>
      <c r="G102" s="14"/>
      <c r="H102" s="14"/>
      <c r="I102" s="14"/>
      <c r="J102" s="101"/>
      <c r="K102" s="102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</row>
    <row r="103" spans="2:22" x14ac:dyDescent="0.35">
      <c r="B103" s="24"/>
      <c r="C103" s="24"/>
      <c r="D103" s="23"/>
      <c r="E103" s="14"/>
      <c r="F103" s="14"/>
      <c r="G103" s="14"/>
      <c r="H103" s="14"/>
      <c r="I103" s="14"/>
      <c r="J103" s="101"/>
      <c r="K103" s="102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</row>
    <row r="104" spans="2:22" x14ac:dyDescent="0.35">
      <c r="B104" s="24"/>
      <c r="C104" s="24"/>
      <c r="D104" s="23"/>
      <c r="E104" s="14"/>
      <c r="F104" s="14"/>
      <c r="G104" s="14"/>
      <c r="H104" s="14"/>
      <c r="I104" s="14"/>
      <c r="J104" s="101"/>
      <c r="K104" s="102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</row>
    <row r="105" spans="2:22" x14ac:dyDescent="0.35">
      <c r="B105" s="24"/>
      <c r="C105" s="24"/>
      <c r="D105" s="23"/>
      <c r="E105" s="14"/>
      <c r="F105" s="14"/>
      <c r="G105" s="14"/>
      <c r="H105" s="14"/>
      <c r="I105" s="14"/>
      <c r="J105" s="101"/>
      <c r="K105" s="102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</row>
    <row r="106" spans="2:22" x14ac:dyDescent="0.35">
      <c r="B106" s="24"/>
      <c r="C106" s="24"/>
      <c r="D106" s="23"/>
      <c r="E106" s="14"/>
      <c r="F106" s="14"/>
      <c r="G106" s="14"/>
      <c r="H106" s="14"/>
      <c r="I106" s="14"/>
      <c r="J106" s="67"/>
      <c r="K106" s="73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</row>
    <row r="107" spans="2:22" x14ac:dyDescent="0.35">
      <c r="B107" s="24"/>
      <c r="C107" s="24"/>
      <c r="D107" s="23"/>
      <c r="E107" s="14"/>
      <c r="F107" s="14"/>
      <c r="G107" s="14"/>
      <c r="H107" s="14"/>
      <c r="I107" s="14"/>
      <c r="J107" s="67"/>
      <c r="K107" s="73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</row>
    <row r="108" spans="2:22" x14ac:dyDescent="0.35">
      <c r="B108" s="24"/>
      <c r="C108" s="24"/>
      <c r="D108" s="23"/>
      <c r="E108" s="14"/>
      <c r="F108" s="14"/>
      <c r="G108" s="14"/>
      <c r="H108" s="14"/>
      <c r="I108" s="14"/>
      <c r="J108" s="67"/>
      <c r="K108" s="73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</row>
    <row r="109" spans="2:22" x14ac:dyDescent="0.35">
      <c r="B109" s="24"/>
      <c r="C109" s="24"/>
      <c r="D109" s="23"/>
      <c r="E109" s="14"/>
      <c r="F109" s="14"/>
      <c r="G109" s="14"/>
      <c r="H109" s="14"/>
      <c r="I109" s="14"/>
      <c r="J109" s="67"/>
      <c r="K109" s="73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</row>
    <row r="110" spans="2:22" x14ac:dyDescent="0.35">
      <c r="B110" s="24"/>
      <c r="C110" s="24"/>
      <c r="D110" s="23"/>
      <c r="E110" s="14"/>
      <c r="F110" s="14"/>
      <c r="G110" s="14"/>
      <c r="H110" s="14"/>
      <c r="I110" s="14"/>
      <c r="J110" s="67"/>
      <c r="K110" s="73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</row>
    <row r="111" spans="2:22" x14ac:dyDescent="0.35">
      <c r="B111" s="24"/>
      <c r="C111" s="24"/>
      <c r="D111" s="23"/>
      <c r="E111" s="14"/>
      <c r="F111" s="14"/>
      <c r="G111" s="14"/>
      <c r="H111" s="14"/>
      <c r="I111" s="14"/>
      <c r="J111" s="14"/>
      <c r="K111" s="19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</row>
    <row r="112" spans="2:22" x14ac:dyDescent="0.35">
      <c r="B112" s="24"/>
      <c r="C112" s="24"/>
      <c r="D112" s="23"/>
      <c r="E112" s="14"/>
      <c r="F112" s="14"/>
      <c r="G112" s="14"/>
      <c r="H112" s="14"/>
      <c r="I112" s="14"/>
      <c r="J112" s="14"/>
      <c r="K112" s="19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</row>
    <row r="113" spans="2:22" x14ac:dyDescent="0.35">
      <c r="B113" s="24"/>
      <c r="C113" s="24"/>
      <c r="D113" s="23"/>
      <c r="E113" s="14"/>
      <c r="F113" s="14"/>
      <c r="G113" s="14"/>
      <c r="H113" s="14"/>
      <c r="I113" s="14"/>
      <c r="J113" s="14"/>
      <c r="K113" s="19"/>
      <c r="L113" s="125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</row>
    <row r="114" spans="2:22" x14ac:dyDescent="0.35">
      <c r="B114" s="24"/>
      <c r="C114" s="24"/>
      <c r="D114" s="23"/>
      <c r="E114" s="14"/>
      <c r="F114" s="14"/>
      <c r="G114" s="14"/>
      <c r="H114" s="14"/>
      <c r="I114" s="14"/>
      <c r="J114" s="14"/>
      <c r="K114" s="19"/>
      <c r="L114" s="127" t="s">
        <v>326</v>
      </c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</row>
    <row r="115" spans="2:22" x14ac:dyDescent="0.35">
      <c r="B115" s="33" t="s">
        <v>217</v>
      </c>
      <c r="C115" s="36" t="s">
        <v>215</v>
      </c>
      <c r="D115" s="54" t="s">
        <v>241</v>
      </c>
      <c r="E115" s="55"/>
      <c r="F115" s="55"/>
      <c r="G115" s="55"/>
      <c r="H115" s="55"/>
      <c r="I115" s="119"/>
      <c r="J115" s="14"/>
      <c r="K115" s="19"/>
      <c r="L115" s="127" t="s">
        <v>327</v>
      </c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</row>
    <row r="116" spans="2:22" x14ac:dyDescent="0.35">
      <c r="B116" s="34"/>
      <c r="C116" s="37"/>
      <c r="D116" s="56"/>
      <c r="E116" s="57"/>
      <c r="F116" s="57"/>
      <c r="G116" s="57"/>
      <c r="H116" s="57"/>
      <c r="I116" s="120"/>
      <c r="J116" s="14"/>
      <c r="K116" s="19"/>
      <c r="L116" s="78" t="s">
        <v>328</v>
      </c>
      <c r="M116" s="60"/>
      <c r="N116" s="60"/>
      <c r="O116" s="60"/>
      <c r="P116" s="60"/>
      <c r="Q116" s="60"/>
      <c r="R116" s="60"/>
      <c r="S116" s="60"/>
      <c r="T116" s="60"/>
      <c r="U116" s="60"/>
      <c r="V116" s="60"/>
    </row>
    <row r="117" spans="2:22" x14ac:dyDescent="0.35">
      <c r="B117" s="34"/>
      <c r="C117" s="37"/>
      <c r="D117" s="56"/>
      <c r="E117" s="57"/>
      <c r="F117" s="57"/>
      <c r="G117" s="57"/>
      <c r="H117" s="57"/>
      <c r="I117" s="120"/>
      <c r="J117" s="18"/>
      <c r="K117" s="19"/>
      <c r="L117" s="79" t="s">
        <v>329</v>
      </c>
      <c r="M117" s="80"/>
      <c r="N117" s="80"/>
      <c r="O117" s="80"/>
      <c r="P117" s="80"/>
      <c r="Q117" s="80"/>
      <c r="R117" s="80"/>
      <c r="S117" s="80"/>
      <c r="T117" s="80"/>
      <c r="U117" s="80"/>
      <c r="V117" s="80"/>
    </row>
    <row r="118" spans="2:22" x14ac:dyDescent="0.35">
      <c r="B118" s="34"/>
      <c r="C118" s="37"/>
      <c r="D118" s="56"/>
      <c r="E118" s="57"/>
      <c r="F118" s="57"/>
      <c r="G118" s="57"/>
      <c r="H118" s="57"/>
      <c r="I118" s="120"/>
      <c r="J118" s="18"/>
      <c r="K118" s="19"/>
      <c r="L118" s="76" t="s">
        <v>316</v>
      </c>
      <c r="M118" s="77"/>
      <c r="N118" s="77"/>
      <c r="O118" s="77"/>
      <c r="P118" s="77"/>
      <c r="Q118" s="77"/>
      <c r="R118" s="77"/>
      <c r="S118" s="77"/>
      <c r="T118" s="77"/>
      <c r="U118" s="77"/>
      <c r="V118" s="77"/>
    </row>
    <row r="119" spans="2:22" x14ac:dyDescent="0.35">
      <c r="B119" s="34"/>
      <c r="C119" s="37"/>
      <c r="D119" s="56"/>
      <c r="E119" s="57"/>
      <c r="F119" s="57"/>
      <c r="G119" s="57"/>
      <c r="H119" s="57"/>
      <c r="I119" s="120"/>
      <c r="J119" s="18"/>
      <c r="K119" s="19"/>
      <c r="L119" s="78"/>
      <c r="M119" s="60"/>
      <c r="N119" s="60"/>
      <c r="O119" s="60"/>
      <c r="P119" s="60"/>
      <c r="Q119" s="60"/>
      <c r="R119" s="60"/>
      <c r="S119" s="60"/>
      <c r="T119" s="60"/>
      <c r="U119" s="60"/>
      <c r="V119" s="60"/>
    </row>
    <row r="120" spans="2:22" x14ac:dyDescent="0.35">
      <c r="B120" s="34"/>
      <c r="C120" s="37"/>
      <c r="D120" s="56"/>
      <c r="E120" s="57"/>
      <c r="F120" s="57"/>
      <c r="G120" s="57"/>
      <c r="H120" s="57"/>
      <c r="I120" s="120"/>
      <c r="J120" s="18"/>
      <c r="K120" s="19"/>
      <c r="L120" s="79"/>
      <c r="M120" s="80"/>
      <c r="N120" s="80"/>
      <c r="O120" s="80"/>
      <c r="P120" s="80"/>
      <c r="Q120" s="80"/>
      <c r="R120" s="80"/>
      <c r="S120" s="80"/>
      <c r="T120" s="80"/>
      <c r="U120" s="80"/>
      <c r="V120" s="80"/>
    </row>
    <row r="121" spans="2:22" x14ac:dyDescent="0.35">
      <c r="B121" s="34"/>
      <c r="C121" s="37"/>
      <c r="D121" s="56"/>
      <c r="E121" s="57"/>
      <c r="F121" s="57"/>
      <c r="G121" s="57"/>
      <c r="H121" s="57"/>
      <c r="I121" s="120"/>
      <c r="J121" s="18"/>
      <c r="K121" s="19"/>
      <c r="L121" s="81" t="s">
        <v>330</v>
      </c>
      <c r="M121" s="74"/>
      <c r="N121" s="74"/>
      <c r="O121" s="74"/>
      <c r="P121" s="74"/>
      <c r="Q121" s="74"/>
      <c r="R121" s="74"/>
      <c r="S121" s="74"/>
      <c r="T121" s="74"/>
      <c r="U121" s="74"/>
      <c r="V121" s="74"/>
    </row>
    <row r="122" spans="2:22" x14ac:dyDescent="0.35">
      <c r="B122" s="34"/>
      <c r="C122" s="37"/>
      <c r="D122" s="56"/>
      <c r="E122" s="57"/>
      <c r="F122" s="57"/>
      <c r="G122" s="57"/>
      <c r="H122" s="57"/>
      <c r="I122" s="120"/>
      <c r="J122" s="18"/>
      <c r="K122" s="19"/>
      <c r="L122" s="82"/>
      <c r="M122" s="83"/>
      <c r="N122" s="83"/>
      <c r="O122" s="83"/>
      <c r="P122" s="83"/>
      <c r="Q122" s="83"/>
      <c r="R122" s="83"/>
      <c r="S122" s="83"/>
      <c r="T122" s="83"/>
      <c r="U122" s="83"/>
      <c r="V122" s="83"/>
    </row>
    <row r="123" spans="2:22" x14ac:dyDescent="0.35">
      <c r="B123" s="34"/>
      <c r="C123" s="37"/>
      <c r="D123" s="56"/>
      <c r="E123" s="57"/>
      <c r="F123" s="57"/>
      <c r="G123" s="57"/>
      <c r="H123" s="57"/>
      <c r="I123" s="120"/>
      <c r="J123" s="18"/>
      <c r="K123" s="19"/>
      <c r="L123" s="71"/>
      <c r="M123" s="72"/>
      <c r="N123" s="72"/>
      <c r="O123" s="72"/>
      <c r="P123" s="72"/>
      <c r="Q123" s="72"/>
      <c r="R123" s="72"/>
      <c r="S123" s="72"/>
      <c r="T123" s="72"/>
      <c r="U123" s="72"/>
      <c r="V123" s="72"/>
    </row>
    <row r="124" spans="2:22" x14ac:dyDescent="0.35">
      <c r="B124" s="34"/>
      <c r="C124" s="37"/>
      <c r="D124" s="56"/>
      <c r="E124" s="57"/>
      <c r="F124" s="57"/>
      <c r="G124" s="57"/>
      <c r="H124" s="57"/>
      <c r="I124" s="120"/>
      <c r="J124" s="18"/>
      <c r="K124" s="19"/>
      <c r="L124" s="67"/>
      <c r="M124" s="73"/>
      <c r="N124" s="73"/>
      <c r="O124" s="73"/>
      <c r="P124" s="73"/>
      <c r="Q124" s="73"/>
      <c r="R124" s="73"/>
      <c r="S124" s="73"/>
      <c r="T124" s="73"/>
      <c r="U124" s="73"/>
      <c r="V124" s="73"/>
    </row>
    <row r="125" spans="2:22" x14ac:dyDescent="0.35">
      <c r="B125" s="34"/>
      <c r="C125" s="37"/>
      <c r="D125" s="56"/>
      <c r="E125" s="57"/>
      <c r="F125" s="57"/>
      <c r="G125" s="57"/>
      <c r="H125" s="57"/>
      <c r="I125" s="120"/>
      <c r="J125" s="18"/>
      <c r="K125" s="19"/>
    </row>
    <row r="126" spans="2:22" x14ac:dyDescent="0.35">
      <c r="B126" s="34"/>
      <c r="C126" s="37"/>
      <c r="D126" s="56"/>
      <c r="E126" s="57"/>
      <c r="F126" s="57"/>
      <c r="G126" s="57"/>
      <c r="H126" s="57"/>
      <c r="I126" s="120"/>
      <c r="J126" s="18"/>
      <c r="K126" s="19"/>
      <c r="L126" s="67"/>
      <c r="M126" s="73"/>
      <c r="N126" s="73"/>
      <c r="O126" s="73"/>
      <c r="P126" s="73"/>
      <c r="Q126" s="73"/>
      <c r="R126" s="73"/>
      <c r="S126" s="73"/>
      <c r="T126" s="73"/>
      <c r="U126" s="73"/>
      <c r="V126" s="73"/>
    </row>
    <row r="127" spans="2:22" x14ac:dyDescent="0.35">
      <c r="B127" s="34"/>
      <c r="C127" s="37"/>
      <c r="D127" s="56"/>
      <c r="E127" s="57"/>
      <c r="F127" s="57"/>
      <c r="G127" s="57"/>
      <c r="H127" s="57"/>
      <c r="I127" s="120"/>
      <c r="J127" s="18"/>
      <c r="K127" s="19"/>
      <c r="L127" s="8"/>
      <c r="M127" s="9"/>
      <c r="N127" s="9"/>
      <c r="O127" s="9"/>
      <c r="P127" s="9"/>
      <c r="Q127" s="10"/>
    </row>
    <row r="128" spans="2:22" x14ac:dyDescent="0.35">
      <c r="B128" s="34"/>
      <c r="C128" s="37"/>
      <c r="D128" s="56"/>
      <c r="E128" s="57"/>
      <c r="F128" s="57"/>
      <c r="G128" s="57"/>
      <c r="H128" s="57"/>
      <c r="I128" s="120"/>
      <c r="J128" s="18"/>
      <c r="K128" s="19"/>
      <c r="L128" s="8"/>
      <c r="M128" s="9"/>
      <c r="N128" s="9"/>
      <c r="O128" s="9"/>
      <c r="P128" s="9"/>
      <c r="Q128" s="10"/>
    </row>
    <row r="129" spans="2:17" x14ac:dyDescent="0.35">
      <c r="B129" s="34"/>
      <c r="C129" s="37"/>
      <c r="D129" s="56"/>
      <c r="E129" s="57"/>
      <c r="F129" s="57"/>
      <c r="G129" s="57"/>
      <c r="H129" s="57"/>
      <c r="I129" s="120"/>
      <c r="J129" s="18"/>
      <c r="K129" s="19"/>
      <c r="L129" s="48"/>
      <c r="M129" s="49"/>
      <c r="N129" s="49"/>
      <c r="O129" s="49"/>
      <c r="P129" s="49"/>
      <c r="Q129" s="49"/>
    </row>
    <row r="130" spans="2:17" x14ac:dyDescent="0.35">
      <c r="B130" s="34"/>
      <c r="C130" s="37"/>
      <c r="D130" s="56"/>
      <c r="E130" s="57"/>
      <c r="F130" s="57"/>
      <c r="G130" s="57"/>
      <c r="H130" s="57"/>
      <c r="I130" s="120"/>
      <c r="J130" s="18"/>
      <c r="K130" s="19"/>
      <c r="L130" s="48"/>
      <c r="M130" s="49"/>
      <c r="N130" s="49"/>
      <c r="O130" s="49"/>
      <c r="P130" s="49"/>
      <c r="Q130" s="49"/>
    </row>
    <row r="131" spans="2:17" x14ac:dyDescent="0.35">
      <c r="B131" s="34"/>
      <c r="C131" s="37"/>
      <c r="D131" s="56"/>
      <c r="E131" s="57"/>
      <c r="F131" s="57"/>
      <c r="G131" s="57"/>
      <c r="H131" s="57"/>
      <c r="I131" s="120"/>
      <c r="J131" s="18"/>
      <c r="K131" s="19"/>
      <c r="L131" s="48"/>
      <c r="M131" s="49"/>
      <c r="N131" s="49"/>
      <c r="O131" s="49"/>
      <c r="P131" s="49"/>
      <c r="Q131" s="49"/>
    </row>
    <row r="132" spans="2:17" x14ac:dyDescent="0.35">
      <c r="B132" s="34"/>
      <c r="C132" s="37"/>
      <c r="D132" s="56"/>
      <c r="E132" s="57"/>
      <c r="F132" s="57"/>
      <c r="G132" s="57"/>
      <c r="H132" s="57"/>
      <c r="I132" s="120"/>
      <c r="J132" s="18"/>
      <c r="K132" s="19"/>
      <c r="L132" s="48"/>
      <c r="M132" s="49"/>
      <c r="N132" s="49"/>
      <c r="O132" s="49"/>
      <c r="P132" s="49"/>
      <c r="Q132" s="49"/>
    </row>
    <row r="133" spans="2:17" x14ac:dyDescent="0.35">
      <c r="B133" s="34"/>
      <c r="C133" s="37"/>
      <c r="D133" s="56"/>
      <c r="E133" s="57"/>
      <c r="F133" s="57"/>
      <c r="G133" s="57"/>
      <c r="H133" s="57"/>
      <c r="I133" s="120"/>
      <c r="J133" s="18"/>
      <c r="K133" s="19"/>
      <c r="L133" s="48"/>
      <c r="M133" s="49"/>
      <c r="N133" s="49"/>
      <c r="O133" s="49"/>
      <c r="P133" s="49"/>
      <c r="Q133" s="49"/>
    </row>
    <row r="134" spans="2:17" x14ac:dyDescent="0.35">
      <c r="B134" s="34"/>
      <c r="C134" s="37"/>
      <c r="D134" s="56"/>
      <c r="E134" s="57"/>
      <c r="F134" s="57"/>
      <c r="G134" s="57"/>
      <c r="H134" s="57"/>
      <c r="I134" s="120"/>
      <c r="J134" s="18"/>
      <c r="K134" s="19"/>
      <c r="L134" s="48"/>
      <c r="M134" s="49"/>
      <c r="N134" s="49"/>
      <c r="O134" s="49"/>
      <c r="P134" s="49"/>
      <c r="Q134" s="49"/>
    </row>
    <row r="135" spans="2:17" x14ac:dyDescent="0.35">
      <c r="B135" s="34"/>
      <c r="C135" s="37"/>
      <c r="D135" s="56"/>
      <c r="E135" s="57"/>
      <c r="F135" s="57"/>
      <c r="G135" s="57"/>
      <c r="H135" s="57"/>
      <c r="I135" s="120"/>
      <c r="J135" s="18"/>
      <c r="K135" s="19"/>
      <c r="L135" s="48"/>
      <c r="M135" s="49"/>
      <c r="N135" s="49"/>
      <c r="O135" s="49"/>
      <c r="P135" s="49"/>
      <c r="Q135" s="49"/>
    </row>
    <row r="136" spans="2:17" x14ac:dyDescent="0.35">
      <c r="B136" s="34"/>
      <c r="C136" s="37"/>
      <c r="D136" s="56"/>
      <c r="E136" s="57"/>
      <c r="F136" s="57"/>
      <c r="G136" s="57"/>
      <c r="H136" s="57"/>
      <c r="I136" s="120"/>
      <c r="J136" s="18"/>
      <c r="K136" s="19"/>
      <c r="L136" s="48"/>
      <c r="M136" s="49"/>
      <c r="N136" s="49"/>
      <c r="O136" s="49"/>
      <c r="P136" s="49"/>
      <c r="Q136" s="49"/>
    </row>
    <row r="137" spans="2:17" x14ac:dyDescent="0.35">
      <c r="B137" s="34"/>
      <c r="C137" s="37"/>
      <c r="D137" s="56"/>
      <c r="E137" s="57"/>
      <c r="F137" s="57"/>
      <c r="G137" s="57"/>
      <c r="H137" s="57"/>
      <c r="I137" s="120"/>
      <c r="J137" s="18"/>
      <c r="K137" s="19"/>
      <c r="L137" s="48"/>
      <c r="M137" s="49"/>
      <c r="N137" s="49"/>
      <c r="O137" s="49"/>
      <c r="P137" s="49"/>
      <c r="Q137" s="49"/>
    </row>
    <row r="138" spans="2:17" x14ac:dyDescent="0.35">
      <c r="B138" s="34"/>
      <c r="C138" s="37"/>
      <c r="D138" s="56"/>
      <c r="E138" s="57"/>
      <c r="F138" s="57"/>
      <c r="G138" s="57"/>
      <c r="H138" s="57"/>
      <c r="I138" s="120"/>
      <c r="J138" s="18"/>
      <c r="K138" s="19"/>
      <c r="L138" s="48"/>
      <c r="M138" s="49"/>
      <c r="N138" s="49"/>
      <c r="O138" s="49"/>
      <c r="P138" s="49"/>
      <c r="Q138" s="49"/>
    </row>
    <row r="139" spans="2:17" x14ac:dyDescent="0.35">
      <c r="B139" s="34"/>
      <c r="C139" s="37"/>
      <c r="D139" s="56"/>
      <c r="E139" s="57"/>
      <c r="F139" s="57"/>
      <c r="G139" s="57"/>
      <c r="H139" s="57"/>
      <c r="I139" s="120"/>
      <c r="J139" s="18"/>
      <c r="K139" s="19"/>
      <c r="L139" s="48"/>
      <c r="M139" s="49"/>
      <c r="N139" s="49"/>
      <c r="O139" s="49"/>
      <c r="P139" s="49"/>
      <c r="Q139" s="49"/>
    </row>
    <row r="140" spans="2:17" x14ac:dyDescent="0.35">
      <c r="B140" s="34"/>
      <c r="C140" s="37"/>
      <c r="D140" s="56"/>
      <c r="E140" s="57"/>
      <c r="F140" s="57"/>
      <c r="G140" s="57"/>
      <c r="H140" s="57"/>
      <c r="I140" s="120"/>
      <c r="J140" s="18"/>
      <c r="K140" s="19"/>
      <c r="L140" s="48"/>
      <c r="M140" s="49"/>
      <c r="N140" s="49"/>
      <c r="O140" s="49"/>
      <c r="P140" s="49"/>
      <c r="Q140" s="49"/>
    </row>
    <row r="141" spans="2:17" x14ac:dyDescent="0.35">
      <c r="B141" s="34"/>
      <c r="C141" s="37"/>
      <c r="D141" s="56"/>
      <c r="E141" s="57"/>
      <c r="F141" s="57"/>
      <c r="G141" s="57"/>
      <c r="H141" s="57"/>
      <c r="I141" s="120"/>
      <c r="J141" s="18"/>
      <c r="K141" s="19"/>
      <c r="L141" s="48"/>
      <c r="M141" s="49"/>
      <c r="N141" s="49"/>
      <c r="O141" s="49"/>
      <c r="P141" s="49"/>
      <c r="Q141" s="49"/>
    </row>
    <row r="142" spans="2:17" x14ac:dyDescent="0.35">
      <c r="B142" s="34"/>
      <c r="C142" s="37"/>
      <c r="D142" s="56"/>
      <c r="E142" s="57"/>
      <c r="F142" s="57"/>
      <c r="G142" s="57"/>
      <c r="H142" s="57"/>
      <c r="I142" s="120"/>
      <c r="J142" s="18"/>
      <c r="K142" s="19"/>
      <c r="L142" s="48"/>
      <c r="M142" s="49"/>
      <c r="N142" s="49"/>
      <c r="O142" s="49"/>
      <c r="P142" s="49"/>
      <c r="Q142" s="49"/>
    </row>
    <row r="143" spans="2:17" x14ac:dyDescent="0.35">
      <c r="B143" s="34"/>
      <c r="C143" s="37"/>
      <c r="D143" s="56"/>
      <c r="E143" s="57"/>
      <c r="F143" s="57"/>
      <c r="G143" s="57"/>
      <c r="H143" s="57"/>
      <c r="I143" s="120"/>
      <c r="K143" s="19"/>
      <c r="L143" s="48"/>
      <c r="M143" s="49"/>
      <c r="N143" s="49"/>
      <c r="O143" s="49"/>
      <c r="P143" s="49"/>
      <c r="Q143" s="49"/>
    </row>
    <row r="144" spans="2:17" x14ac:dyDescent="0.35">
      <c r="B144" s="34"/>
      <c r="C144" s="37"/>
      <c r="D144" s="56"/>
      <c r="E144" s="57"/>
      <c r="F144" s="57"/>
      <c r="G144" s="57"/>
      <c r="H144" s="57"/>
      <c r="I144" s="120"/>
      <c r="K144" s="19"/>
      <c r="L144" s="48"/>
      <c r="M144" s="49"/>
      <c r="N144" s="49"/>
      <c r="O144" s="49"/>
      <c r="P144" s="49"/>
      <c r="Q144" s="49"/>
    </row>
    <row r="145" spans="2:17" x14ac:dyDescent="0.35">
      <c r="B145" s="34"/>
      <c r="C145" s="37"/>
      <c r="D145" s="56"/>
      <c r="E145" s="57"/>
      <c r="F145" s="57"/>
      <c r="G145" s="57"/>
      <c r="H145" s="57"/>
      <c r="I145" s="120"/>
      <c r="K145" s="19"/>
      <c r="L145" s="48"/>
      <c r="M145" s="49"/>
      <c r="N145" s="49"/>
      <c r="O145" s="49"/>
      <c r="P145" s="49"/>
      <c r="Q145" s="49"/>
    </row>
    <row r="146" spans="2:17" x14ac:dyDescent="0.35">
      <c r="B146" s="34"/>
      <c r="C146" s="37"/>
      <c r="D146" s="56"/>
      <c r="E146" s="57"/>
      <c r="F146" s="57"/>
      <c r="G146" s="57"/>
      <c r="H146" s="57"/>
      <c r="I146" s="120"/>
      <c r="K146" s="19"/>
      <c r="L146" s="48"/>
      <c r="M146" s="49"/>
      <c r="N146" s="49"/>
      <c r="O146" s="49"/>
      <c r="P146" s="49"/>
      <c r="Q146" s="49"/>
    </row>
    <row r="147" spans="2:17" x14ac:dyDescent="0.35">
      <c r="B147" s="35"/>
      <c r="C147" s="38"/>
      <c r="D147" s="58"/>
      <c r="E147" s="59"/>
      <c r="F147" s="59"/>
      <c r="G147" s="59"/>
      <c r="H147" s="59"/>
      <c r="I147" s="121"/>
      <c r="K147" s="19"/>
      <c r="L147" s="48"/>
      <c r="M147" s="49"/>
      <c r="N147" s="49"/>
      <c r="O147" s="49"/>
      <c r="P147" s="49"/>
      <c r="Q147" s="49"/>
    </row>
    <row r="148" spans="2:17" x14ac:dyDescent="0.35">
      <c r="B148" s="32" t="s">
        <v>218</v>
      </c>
      <c r="C148" s="32" t="s">
        <v>216</v>
      </c>
      <c r="D148" s="31" t="s">
        <v>242</v>
      </c>
      <c r="E148" s="31"/>
      <c r="F148" s="31"/>
      <c r="G148" s="31"/>
      <c r="H148" s="31"/>
      <c r="I148" s="52"/>
      <c r="K148" s="19"/>
      <c r="L148" s="48"/>
      <c r="M148" s="49"/>
      <c r="N148" s="49"/>
      <c r="O148" s="49"/>
      <c r="P148" s="49"/>
      <c r="Q148" s="49"/>
    </row>
    <row r="149" spans="2:17" x14ac:dyDescent="0.35">
      <c r="B149" s="32"/>
      <c r="C149" s="32"/>
      <c r="D149" s="31"/>
      <c r="E149" s="31"/>
      <c r="F149" s="31"/>
      <c r="G149" s="31"/>
      <c r="H149" s="31"/>
      <c r="I149" s="52"/>
      <c r="K149" s="19"/>
      <c r="L149" s="48"/>
      <c r="M149" s="49"/>
      <c r="N149" s="49"/>
      <c r="O149" s="49"/>
      <c r="P149" s="49"/>
      <c r="Q149" s="49"/>
    </row>
    <row r="150" spans="2:17" x14ac:dyDescent="0.35">
      <c r="B150" s="32"/>
      <c r="C150" s="32"/>
      <c r="D150" s="31"/>
      <c r="E150" s="31"/>
      <c r="F150" s="31"/>
      <c r="G150" s="31"/>
      <c r="H150" s="31"/>
      <c r="I150" s="52"/>
      <c r="K150" s="19"/>
      <c r="L150" s="48"/>
      <c r="M150" s="49"/>
      <c r="N150" s="49"/>
      <c r="O150" s="49"/>
      <c r="P150" s="49"/>
      <c r="Q150" s="49"/>
    </row>
    <row r="151" spans="2:17" x14ac:dyDescent="0.35">
      <c r="B151" s="32"/>
      <c r="C151" s="32"/>
      <c r="D151" s="31"/>
      <c r="E151" s="31"/>
      <c r="F151" s="31"/>
      <c r="G151" s="31"/>
      <c r="H151" s="31"/>
      <c r="I151" s="52"/>
      <c r="K151" s="19"/>
      <c r="L151" s="48"/>
      <c r="M151" s="49"/>
      <c r="N151" s="49"/>
      <c r="O151" s="49"/>
      <c r="P151" s="49"/>
      <c r="Q151" s="49"/>
    </row>
    <row r="152" spans="2:17" x14ac:dyDescent="0.35">
      <c r="B152" s="32" t="s">
        <v>219</v>
      </c>
      <c r="C152" s="53" t="s">
        <v>220</v>
      </c>
      <c r="D152" s="31" t="s">
        <v>221</v>
      </c>
      <c r="E152" s="31"/>
      <c r="F152" s="31"/>
      <c r="G152" s="31"/>
      <c r="H152" s="31"/>
      <c r="I152" s="52"/>
      <c r="K152" s="19"/>
      <c r="L152" s="48"/>
      <c r="M152" s="49"/>
      <c r="N152" s="49"/>
      <c r="O152" s="49"/>
      <c r="P152" s="49"/>
      <c r="Q152" s="49"/>
    </row>
    <row r="153" spans="2:17" x14ac:dyDescent="0.35">
      <c r="B153" s="32"/>
      <c r="C153" s="53"/>
      <c r="D153" s="31"/>
      <c r="E153" s="31"/>
      <c r="F153" s="31"/>
      <c r="G153" s="31"/>
      <c r="H153" s="31"/>
      <c r="I153" s="52"/>
      <c r="K153" s="19"/>
      <c r="L153" s="48"/>
      <c r="M153" s="49"/>
      <c r="N153" s="49"/>
      <c r="O153" s="49"/>
      <c r="P153" s="49"/>
      <c r="Q153" s="49"/>
    </row>
    <row r="154" spans="2:17" x14ac:dyDescent="0.35">
      <c r="B154" s="32"/>
      <c r="C154" s="53"/>
      <c r="D154" s="31"/>
      <c r="E154" s="31"/>
      <c r="F154" s="31"/>
      <c r="G154" s="31"/>
      <c r="H154" s="31"/>
      <c r="I154" s="52"/>
      <c r="K154" s="19"/>
      <c r="L154" s="48"/>
      <c r="M154" s="49"/>
      <c r="N154" s="49"/>
      <c r="O154" s="49"/>
      <c r="P154" s="49"/>
      <c r="Q154" s="49"/>
    </row>
    <row r="155" spans="2:17" x14ac:dyDescent="0.35">
      <c r="B155" s="32"/>
      <c r="C155" s="53"/>
      <c r="D155" s="31"/>
      <c r="E155" s="31"/>
      <c r="F155" s="31"/>
      <c r="G155" s="31"/>
      <c r="H155" s="31"/>
      <c r="I155" s="52"/>
      <c r="K155" s="19"/>
      <c r="L155" s="48"/>
      <c r="M155" s="49"/>
      <c r="N155" s="49"/>
      <c r="O155" s="49"/>
      <c r="P155" s="49"/>
      <c r="Q155" s="49"/>
    </row>
    <row r="156" spans="2:17" x14ac:dyDescent="0.35">
      <c r="B156" s="53" t="s">
        <v>223</v>
      </c>
      <c r="C156" s="53" t="s">
        <v>222</v>
      </c>
      <c r="D156" s="31" t="s">
        <v>224</v>
      </c>
      <c r="E156" s="31"/>
      <c r="F156" s="31"/>
      <c r="G156" s="31"/>
      <c r="H156" s="31"/>
      <c r="I156" s="52"/>
      <c r="K156" s="19"/>
      <c r="L156" s="48"/>
      <c r="M156" s="49"/>
      <c r="N156" s="49"/>
      <c r="O156" s="49"/>
      <c r="P156" s="49"/>
      <c r="Q156" s="49"/>
    </row>
    <row r="157" spans="2:17" x14ac:dyDescent="0.35">
      <c r="B157" s="53"/>
      <c r="C157" s="53"/>
      <c r="D157" s="31"/>
      <c r="E157" s="31"/>
      <c r="F157" s="31"/>
      <c r="G157" s="31"/>
      <c r="H157" s="31"/>
      <c r="I157" s="52"/>
      <c r="K157" s="19"/>
      <c r="L157" s="48"/>
      <c r="M157" s="49"/>
      <c r="N157" s="49"/>
      <c r="O157" s="49"/>
      <c r="P157" s="49"/>
      <c r="Q157" s="49"/>
    </row>
    <row r="158" spans="2:17" x14ac:dyDescent="0.35">
      <c r="B158" s="53"/>
      <c r="C158" s="53"/>
      <c r="D158" s="31"/>
      <c r="E158" s="31"/>
      <c r="F158" s="31"/>
      <c r="G158" s="31"/>
      <c r="H158" s="31"/>
      <c r="I158" s="31"/>
      <c r="K158" s="19"/>
      <c r="L158" s="48"/>
      <c r="M158" s="49"/>
      <c r="N158" s="49"/>
      <c r="O158" s="49"/>
      <c r="P158" s="49"/>
      <c r="Q158" s="49"/>
    </row>
    <row r="159" spans="2:17" x14ac:dyDescent="0.35">
      <c r="B159" s="53"/>
      <c r="C159" s="53"/>
      <c r="D159" s="31"/>
      <c r="E159" s="31"/>
      <c r="F159" s="31"/>
      <c r="G159" s="31"/>
      <c r="H159" s="31"/>
      <c r="I159" s="31"/>
      <c r="K159" s="19"/>
      <c r="L159" s="48"/>
      <c r="M159" s="49"/>
      <c r="N159" s="49"/>
      <c r="O159" s="49"/>
      <c r="P159" s="49"/>
      <c r="Q159" s="49"/>
    </row>
    <row r="160" spans="2:17" x14ac:dyDescent="0.35">
      <c r="B160" s="32" t="s">
        <v>227</v>
      </c>
      <c r="C160" s="32" t="s">
        <v>232</v>
      </c>
      <c r="D160" s="31" t="s">
        <v>231</v>
      </c>
      <c r="E160" s="31"/>
      <c r="F160" s="31"/>
      <c r="G160" s="31"/>
      <c r="H160" s="31"/>
      <c r="I160" s="31"/>
      <c r="K160" s="19"/>
    </row>
    <row r="161" spans="2:29" x14ac:dyDescent="0.35">
      <c r="B161" s="32"/>
      <c r="C161" s="32"/>
      <c r="D161" s="31"/>
      <c r="E161" s="31"/>
      <c r="F161" s="31"/>
      <c r="G161" s="31"/>
      <c r="H161" s="31"/>
      <c r="I161" s="31"/>
      <c r="K161" s="19"/>
    </row>
    <row r="162" spans="2:29" x14ac:dyDescent="0.35">
      <c r="B162" s="32"/>
      <c r="C162" s="32"/>
      <c r="D162" s="31"/>
      <c r="E162" s="31"/>
      <c r="F162" s="31"/>
      <c r="G162" s="31"/>
      <c r="H162" s="31"/>
      <c r="I162" s="31"/>
      <c r="K162" s="19"/>
    </row>
    <row r="163" spans="2:29" x14ac:dyDescent="0.35">
      <c r="B163" s="32" t="s">
        <v>228</v>
      </c>
      <c r="C163" s="32" t="s">
        <v>234</v>
      </c>
      <c r="D163" s="31" t="s">
        <v>233</v>
      </c>
      <c r="E163" s="31"/>
      <c r="F163" s="31"/>
      <c r="G163" s="31"/>
      <c r="H163" s="31"/>
      <c r="I163" s="31"/>
      <c r="K163" s="19"/>
    </row>
    <row r="164" spans="2:29" x14ac:dyDescent="0.35">
      <c r="B164" s="32"/>
      <c r="C164" s="32"/>
      <c r="D164" s="31"/>
      <c r="E164" s="31"/>
      <c r="F164" s="31"/>
      <c r="G164" s="31"/>
      <c r="H164" s="31"/>
      <c r="I164" s="31"/>
      <c r="K164" s="19"/>
    </row>
    <row r="165" spans="2:29" x14ac:dyDescent="0.35">
      <c r="B165" s="32"/>
      <c r="C165" s="32"/>
      <c r="D165" s="31"/>
      <c r="E165" s="31"/>
      <c r="F165" s="31"/>
      <c r="G165" s="31"/>
      <c r="H165" s="31"/>
      <c r="I165" s="31"/>
      <c r="K165" s="19"/>
    </row>
    <row r="166" spans="2:29" ht="304.5" customHeight="1" x14ac:dyDescent="0.35">
      <c r="B166" s="33" t="s">
        <v>229</v>
      </c>
      <c r="C166" s="33" t="s">
        <v>235</v>
      </c>
      <c r="D166" s="54" t="s">
        <v>236</v>
      </c>
      <c r="E166" s="55"/>
      <c r="F166" s="55"/>
      <c r="G166" s="55"/>
      <c r="H166" s="55"/>
      <c r="I166" s="55"/>
      <c r="J166" s="134" t="s">
        <v>123</v>
      </c>
      <c r="K166" s="135"/>
      <c r="L166" s="71" t="s">
        <v>361</v>
      </c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136"/>
    </row>
    <row r="167" spans="2:29" x14ac:dyDescent="0.35">
      <c r="B167" s="34"/>
      <c r="C167" s="34"/>
      <c r="D167" s="56"/>
      <c r="E167" s="57"/>
      <c r="F167" s="57"/>
      <c r="G167" s="57"/>
      <c r="H167" s="57"/>
      <c r="I167" s="57"/>
      <c r="J167" s="134"/>
      <c r="K167" s="135"/>
      <c r="L167" s="67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137"/>
    </row>
    <row r="168" spans="2:29" x14ac:dyDescent="0.35">
      <c r="B168" s="34"/>
      <c r="C168" s="34"/>
      <c r="D168" s="56"/>
      <c r="E168" s="57"/>
      <c r="F168" s="57"/>
      <c r="G168" s="57"/>
      <c r="H168" s="57"/>
      <c r="I168" s="57"/>
      <c r="J168" s="134"/>
      <c r="K168" s="135"/>
      <c r="L168" s="67" t="s">
        <v>362</v>
      </c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137"/>
    </row>
    <row r="169" spans="2:29" x14ac:dyDescent="0.35">
      <c r="B169" s="34"/>
      <c r="C169" s="34"/>
      <c r="D169" s="56"/>
      <c r="E169" s="57"/>
      <c r="F169" s="57"/>
      <c r="G169" s="57"/>
      <c r="H169" s="57"/>
      <c r="I169" s="57"/>
      <c r="J169" s="134"/>
      <c r="K169" s="135"/>
      <c r="L169" s="128" t="s">
        <v>363</v>
      </c>
      <c r="M169" s="61"/>
      <c r="N169" s="61"/>
      <c r="O169" s="61"/>
      <c r="P169" s="60" t="s">
        <v>374</v>
      </c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138"/>
    </row>
    <row r="170" spans="2:29" x14ac:dyDescent="0.35">
      <c r="B170" s="34"/>
      <c r="C170" s="34"/>
      <c r="D170" s="56"/>
      <c r="E170" s="57"/>
      <c r="F170" s="57"/>
      <c r="G170" s="57"/>
      <c r="H170" s="57"/>
      <c r="I170" s="57"/>
      <c r="J170" s="134"/>
      <c r="K170" s="135"/>
      <c r="L170" s="128" t="s">
        <v>364</v>
      </c>
      <c r="M170" s="61"/>
      <c r="N170" s="61"/>
      <c r="O170" s="61"/>
      <c r="P170" s="60" t="s">
        <v>375</v>
      </c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138"/>
    </row>
    <row r="171" spans="2:29" x14ac:dyDescent="0.35">
      <c r="B171" s="34"/>
      <c r="C171" s="34"/>
      <c r="D171" s="56"/>
      <c r="E171" s="57"/>
      <c r="F171" s="57"/>
      <c r="G171" s="57"/>
      <c r="H171" s="57"/>
      <c r="I171" s="57"/>
      <c r="J171" s="134"/>
      <c r="K171" s="135"/>
      <c r="L171" s="128" t="s">
        <v>365</v>
      </c>
      <c r="M171" s="61"/>
      <c r="N171" s="61"/>
      <c r="O171" s="61"/>
      <c r="P171" s="60" t="s">
        <v>376</v>
      </c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138"/>
    </row>
    <row r="172" spans="2:29" x14ac:dyDescent="0.35">
      <c r="B172" s="34"/>
      <c r="C172" s="34"/>
      <c r="D172" s="56"/>
      <c r="E172" s="57"/>
      <c r="F172" s="57"/>
      <c r="G172" s="57"/>
      <c r="H172" s="57"/>
      <c r="I172" s="57"/>
      <c r="J172" s="134"/>
      <c r="K172" s="135"/>
      <c r="L172" s="128" t="s">
        <v>366</v>
      </c>
      <c r="M172" s="61"/>
      <c r="N172" s="61"/>
      <c r="O172" s="61"/>
      <c r="P172" s="60" t="s">
        <v>377</v>
      </c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138"/>
    </row>
    <row r="173" spans="2:29" x14ac:dyDescent="0.35">
      <c r="B173" s="34"/>
      <c r="C173" s="34"/>
      <c r="D173" s="56"/>
      <c r="E173" s="57"/>
      <c r="F173" s="57"/>
      <c r="G173" s="57"/>
      <c r="H173" s="57"/>
      <c r="I173" s="57"/>
      <c r="J173" s="134"/>
      <c r="K173" s="135"/>
      <c r="L173" s="128" t="s">
        <v>367</v>
      </c>
      <c r="M173" s="61"/>
      <c r="N173" s="61"/>
      <c r="O173" s="61"/>
      <c r="P173" s="60" t="s">
        <v>378</v>
      </c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138"/>
    </row>
    <row r="174" spans="2:29" x14ac:dyDescent="0.35">
      <c r="B174" s="34"/>
      <c r="C174" s="34"/>
      <c r="D174" s="56"/>
      <c r="E174" s="57"/>
      <c r="F174" s="57"/>
      <c r="G174" s="57"/>
      <c r="H174" s="57"/>
      <c r="I174" s="57"/>
      <c r="J174" s="134"/>
      <c r="K174" s="135"/>
      <c r="L174" s="128" t="s">
        <v>368</v>
      </c>
      <c r="M174" s="61"/>
      <c r="N174" s="61"/>
      <c r="O174" s="61"/>
      <c r="P174" s="60" t="s">
        <v>379</v>
      </c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138"/>
    </row>
    <row r="175" spans="2:29" x14ac:dyDescent="0.35">
      <c r="B175" s="34"/>
      <c r="C175" s="34"/>
      <c r="D175" s="56"/>
      <c r="E175" s="57"/>
      <c r="F175" s="57"/>
      <c r="G175" s="57"/>
      <c r="H175" s="57"/>
      <c r="I175" s="57"/>
      <c r="J175" s="134"/>
      <c r="K175" s="135"/>
      <c r="L175" s="128" t="s">
        <v>369</v>
      </c>
      <c r="M175" s="61"/>
      <c r="N175" s="61"/>
      <c r="O175" s="61"/>
      <c r="P175" s="60" t="s">
        <v>380</v>
      </c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138"/>
    </row>
    <row r="176" spans="2:29" x14ac:dyDescent="0.35">
      <c r="B176" s="34"/>
      <c r="C176" s="34"/>
      <c r="D176" s="56"/>
      <c r="E176" s="57"/>
      <c r="F176" s="57"/>
      <c r="G176" s="57"/>
      <c r="H176" s="57"/>
      <c r="I176" s="57"/>
      <c r="J176" s="134"/>
      <c r="K176" s="135"/>
      <c r="L176" s="128" t="s">
        <v>370</v>
      </c>
      <c r="M176" s="61"/>
      <c r="N176" s="61"/>
      <c r="O176" s="61"/>
      <c r="P176" s="60" t="s">
        <v>381</v>
      </c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138"/>
    </row>
    <row r="177" spans="2:29" x14ac:dyDescent="0.35">
      <c r="B177" s="34"/>
      <c r="C177" s="34"/>
      <c r="D177" s="56"/>
      <c r="E177" s="57"/>
      <c r="F177" s="57"/>
      <c r="G177" s="57"/>
      <c r="H177" s="57"/>
      <c r="I177" s="57"/>
      <c r="J177" s="134"/>
      <c r="K177" s="135"/>
      <c r="L177" s="128" t="s">
        <v>371</v>
      </c>
      <c r="M177" s="61"/>
      <c r="N177" s="61"/>
      <c r="O177" s="61"/>
      <c r="P177" s="60" t="s">
        <v>382</v>
      </c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138"/>
    </row>
    <row r="178" spans="2:29" x14ac:dyDescent="0.35">
      <c r="B178" s="34"/>
      <c r="C178" s="34"/>
      <c r="D178" s="56"/>
      <c r="E178" s="57"/>
      <c r="F178" s="57"/>
      <c r="G178" s="57"/>
      <c r="H178" s="57"/>
      <c r="I178" s="57"/>
      <c r="J178" s="134"/>
      <c r="K178" s="135"/>
      <c r="L178" s="128" t="s">
        <v>372</v>
      </c>
      <c r="M178" s="61"/>
      <c r="N178" s="61"/>
      <c r="O178" s="61"/>
      <c r="P178" s="60" t="s">
        <v>383</v>
      </c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138"/>
    </row>
    <row r="179" spans="2:29" x14ac:dyDescent="0.35">
      <c r="B179" s="35"/>
      <c r="C179" s="35"/>
      <c r="D179" s="58"/>
      <c r="E179" s="59"/>
      <c r="F179" s="59"/>
      <c r="G179" s="59"/>
      <c r="H179" s="59"/>
      <c r="I179" s="59"/>
      <c r="J179" s="134"/>
      <c r="K179" s="135"/>
      <c r="L179" s="129" t="s">
        <v>373</v>
      </c>
      <c r="M179" s="130"/>
      <c r="N179" s="130"/>
      <c r="O179" s="130"/>
      <c r="P179" s="80" t="s">
        <v>384</v>
      </c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139"/>
    </row>
    <row r="180" spans="2:29" x14ac:dyDescent="0.35">
      <c r="B180" s="33" t="s">
        <v>230</v>
      </c>
      <c r="C180" s="36" t="s">
        <v>237</v>
      </c>
      <c r="D180" s="39" t="s">
        <v>238</v>
      </c>
      <c r="E180" s="40"/>
      <c r="F180" s="40"/>
      <c r="G180" s="40"/>
      <c r="H180" s="40"/>
      <c r="I180" s="41"/>
      <c r="K180" s="19"/>
    </row>
    <row r="181" spans="2:29" x14ac:dyDescent="0.35">
      <c r="B181" s="34"/>
      <c r="C181" s="37"/>
      <c r="D181" s="42"/>
      <c r="E181" s="43"/>
      <c r="F181" s="43"/>
      <c r="G181" s="43"/>
      <c r="H181" s="43"/>
      <c r="I181" s="44"/>
      <c r="K181" s="19"/>
    </row>
    <row r="182" spans="2:29" ht="319" customHeight="1" x14ac:dyDescent="0.35">
      <c r="B182" s="34"/>
      <c r="C182" s="37"/>
      <c r="D182" s="42"/>
      <c r="E182" s="43"/>
      <c r="F182" s="43"/>
      <c r="G182" s="43"/>
      <c r="H182" s="43"/>
      <c r="I182" s="44"/>
      <c r="K182" s="19"/>
    </row>
    <row r="183" spans="2:29" x14ac:dyDescent="0.35">
      <c r="B183" s="34"/>
      <c r="C183" s="37"/>
      <c r="D183" s="42"/>
      <c r="E183" s="43"/>
      <c r="F183" s="43"/>
      <c r="G183" s="43"/>
      <c r="H183" s="43"/>
      <c r="I183" s="44"/>
      <c r="K183" s="19"/>
    </row>
    <row r="184" spans="2:29" x14ac:dyDescent="0.35">
      <c r="B184" s="34"/>
      <c r="C184" s="37"/>
      <c r="D184" s="42"/>
      <c r="E184" s="43"/>
      <c r="F184" s="43"/>
      <c r="G184" s="43"/>
      <c r="H184" s="43"/>
      <c r="I184" s="44"/>
      <c r="K184" s="19"/>
    </row>
    <row r="185" spans="2:29" x14ac:dyDescent="0.35">
      <c r="B185" s="35"/>
      <c r="C185" s="38"/>
      <c r="D185" s="45"/>
      <c r="E185" s="46"/>
      <c r="F185" s="46"/>
      <c r="G185" s="46"/>
      <c r="H185" s="46"/>
      <c r="I185" s="47"/>
      <c r="K185" s="19"/>
    </row>
    <row r="186" spans="2:29" x14ac:dyDescent="0.35">
      <c r="K186" s="19"/>
    </row>
    <row r="187" spans="2:29" x14ac:dyDescent="0.35">
      <c r="K187" s="19"/>
    </row>
    <row r="188" spans="2:29" x14ac:dyDescent="0.35">
      <c r="K188" s="19"/>
    </row>
    <row r="189" spans="2:29" x14ac:dyDescent="0.35">
      <c r="K189" s="19"/>
    </row>
    <row r="190" spans="2:29" x14ac:dyDescent="0.35">
      <c r="K190" s="19"/>
    </row>
    <row r="191" spans="2:29" x14ac:dyDescent="0.35">
      <c r="K191" s="19"/>
    </row>
    <row r="192" spans="2:29" x14ac:dyDescent="0.35">
      <c r="K192" s="19"/>
    </row>
    <row r="193" spans="11:11" x14ac:dyDescent="0.35">
      <c r="K193" s="19"/>
    </row>
    <row r="194" spans="11:11" x14ac:dyDescent="0.35">
      <c r="K194" s="19"/>
    </row>
    <row r="195" spans="11:11" x14ac:dyDescent="0.35">
      <c r="K195" s="19"/>
    </row>
    <row r="196" spans="11:11" x14ac:dyDescent="0.35">
      <c r="K196" s="19"/>
    </row>
    <row r="197" spans="11:11" x14ac:dyDescent="0.35">
      <c r="K197" s="19"/>
    </row>
    <row r="198" spans="11:11" x14ac:dyDescent="0.35">
      <c r="K198" s="19"/>
    </row>
    <row r="199" spans="11:11" x14ac:dyDescent="0.35">
      <c r="K199" s="19"/>
    </row>
    <row r="200" spans="11:11" x14ac:dyDescent="0.35">
      <c r="K200" s="19"/>
    </row>
    <row r="201" spans="11:11" x14ac:dyDescent="0.35">
      <c r="K201" s="19"/>
    </row>
    <row r="202" spans="11:11" x14ac:dyDescent="0.35">
      <c r="K202" s="19"/>
    </row>
    <row r="203" spans="11:11" x14ac:dyDescent="0.35">
      <c r="K203" s="19"/>
    </row>
    <row r="204" spans="11:11" x14ac:dyDescent="0.35">
      <c r="K204" s="19"/>
    </row>
    <row r="205" spans="11:11" x14ac:dyDescent="0.35">
      <c r="K205" s="19"/>
    </row>
    <row r="206" spans="11:11" x14ac:dyDescent="0.35">
      <c r="K206" s="19"/>
    </row>
    <row r="207" spans="11:11" x14ac:dyDescent="0.35">
      <c r="K207" s="19"/>
    </row>
    <row r="208" spans="11:11" x14ac:dyDescent="0.35">
      <c r="K208" s="19"/>
    </row>
    <row r="209" spans="11:11" x14ac:dyDescent="0.35">
      <c r="K209" s="19"/>
    </row>
    <row r="210" spans="11:11" x14ac:dyDescent="0.35">
      <c r="K210" s="19"/>
    </row>
    <row r="211" spans="11:11" x14ac:dyDescent="0.35">
      <c r="K211" s="19"/>
    </row>
    <row r="212" spans="11:11" x14ac:dyDescent="0.35">
      <c r="K212" s="19"/>
    </row>
    <row r="213" spans="11:11" x14ac:dyDescent="0.35">
      <c r="K213" s="19"/>
    </row>
    <row r="214" spans="11:11" x14ac:dyDescent="0.35">
      <c r="K214" s="19"/>
    </row>
    <row r="215" spans="11:11" x14ac:dyDescent="0.35">
      <c r="K215" s="19"/>
    </row>
    <row r="216" spans="11:11" x14ac:dyDescent="0.35">
      <c r="K216" s="19"/>
    </row>
    <row r="217" spans="11:11" x14ac:dyDescent="0.35">
      <c r="K217" s="19"/>
    </row>
    <row r="218" spans="11:11" x14ac:dyDescent="0.35">
      <c r="K218" s="19"/>
    </row>
    <row r="219" spans="11:11" x14ac:dyDescent="0.35">
      <c r="K219" s="19"/>
    </row>
    <row r="220" spans="11:11" x14ac:dyDescent="0.35">
      <c r="K220" s="19"/>
    </row>
    <row r="221" spans="11:11" x14ac:dyDescent="0.35">
      <c r="K221" s="19"/>
    </row>
    <row r="222" spans="11:11" x14ac:dyDescent="0.35">
      <c r="K222" s="19"/>
    </row>
    <row r="223" spans="11:11" x14ac:dyDescent="0.35">
      <c r="K223" s="19"/>
    </row>
    <row r="224" spans="11:11" x14ac:dyDescent="0.35">
      <c r="K224" s="19"/>
    </row>
    <row r="225" spans="11:11" x14ac:dyDescent="0.35">
      <c r="K225" s="19"/>
    </row>
    <row r="226" spans="11:11" x14ac:dyDescent="0.35">
      <c r="K226" s="19"/>
    </row>
    <row r="227" spans="11:11" x14ac:dyDescent="0.35">
      <c r="K227" s="19"/>
    </row>
    <row r="228" spans="11:11" x14ac:dyDescent="0.35">
      <c r="K228" s="19"/>
    </row>
    <row r="229" spans="11:11" x14ac:dyDescent="0.35">
      <c r="K229" s="19"/>
    </row>
    <row r="230" spans="11:11" x14ac:dyDescent="0.35">
      <c r="K230" s="19"/>
    </row>
    <row r="231" spans="11:11" x14ac:dyDescent="0.35">
      <c r="K231" s="19"/>
    </row>
  </sheetData>
  <mergeCells count="267">
    <mergeCell ref="J166:K179"/>
    <mergeCell ref="D166:I179"/>
    <mergeCell ref="C166:C179"/>
    <mergeCell ref="B166:B179"/>
    <mergeCell ref="L166:AC166"/>
    <mergeCell ref="L167:AC167"/>
    <mergeCell ref="L168:AC168"/>
    <mergeCell ref="P169:AC169"/>
    <mergeCell ref="P170:AC170"/>
    <mergeCell ref="P171:AC171"/>
    <mergeCell ref="P172:AC172"/>
    <mergeCell ref="P173:AC173"/>
    <mergeCell ref="P179:AC179"/>
    <mergeCell ref="P178:AC178"/>
    <mergeCell ref="P177:AC177"/>
    <mergeCell ref="P176:AC176"/>
    <mergeCell ref="P175:AC175"/>
    <mergeCell ref="P174:AC174"/>
    <mergeCell ref="L169:O169"/>
    <mergeCell ref="L170:O170"/>
    <mergeCell ref="L171:O171"/>
    <mergeCell ref="L172:O172"/>
    <mergeCell ref="L173:O173"/>
    <mergeCell ref="L174:O174"/>
    <mergeCell ref="L175:O175"/>
    <mergeCell ref="L176:O176"/>
    <mergeCell ref="L177:O177"/>
    <mergeCell ref="L178:O178"/>
    <mergeCell ref="L179:O179"/>
    <mergeCell ref="L89:V89"/>
    <mergeCell ref="J90:K95"/>
    <mergeCell ref="J103:K103"/>
    <mergeCell ref="J104:K104"/>
    <mergeCell ref="L96:V97"/>
    <mergeCell ref="J96:K97"/>
    <mergeCell ref="J100:K100"/>
    <mergeCell ref="L114:V114"/>
    <mergeCell ref="L156:Q156"/>
    <mergeCell ref="L157:Q157"/>
    <mergeCell ref="L158:Q158"/>
    <mergeCell ref="L159:Q159"/>
    <mergeCell ref="L134:Q134"/>
    <mergeCell ref="L135:Q135"/>
    <mergeCell ref="L136:Q136"/>
    <mergeCell ref="L137:Q137"/>
    <mergeCell ref="L138:Q138"/>
    <mergeCell ref="L139:Q139"/>
    <mergeCell ref="L140:Q140"/>
    <mergeCell ref="D115:I147"/>
    <mergeCell ref="C115:C147"/>
    <mergeCell ref="J109:K109"/>
    <mergeCell ref="J110:K110"/>
    <mergeCell ref="L90:V93"/>
    <mergeCell ref="J105:K105"/>
    <mergeCell ref="J106:K106"/>
    <mergeCell ref="J107:K107"/>
    <mergeCell ref="J108:K108"/>
    <mergeCell ref="L106:V106"/>
    <mergeCell ref="L107:V107"/>
    <mergeCell ref="L98:V98"/>
    <mergeCell ref="L99:V99"/>
    <mergeCell ref="L100:V100"/>
    <mergeCell ref="L101:V101"/>
    <mergeCell ref="L102:V102"/>
    <mergeCell ref="L94:V94"/>
    <mergeCell ref="L95:V95"/>
    <mergeCell ref="L113:V113"/>
    <mergeCell ref="L111:V111"/>
    <mergeCell ref="L112:V112"/>
    <mergeCell ref="L116:V116"/>
    <mergeCell ref="L117:V117"/>
    <mergeCell ref="L115:V115"/>
    <mergeCell ref="J70:K70"/>
    <mergeCell ref="J71:K71"/>
    <mergeCell ref="J72:K72"/>
    <mergeCell ref="J73:K73"/>
    <mergeCell ref="J74:K74"/>
    <mergeCell ref="L108:V108"/>
    <mergeCell ref="L109:V109"/>
    <mergeCell ref="L110:V110"/>
    <mergeCell ref="L103:V103"/>
    <mergeCell ref="L104:V104"/>
    <mergeCell ref="L105:V105"/>
    <mergeCell ref="L74:V74"/>
    <mergeCell ref="J102:K102"/>
    <mergeCell ref="L75:V76"/>
    <mergeCell ref="L77:V78"/>
    <mergeCell ref="J77:K78"/>
    <mergeCell ref="J75:K76"/>
    <mergeCell ref="J79:K80"/>
    <mergeCell ref="L79:V80"/>
    <mergeCell ref="L81:V81"/>
    <mergeCell ref="L83:V83"/>
    <mergeCell ref="L85:V85"/>
    <mergeCell ref="J37:K40"/>
    <mergeCell ref="L86:V86"/>
    <mergeCell ref="L87:V87"/>
    <mergeCell ref="L88:V88"/>
    <mergeCell ref="J101:K101"/>
    <mergeCell ref="J66:K66"/>
    <mergeCell ref="J67:K67"/>
    <mergeCell ref="J68:K68"/>
    <mergeCell ref="J61:K61"/>
    <mergeCell ref="J54:K54"/>
    <mergeCell ref="J55:K55"/>
    <mergeCell ref="J56:K56"/>
    <mergeCell ref="J57:K57"/>
    <mergeCell ref="J58:K58"/>
    <mergeCell ref="L70:V70"/>
    <mergeCell ref="L71:V71"/>
    <mergeCell ref="L72:V72"/>
    <mergeCell ref="L73:V73"/>
    <mergeCell ref="L54:V54"/>
    <mergeCell ref="L55:V55"/>
    <mergeCell ref="L56:V56"/>
    <mergeCell ref="L67:V67"/>
    <mergeCell ref="J62:K65"/>
    <mergeCell ref="J69:K69"/>
    <mergeCell ref="J59:K59"/>
    <mergeCell ref="J60:K60"/>
    <mergeCell ref="J18:K18"/>
    <mergeCell ref="J19:K19"/>
    <mergeCell ref="J20:K20"/>
    <mergeCell ref="J21:K21"/>
    <mergeCell ref="J22:K22"/>
    <mergeCell ref="J13:K13"/>
    <mergeCell ref="J14:K14"/>
    <mergeCell ref="J15:K15"/>
    <mergeCell ref="J16:K16"/>
    <mergeCell ref="J17:K17"/>
    <mergeCell ref="J46:K46"/>
    <mergeCell ref="J47:K47"/>
    <mergeCell ref="J36:K36"/>
    <mergeCell ref="J41:K41"/>
    <mergeCell ref="J42:K42"/>
    <mergeCell ref="J43:K43"/>
    <mergeCell ref="J48:K48"/>
    <mergeCell ref="J29:K29"/>
    <mergeCell ref="J23:K23"/>
    <mergeCell ref="J24:K24"/>
    <mergeCell ref="J25:K25"/>
    <mergeCell ref="J26:K26"/>
    <mergeCell ref="J49:K49"/>
    <mergeCell ref="J50:K50"/>
    <mergeCell ref="J51:K51"/>
    <mergeCell ref="J52:K52"/>
    <mergeCell ref="J53:K53"/>
    <mergeCell ref="J44:K44"/>
    <mergeCell ref="J45:K45"/>
    <mergeCell ref="L16:V16"/>
    <mergeCell ref="L15:V15"/>
    <mergeCell ref="L27:V27"/>
    <mergeCell ref="L28:V28"/>
    <mergeCell ref="L44:V44"/>
    <mergeCell ref="L45:V45"/>
    <mergeCell ref="L46:V46"/>
    <mergeCell ref="L47:V47"/>
    <mergeCell ref="L48:V48"/>
    <mergeCell ref="L49:V49"/>
    <mergeCell ref="L50:V50"/>
    <mergeCell ref="L51:V51"/>
    <mergeCell ref="L52:V52"/>
    <mergeCell ref="L53:V53"/>
    <mergeCell ref="J27:K27"/>
    <mergeCell ref="J30:K32"/>
    <mergeCell ref="J33:K35"/>
    <mergeCell ref="D8:I28"/>
    <mergeCell ref="C8:C28"/>
    <mergeCell ref="B8:B28"/>
    <mergeCell ref="L13:V13"/>
    <mergeCell ref="L14:V14"/>
    <mergeCell ref="L17:V17"/>
    <mergeCell ref="L18:V18"/>
    <mergeCell ref="L19:V19"/>
    <mergeCell ref="L20:V20"/>
    <mergeCell ref="L21:V21"/>
    <mergeCell ref="L22:V22"/>
    <mergeCell ref="L12:V12"/>
    <mergeCell ref="L8:V8"/>
    <mergeCell ref="L9:V9"/>
    <mergeCell ref="L10:V10"/>
    <mergeCell ref="L11:V11"/>
    <mergeCell ref="J28:K28"/>
    <mergeCell ref="J8:K8"/>
    <mergeCell ref="J9:K9"/>
    <mergeCell ref="J10:K10"/>
    <mergeCell ref="J11:K11"/>
    <mergeCell ref="J12:K12"/>
    <mergeCell ref="AH17:AR17"/>
    <mergeCell ref="AS17:BC17"/>
    <mergeCell ref="AH18:AR18"/>
    <mergeCell ref="J7:V7"/>
    <mergeCell ref="L123:V123"/>
    <mergeCell ref="L124:V124"/>
    <mergeCell ref="L126:V126"/>
    <mergeCell ref="L30:V32"/>
    <mergeCell ref="L23:V23"/>
    <mergeCell ref="L24:V24"/>
    <mergeCell ref="L25:V25"/>
    <mergeCell ref="L26:V26"/>
    <mergeCell ref="L29:V29"/>
    <mergeCell ref="L118:V120"/>
    <mergeCell ref="L121:V122"/>
    <mergeCell ref="L33:V35"/>
    <mergeCell ref="L36:V36"/>
    <mergeCell ref="L37:V37"/>
    <mergeCell ref="L38:V38"/>
    <mergeCell ref="L39:V39"/>
    <mergeCell ref="L40:V40"/>
    <mergeCell ref="L41:V41"/>
    <mergeCell ref="L42:V42"/>
    <mergeCell ref="L43:V43"/>
    <mergeCell ref="L61:V61"/>
    <mergeCell ref="L62:V62"/>
    <mergeCell ref="L66:V66"/>
    <mergeCell ref="L58:V58"/>
    <mergeCell ref="L68:V68"/>
    <mergeCell ref="L155:Q155"/>
    <mergeCell ref="L150:Q150"/>
    <mergeCell ref="L151:Q151"/>
    <mergeCell ref="L152:Q152"/>
    <mergeCell ref="L153:Q153"/>
    <mergeCell ref="L154:Q154"/>
    <mergeCell ref="L145:Q145"/>
    <mergeCell ref="L146:Q146"/>
    <mergeCell ref="L147:Q147"/>
    <mergeCell ref="L148:Q148"/>
    <mergeCell ref="L149:Q149"/>
    <mergeCell ref="L129:Q129"/>
    <mergeCell ref="L130:Q130"/>
    <mergeCell ref="L131:Q131"/>
    <mergeCell ref="L132:Q132"/>
    <mergeCell ref="L133:Q133"/>
    <mergeCell ref="L69:V69"/>
    <mergeCell ref="L141:Q141"/>
    <mergeCell ref="L142:Q142"/>
    <mergeCell ref="L143:Q143"/>
    <mergeCell ref="L144:Q144"/>
    <mergeCell ref="D7:I7"/>
    <mergeCell ref="B1:H5"/>
    <mergeCell ref="D156:I159"/>
    <mergeCell ref="C156:C159"/>
    <mergeCell ref="B156:B159"/>
    <mergeCell ref="D148:I151"/>
    <mergeCell ref="C148:C151"/>
    <mergeCell ref="B148:B151"/>
    <mergeCell ref="D152:I155"/>
    <mergeCell ref="C152:C155"/>
    <mergeCell ref="B152:B155"/>
    <mergeCell ref="D29:I57"/>
    <mergeCell ref="C29:C57"/>
    <mergeCell ref="D58:I66"/>
    <mergeCell ref="C58:C66"/>
    <mergeCell ref="B58:B66"/>
    <mergeCell ref="B29:B57"/>
    <mergeCell ref="B115:B147"/>
    <mergeCell ref="L59:V59"/>
    <mergeCell ref="L60:V60"/>
    <mergeCell ref="D160:I162"/>
    <mergeCell ref="D163:I165"/>
    <mergeCell ref="C160:C162"/>
    <mergeCell ref="B160:B162"/>
    <mergeCell ref="B163:B165"/>
    <mergeCell ref="C163:C165"/>
    <mergeCell ref="B180:B185"/>
    <mergeCell ref="C180:C185"/>
    <mergeCell ref="D180:I18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opLeftCell="G1" workbookViewId="0">
      <pane ySplit="1" topLeftCell="A2" activePane="bottomLeft" state="frozen"/>
      <selection pane="bottomLeft" activeCell="S2" sqref="S2"/>
    </sheetView>
  </sheetViews>
  <sheetFormatPr baseColWidth="10" defaultColWidth="8.7265625" defaultRowHeight="14.5" x14ac:dyDescent="0.35"/>
  <cols>
    <col min="1" max="1" width="14" customWidth="1"/>
    <col min="2" max="2" width="22" customWidth="1"/>
    <col min="3" max="4" width="18" customWidth="1"/>
    <col min="5" max="5" width="14" customWidth="1"/>
    <col min="6" max="6" width="24" customWidth="1"/>
    <col min="7" max="7" width="25" customWidth="1"/>
    <col min="8" max="8" width="14" customWidth="1"/>
    <col min="9" max="9" width="36" customWidth="1"/>
    <col min="10" max="11" width="37" customWidth="1"/>
    <col min="12" max="12" width="27" customWidth="1"/>
    <col min="13" max="13" width="28" customWidth="1"/>
    <col min="14" max="14" width="35" customWidth="1"/>
    <col min="15" max="16" width="27" customWidth="1"/>
    <col min="17" max="17" width="28" customWidth="1"/>
    <col min="18" max="18" width="38" customWidth="1"/>
    <col min="19" max="19" width="29" customWidth="1"/>
    <col min="20" max="20" width="34" customWidth="1"/>
    <col min="21" max="21" width="38" customWidth="1"/>
    <col min="22" max="22" width="16" customWidth="1"/>
  </cols>
  <sheetData>
    <row r="1" spans="1:22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302</v>
      </c>
      <c r="L1" s="1" t="s">
        <v>10</v>
      </c>
      <c r="M1" s="1" t="s">
        <v>11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7" t="s">
        <v>19</v>
      </c>
      <c r="T1" s="1" t="s">
        <v>20</v>
      </c>
      <c r="U1" s="1" t="s">
        <v>12</v>
      </c>
      <c r="V1" s="1" t="s">
        <v>13</v>
      </c>
    </row>
  </sheetData>
  <dataValidations count="1">
    <dataValidation type="list" allowBlank="1" sqref="K2:K200" xr:uid="{D790AC4C-8205-4A09-ADB1-4D0056F6C1A7}">
      <formula1>"CECO/elemento PEP"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000-000000000000}">
          <x14:formula1>
            <xm:f>'99_Listas'!$A$3:$A$5</xm:f>
          </x14:formula1>
          <xm:sqref>I2:I200</xm:sqref>
        </x14:dataValidation>
        <x14:dataValidation type="list" allowBlank="1" xr:uid="{00000000-0002-0000-0000-000002000000}">
          <x14:formula1>
            <xm:f>'99_Listas'!$C$3:$C$5</xm:f>
          </x14:formula1>
          <xm:sqref>U2:U200</xm:sqref>
        </x14:dataValidation>
        <x14:dataValidation type="list" allowBlank="1" xr:uid="{00000000-0002-0000-0000-000003000000}">
          <x14:formula1>
            <xm:f>'99_Listas'!$D$3:$D$5</xm:f>
          </x14:formula1>
          <xm:sqref>N2:N200</xm:sqref>
        </x14:dataValidation>
        <x14:dataValidation type="list" allowBlank="1" xr:uid="{00000000-0002-0000-0000-000004000000}">
          <x14:formula1>
            <xm:f>'99_Listas'!$E$3:$E$4</xm:f>
          </x14:formula1>
          <xm:sqref>O2:O200</xm:sqref>
        </x14:dataValidation>
        <x14:dataValidation type="list" allowBlank="1" xr:uid="{00000000-0002-0000-0000-000005000000}">
          <x14:formula1>
            <xm:f>'99_Listas'!$F$3:$F$5</xm:f>
          </x14:formula1>
          <xm:sqref>R2:R200</xm:sqref>
        </x14:dataValidation>
        <x14:dataValidation type="list" allowBlank="1" xr:uid="{00000000-0002-0000-0000-000006000000}">
          <x14:formula1>
            <xm:f>'99_Listas'!$G$3:$G$5</xm:f>
          </x14:formula1>
          <xm:sqref>T2:T200</xm:sqref>
        </x14:dataValidation>
        <x14:dataValidation type="list" allowBlank="1" xr:uid="{00000000-0002-0000-0000-000001000000}">
          <x14:formula1>
            <xm:f>'99_Listas'!$B$3:$B$4</xm:f>
          </x14:formula1>
          <xm:sqref>J2:J200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0"/>
  <sheetViews>
    <sheetView topLeftCell="H1" workbookViewId="0">
      <pane ySplit="1" topLeftCell="A2" activePane="bottomLeft" state="frozen"/>
      <selection pane="bottomLeft" activeCell="D9" sqref="D9"/>
    </sheetView>
  </sheetViews>
  <sheetFormatPr baseColWidth="10" defaultColWidth="8.7265625" defaultRowHeight="14.5" x14ac:dyDescent="0.35"/>
  <cols>
    <col min="1" max="1" width="14" customWidth="1"/>
    <col min="2" max="2" width="38" customWidth="1"/>
    <col min="3" max="3" width="25" customWidth="1"/>
    <col min="4" max="4" width="19" customWidth="1"/>
    <col min="5" max="5" width="23" customWidth="1"/>
    <col min="6" max="7" width="14" customWidth="1"/>
    <col min="8" max="8" width="31" customWidth="1"/>
    <col min="9" max="9" width="27" customWidth="1"/>
    <col min="10" max="10" width="28" customWidth="1"/>
    <col min="11" max="11" width="20" customWidth="1"/>
    <col min="12" max="12" width="18" customWidth="1"/>
    <col min="13" max="13" width="27" customWidth="1"/>
    <col min="14" max="14" width="29" customWidth="1"/>
    <col min="15" max="15" width="15.81640625" customWidth="1"/>
    <col min="16" max="16" width="12.453125" customWidth="1"/>
  </cols>
  <sheetData>
    <row r="1" spans="1:17" ht="28" customHeight="1" x14ac:dyDescent="0.35">
      <c r="A1" s="1" t="s">
        <v>21</v>
      </c>
      <c r="B1" s="1" t="s">
        <v>244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20" t="s">
        <v>43</v>
      </c>
      <c r="P1" s="20" t="s">
        <v>44</v>
      </c>
      <c r="Q1" s="1" t="s">
        <v>247</v>
      </c>
    </row>
    <row r="2" spans="1:17" x14ac:dyDescent="0.35">
      <c r="K2" t="str">
        <f>IFERROR(VLOOKUP(J2,tbFactorMes,2,FALSE),"")</f>
        <v/>
      </c>
      <c r="L2" t="str">
        <f>IFERROR(VLOOKUP(F2,tbTurnos,3,FALSE),"")</f>
        <v/>
      </c>
      <c r="M2">
        <f t="shared" ref="M2:M65" si="0">IFERROR((I2*L2)/K2,0)</f>
        <v>0</v>
      </c>
      <c r="Q2" t="s">
        <v>248</v>
      </c>
    </row>
    <row r="3" spans="1:17" x14ac:dyDescent="0.35">
      <c r="K3" t="str">
        <f>IFERROR(VLOOKUP(J3,tbFactorMes,2,FALSE),"")</f>
        <v/>
      </c>
      <c r="L3" t="str">
        <f>IFERROR(VLOOKUP(F3,tbTurnos,3,FALSE),"")</f>
        <v/>
      </c>
      <c r="M3">
        <f t="shared" si="0"/>
        <v>0</v>
      </c>
    </row>
    <row r="4" spans="1:17" x14ac:dyDescent="0.35">
      <c r="K4" t="str">
        <f>IFERROR(VLOOKUP(J4,tbFactorMes,2,FALSE),"")</f>
        <v/>
      </c>
      <c r="L4" t="str">
        <f>IFERROR(VLOOKUP(F4,tbTurnos,3,FALSE),"")</f>
        <v/>
      </c>
      <c r="M4">
        <f t="shared" si="0"/>
        <v>0</v>
      </c>
    </row>
    <row r="5" spans="1:17" x14ac:dyDescent="0.35">
      <c r="K5" t="str">
        <f>IFERROR(VLOOKUP(J5,tbFactorMes,2,FALSE),"")</f>
        <v/>
      </c>
      <c r="L5" t="str">
        <f>IFERROR(VLOOKUP(F5,tbTurnos,3,FALSE),"")</f>
        <v/>
      </c>
      <c r="M5">
        <f t="shared" si="0"/>
        <v>0</v>
      </c>
    </row>
    <row r="6" spans="1:17" x14ac:dyDescent="0.35">
      <c r="K6" t="str">
        <f>IFERROR(VLOOKUP(J6,tbFactorMes,2,FALSE),"")</f>
        <v/>
      </c>
      <c r="L6" t="str">
        <f>IFERROR(VLOOKUP(F6,tbTurnos,3,FALSE),"")</f>
        <v/>
      </c>
      <c r="M6">
        <f t="shared" si="0"/>
        <v>0</v>
      </c>
    </row>
    <row r="7" spans="1:17" x14ac:dyDescent="0.35">
      <c r="K7" t="str">
        <f>IFERROR(VLOOKUP(J7,tbFactorMes,2,FALSE),"")</f>
        <v/>
      </c>
      <c r="L7" t="str">
        <f>IFERROR(VLOOKUP(F7,tbTurnos,3,FALSE),"")</f>
        <v/>
      </c>
      <c r="M7">
        <f t="shared" si="0"/>
        <v>0</v>
      </c>
    </row>
    <row r="8" spans="1:17" x14ac:dyDescent="0.35">
      <c r="K8" t="str">
        <f>IFERROR(VLOOKUP(J8,tbFactorMes,2,FALSE),"")</f>
        <v/>
      </c>
      <c r="L8" t="str">
        <f>IFERROR(VLOOKUP(F8,tbTurnos,3,FALSE),"")</f>
        <v/>
      </c>
      <c r="M8">
        <f t="shared" si="0"/>
        <v>0</v>
      </c>
    </row>
    <row r="9" spans="1:17" x14ac:dyDescent="0.35">
      <c r="K9" t="str">
        <f>IFERROR(VLOOKUP(J9,tbFactorMes,2,FALSE),"")</f>
        <v/>
      </c>
      <c r="L9" t="str">
        <f>IFERROR(VLOOKUP(F9,tbTurnos,3,FALSE),"")</f>
        <v/>
      </c>
      <c r="M9">
        <f t="shared" si="0"/>
        <v>0</v>
      </c>
    </row>
    <row r="10" spans="1:17" x14ac:dyDescent="0.35">
      <c r="K10" t="str">
        <f>IFERROR(VLOOKUP(J10,tbFactorMes,2,FALSE),"")</f>
        <v/>
      </c>
      <c r="L10" t="str">
        <f>IFERROR(VLOOKUP(F10,tbTurnos,3,FALSE),"")</f>
        <v/>
      </c>
      <c r="M10">
        <f t="shared" si="0"/>
        <v>0</v>
      </c>
    </row>
    <row r="11" spans="1:17" x14ac:dyDescent="0.35">
      <c r="K11" t="str">
        <f>IFERROR(VLOOKUP(J11,tbFactorMes,2,FALSE),"")</f>
        <v/>
      </c>
      <c r="L11" t="str">
        <f>IFERROR(VLOOKUP(F11,tbTurnos,3,FALSE),"")</f>
        <v/>
      </c>
      <c r="M11">
        <f t="shared" si="0"/>
        <v>0</v>
      </c>
    </row>
    <row r="12" spans="1:17" x14ac:dyDescent="0.35">
      <c r="K12" t="str">
        <f>IFERROR(VLOOKUP(J12,tbFactorMes,2,FALSE),"")</f>
        <v/>
      </c>
      <c r="L12" t="str">
        <f>IFERROR(VLOOKUP(F12,tbTurnos,3,FALSE),"")</f>
        <v/>
      </c>
      <c r="M12">
        <f t="shared" si="0"/>
        <v>0</v>
      </c>
    </row>
    <row r="13" spans="1:17" x14ac:dyDescent="0.35">
      <c r="K13" t="str">
        <f>IFERROR(VLOOKUP(J13,tbFactorMes,2,FALSE),"")</f>
        <v/>
      </c>
      <c r="L13" t="str">
        <f>IFERROR(VLOOKUP(F13,tbTurnos,3,FALSE),"")</f>
        <v/>
      </c>
      <c r="M13">
        <f t="shared" si="0"/>
        <v>0</v>
      </c>
    </row>
    <row r="14" spans="1:17" x14ac:dyDescent="0.35">
      <c r="K14" t="str">
        <f>IFERROR(VLOOKUP(J14,tbFactorMes,2,FALSE),"")</f>
        <v/>
      </c>
      <c r="L14" t="str">
        <f>IFERROR(VLOOKUP(F14,tbTurnos,3,FALSE),"")</f>
        <v/>
      </c>
      <c r="M14">
        <f t="shared" si="0"/>
        <v>0</v>
      </c>
    </row>
    <row r="15" spans="1:17" x14ac:dyDescent="0.35">
      <c r="K15" t="str">
        <f>IFERROR(VLOOKUP(J15,tbFactorMes,2,FALSE),"")</f>
        <v/>
      </c>
      <c r="L15" t="str">
        <f>IFERROR(VLOOKUP(F15,tbTurnos,3,FALSE),"")</f>
        <v/>
      </c>
      <c r="M15">
        <f t="shared" si="0"/>
        <v>0</v>
      </c>
    </row>
    <row r="16" spans="1:17" x14ac:dyDescent="0.35">
      <c r="K16" t="str">
        <f>IFERROR(VLOOKUP(J16,tbFactorMes,2,FALSE),"")</f>
        <v/>
      </c>
      <c r="L16" t="str">
        <f>IFERROR(VLOOKUP(F16,tbTurnos,3,FALSE),"")</f>
        <v/>
      </c>
      <c r="M16">
        <f t="shared" si="0"/>
        <v>0</v>
      </c>
    </row>
    <row r="17" spans="11:13" x14ac:dyDescent="0.35">
      <c r="K17" t="str">
        <f>IFERROR(VLOOKUP(J17,tbFactorMes,2,FALSE),"")</f>
        <v/>
      </c>
      <c r="L17" t="str">
        <f>IFERROR(VLOOKUP(F17,tbTurnos,3,FALSE),"")</f>
        <v/>
      </c>
      <c r="M17">
        <f t="shared" si="0"/>
        <v>0</v>
      </c>
    </row>
    <row r="18" spans="11:13" x14ac:dyDescent="0.35">
      <c r="K18" t="str">
        <f>IFERROR(VLOOKUP(J18,tbFactorMes,2,FALSE),"")</f>
        <v/>
      </c>
      <c r="L18" t="str">
        <f>IFERROR(VLOOKUP(F18,tbTurnos,3,FALSE),"")</f>
        <v/>
      </c>
      <c r="M18">
        <f t="shared" si="0"/>
        <v>0</v>
      </c>
    </row>
    <row r="19" spans="11:13" x14ac:dyDescent="0.35">
      <c r="K19" t="str">
        <f>IFERROR(VLOOKUP(J19,tbFactorMes,2,FALSE),"")</f>
        <v/>
      </c>
      <c r="L19" t="str">
        <f>IFERROR(VLOOKUP(F19,tbTurnos,3,FALSE),"")</f>
        <v/>
      </c>
      <c r="M19">
        <f t="shared" si="0"/>
        <v>0</v>
      </c>
    </row>
    <row r="20" spans="11:13" x14ac:dyDescent="0.35">
      <c r="K20" t="str">
        <f>IFERROR(VLOOKUP(J20,tbFactorMes,2,FALSE),"")</f>
        <v/>
      </c>
      <c r="L20" t="str">
        <f>IFERROR(VLOOKUP(F20,tbTurnos,3,FALSE),"")</f>
        <v/>
      </c>
      <c r="M20">
        <f t="shared" si="0"/>
        <v>0</v>
      </c>
    </row>
    <row r="21" spans="11:13" x14ac:dyDescent="0.35">
      <c r="K21" t="str">
        <f>IFERROR(VLOOKUP(J21,tbFactorMes,2,FALSE),"")</f>
        <v/>
      </c>
      <c r="L21" t="str">
        <f>IFERROR(VLOOKUP(F21,tbTurnos,3,FALSE),"")</f>
        <v/>
      </c>
      <c r="M21">
        <f t="shared" si="0"/>
        <v>0</v>
      </c>
    </row>
    <row r="22" spans="11:13" x14ac:dyDescent="0.35">
      <c r="K22" t="str">
        <f>IFERROR(VLOOKUP(J22,tbFactorMes,2,FALSE),"")</f>
        <v/>
      </c>
      <c r="L22" t="str">
        <f>IFERROR(VLOOKUP(F22,tbTurnos,3,FALSE),"")</f>
        <v/>
      </c>
      <c r="M22">
        <f t="shared" si="0"/>
        <v>0</v>
      </c>
    </row>
    <row r="23" spans="11:13" x14ac:dyDescent="0.35">
      <c r="K23" t="str">
        <f>IFERROR(VLOOKUP(J23,tbFactorMes,2,FALSE),"")</f>
        <v/>
      </c>
      <c r="L23" t="str">
        <f>IFERROR(VLOOKUP(F23,tbTurnos,3,FALSE),"")</f>
        <v/>
      </c>
      <c r="M23">
        <f t="shared" si="0"/>
        <v>0</v>
      </c>
    </row>
    <row r="24" spans="11:13" x14ac:dyDescent="0.35">
      <c r="K24" t="str">
        <f>IFERROR(VLOOKUP(J24,tbFactorMes,2,FALSE),"")</f>
        <v/>
      </c>
      <c r="L24" t="str">
        <f>IFERROR(VLOOKUP(F24,tbTurnos,3,FALSE),"")</f>
        <v/>
      </c>
      <c r="M24">
        <f t="shared" si="0"/>
        <v>0</v>
      </c>
    </row>
    <row r="25" spans="11:13" x14ac:dyDescent="0.35">
      <c r="K25" t="str">
        <f>IFERROR(VLOOKUP(J25,tbFactorMes,2,FALSE),"")</f>
        <v/>
      </c>
      <c r="L25" t="str">
        <f>IFERROR(VLOOKUP(F25,tbTurnos,3,FALSE),"")</f>
        <v/>
      </c>
      <c r="M25">
        <f t="shared" si="0"/>
        <v>0</v>
      </c>
    </row>
    <row r="26" spans="11:13" x14ac:dyDescent="0.35">
      <c r="K26" t="str">
        <f>IFERROR(VLOOKUP(J26,tbFactorMes,2,FALSE),"")</f>
        <v/>
      </c>
      <c r="L26" t="str">
        <f>IFERROR(VLOOKUP(F26,tbTurnos,3,FALSE),"")</f>
        <v/>
      </c>
      <c r="M26">
        <f t="shared" si="0"/>
        <v>0</v>
      </c>
    </row>
    <row r="27" spans="11:13" x14ac:dyDescent="0.35">
      <c r="K27" t="str">
        <f>IFERROR(VLOOKUP(J27,tbFactorMes,2,FALSE),"")</f>
        <v/>
      </c>
      <c r="L27" t="str">
        <f>IFERROR(VLOOKUP(F27,tbTurnos,3,FALSE),"")</f>
        <v/>
      </c>
      <c r="M27">
        <f t="shared" si="0"/>
        <v>0</v>
      </c>
    </row>
    <row r="28" spans="11:13" x14ac:dyDescent="0.35">
      <c r="K28" t="str">
        <f>IFERROR(VLOOKUP(J28,tbFactorMes,2,FALSE),"")</f>
        <v/>
      </c>
      <c r="L28" t="str">
        <f>IFERROR(VLOOKUP(F28,tbTurnos,3,FALSE),"")</f>
        <v/>
      </c>
      <c r="M28">
        <f t="shared" si="0"/>
        <v>0</v>
      </c>
    </row>
    <row r="29" spans="11:13" x14ac:dyDescent="0.35">
      <c r="K29" t="str">
        <f>IFERROR(VLOOKUP(J29,tbFactorMes,2,FALSE),"")</f>
        <v/>
      </c>
      <c r="L29" t="str">
        <f>IFERROR(VLOOKUP(F29,tbTurnos,3,FALSE),"")</f>
        <v/>
      </c>
      <c r="M29">
        <f t="shared" si="0"/>
        <v>0</v>
      </c>
    </row>
    <row r="30" spans="11:13" x14ac:dyDescent="0.35">
      <c r="K30" t="str">
        <f>IFERROR(VLOOKUP(J30,tbFactorMes,2,FALSE),"")</f>
        <v/>
      </c>
      <c r="L30" t="str">
        <f>IFERROR(VLOOKUP(F30,tbTurnos,3,FALSE),"")</f>
        <v/>
      </c>
      <c r="M30">
        <f t="shared" si="0"/>
        <v>0</v>
      </c>
    </row>
    <row r="31" spans="11:13" x14ac:dyDescent="0.35">
      <c r="K31" t="str">
        <f>IFERROR(VLOOKUP(J31,tbFactorMes,2,FALSE),"")</f>
        <v/>
      </c>
      <c r="L31" t="str">
        <f>IFERROR(VLOOKUP(F31,tbTurnos,3,FALSE),"")</f>
        <v/>
      </c>
      <c r="M31">
        <f t="shared" si="0"/>
        <v>0</v>
      </c>
    </row>
    <row r="32" spans="11:13" x14ac:dyDescent="0.35">
      <c r="K32" t="str">
        <f>IFERROR(VLOOKUP(J32,tbFactorMes,2,FALSE),"")</f>
        <v/>
      </c>
      <c r="L32" t="str">
        <f>IFERROR(VLOOKUP(F32,tbTurnos,3,FALSE),"")</f>
        <v/>
      </c>
      <c r="M32">
        <f t="shared" si="0"/>
        <v>0</v>
      </c>
    </row>
    <row r="33" spans="11:13" x14ac:dyDescent="0.35">
      <c r="K33" t="str">
        <f>IFERROR(VLOOKUP(J33,tbFactorMes,2,FALSE),"")</f>
        <v/>
      </c>
      <c r="L33" t="str">
        <f>IFERROR(VLOOKUP(F33,tbTurnos,3,FALSE),"")</f>
        <v/>
      </c>
      <c r="M33">
        <f t="shared" si="0"/>
        <v>0</v>
      </c>
    </row>
    <row r="34" spans="11:13" x14ac:dyDescent="0.35">
      <c r="K34" t="str">
        <f>IFERROR(VLOOKUP(J34,tbFactorMes,2,FALSE),"")</f>
        <v/>
      </c>
      <c r="L34" t="str">
        <f>IFERROR(VLOOKUP(F34,tbTurnos,3,FALSE),"")</f>
        <v/>
      </c>
      <c r="M34">
        <f t="shared" si="0"/>
        <v>0</v>
      </c>
    </row>
    <row r="35" spans="11:13" x14ac:dyDescent="0.35">
      <c r="K35" t="str">
        <f>IFERROR(VLOOKUP(J35,tbFactorMes,2,FALSE),"")</f>
        <v/>
      </c>
      <c r="L35" t="str">
        <f>IFERROR(VLOOKUP(F35,tbTurnos,3,FALSE),"")</f>
        <v/>
      </c>
      <c r="M35">
        <f t="shared" si="0"/>
        <v>0</v>
      </c>
    </row>
    <row r="36" spans="11:13" x14ac:dyDescent="0.35">
      <c r="K36" t="str">
        <f>IFERROR(VLOOKUP(J36,tbFactorMes,2,FALSE),"")</f>
        <v/>
      </c>
      <c r="L36" t="str">
        <f>IFERROR(VLOOKUP(F36,tbTurnos,3,FALSE),"")</f>
        <v/>
      </c>
      <c r="M36">
        <f t="shared" si="0"/>
        <v>0</v>
      </c>
    </row>
    <row r="37" spans="11:13" x14ac:dyDescent="0.35">
      <c r="K37" t="str">
        <f>IFERROR(VLOOKUP(J37,tbFactorMes,2,FALSE),"")</f>
        <v/>
      </c>
      <c r="L37" t="str">
        <f>IFERROR(VLOOKUP(F37,tbTurnos,3,FALSE),"")</f>
        <v/>
      </c>
      <c r="M37">
        <f t="shared" si="0"/>
        <v>0</v>
      </c>
    </row>
    <row r="38" spans="11:13" x14ac:dyDescent="0.35">
      <c r="K38" t="str">
        <f>IFERROR(VLOOKUP(J38,tbFactorMes,2,FALSE),"")</f>
        <v/>
      </c>
      <c r="L38" t="str">
        <f>IFERROR(VLOOKUP(F38,tbTurnos,3,FALSE),"")</f>
        <v/>
      </c>
      <c r="M38">
        <f t="shared" si="0"/>
        <v>0</v>
      </c>
    </row>
    <row r="39" spans="11:13" x14ac:dyDescent="0.35">
      <c r="K39" t="str">
        <f>IFERROR(VLOOKUP(J39,tbFactorMes,2,FALSE),"")</f>
        <v/>
      </c>
      <c r="L39" t="str">
        <f>IFERROR(VLOOKUP(F39,tbTurnos,3,FALSE),"")</f>
        <v/>
      </c>
      <c r="M39">
        <f t="shared" si="0"/>
        <v>0</v>
      </c>
    </row>
    <row r="40" spans="11:13" x14ac:dyDescent="0.35">
      <c r="K40" t="str">
        <f>IFERROR(VLOOKUP(J40,tbFactorMes,2,FALSE),"")</f>
        <v/>
      </c>
      <c r="L40" t="str">
        <f>IFERROR(VLOOKUP(F40,tbTurnos,3,FALSE),"")</f>
        <v/>
      </c>
      <c r="M40">
        <f t="shared" si="0"/>
        <v>0</v>
      </c>
    </row>
    <row r="41" spans="11:13" x14ac:dyDescent="0.35">
      <c r="K41" t="str">
        <f>IFERROR(VLOOKUP(J41,tbFactorMes,2,FALSE),"")</f>
        <v/>
      </c>
      <c r="L41" t="str">
        <f>IFERROR(VLOOKUP(F41,tbTurnos,3,FALSE),"")</f>
        <v/>
      </c>
      <c r="M41">
        <f t="shared" si="0"/>
        <v>0</v>
      </c>
    </row>
    <row r="42" spans="11:13" x14ac:dyDescent="0.35">
      <c r="K42" t="str">
        <f>IFERROR(VLOOKUP(J42,tbFactorMes,2,FALSE),"")</f>
        <v/>
      </c>
      <c r="L42" t="str">
        <f>IFERROR(VLOOKUP(F42,tbTurnos,3,FALSE),"")</f>
        <v/>
      </c>
      <c r="M42">
        <f t="shared" si="0"/>
        <v>0</v>
      </c>
    </row>
    <row r="43" spans="11:13" x14ac:dyDescent="0.35">
      <c r="K43" t="str">
        <f>IFERROR(VLOOKUP(J43,tbFactorMes,2,FALSE),"")</f>
        <v/>
      </c>
      <c r="L43" t="str">
        <f>IFERROR(VLOOKUP(F43,tbTurnos,3,FALSE),"")</f>
        <v/>
      </c>
      <c r="M43">
        <f t="shared" si="0"/>
        <v>0</v>
      </c>
    </row>
    <row r="44" spans="11:13" x14ac:dyDescent="0.35">
      <c r="K44" t="str">
        <f>IFERROR(VLOOKUP(J44,tbFactorMes,2,FALSE),"")</f>
        <v/>
      </c>
      <c r="L44" t="str">
        <f>IFERROR(VLOOKUP(F44,tbTurnos,3,FALSE),"")</f>
        <v/>
      </c>
      <c r="M44">
        <f t="shared" si="0"/>
        <v>0</v>
      </c>
    </row>
    <row r="45" spans="11:13" x14ac:dyDescent="0.35">
      <c r="K45" t="str">
        <f>IFERROR(VLOOKUP(J45,tbFactorMes,2,FALSE),"")</f>
        <v/>
      </c>
      <c r="L45" t="str">
        <f>IFERROR(VLOOKUP(F45,tbTurnos,3,FALSE),"")</f>
        <v/>
      </c>
      <c r="M45">
        <f t="shared" si="0"/>
        <v>0</v>
      </c>
    </row>
    <row r="46" spans="11:13" x14ac:dyDescent="0.35">
      <c r="K46" t="str">
        <f>IFERROR(VLOOKUP(J46,tbFactorMes,2,FALSE),"")</f>
        <v/>
      </c>
      <c r="L46" t="str">
        <f>IFERROR(VLOOKUP(F46,tbTurnos,3,FALSE),"")</f>
        <v/>
      </c>
      <c r="M46">
        <f t="shared" si="0"/>
        <v>0</v>
      </c>
    </row>
    <row r="47" spans="11:13" x14ac:dyDescent="0.35">
      <c r="K47" t="str">
        <f>IFERROR(VLOOKUP(J47,tbFactorMes,2,FALSE),"")</f>
        <v/>
      </c>
      <c r="L47" t="str">
        <f>IFERROR(VLOOKUP(F47,tbTurnos,3,FALSE),"")</f>
        <v/>
      </c>
      <c r="M47">
        <f t="shared" si="0"/>
        <v>0</v>
      </c>
    </row>
    <row r="48" spans="11:13" x14ac:dyDescent="0.35">
      <c r="K48" t="str">
        <f>IFERROR(VLOOKUP(J48,tbFactorMes,2,FALSE),"")</f>
        <v/>
      </c>
      <c r="L48" t="str">
        <f>IFERROR(VLOOKUP(F48,tbTurnos,3,FALSE),"")</f>
        <v/>
      </c>
      <c r="M48">
        <f t="shared" si="0"/>
        <v>0</v>
      </c>
    </row>
    <row r="49" spans="11:13" x14ac:dyDescent="0.35">
      <c r="K49" t="str">
        <f>IFERROR(VLOOKUP(J49,tbFactorMes,2,FALSE),"")</f>
        <v/>
      </c>
      <c r="L49" t="str">
        <f>IFERROR(VLOOKUP(F49,tbTurnos,3,FALSE),"")</f>
        <v/>
      </c>
      <c r="M49">
        <f t="shared" si="0"/>
        <v>0</v>
      </c>
    </row>
    <row r="50" spans="11:13" x14ac:dyDescent="0.35">
      <c r="K50" t="str">
        <f>IFERROR(VLOOKUP(J50,tbFactorMes,2,FALSE),"")</f>
        <v/>
      </c>
      <c r="L50" t="str">
        <f>IFERROR(VLOOKUP(F50,tbTurnos,3,FALSE),"")</f>
        <v/>
      </c>
      <c r="M50">
        <f t="shared" si="0"/>
        <v>0</v>
      </c>
    </row>
    <row r="51" spans="11:13" x14ac:dyDescent="0.35">
      <c r="K51" t="str">
        <f>IFERROR(VLOOKUP(J51,tbFactorMes,2,FALSE),"")</f>
        <v/>
      </c>
      <c r="L51" t="str">
        <f>IFERROR(VLOOKUP(F51,tbTurnos,3,FALSE),"")</f>
        <v/>
      </c>
      <c r="M51">
        <f t="shared" si="0"/>
        <v>0</v>
      </c>
    </row>
    <row r="52" spans="11:13" x14ac:dyDescent="0.35">
      <c r="K52" t="str">
        <f>IFERROR(VLOOKUP(J52,tbFactorMes,2,FALSE),"")</f>
        <v/>
      </c>
      <c r="L52" t="str">
        <f>IFERROR(VLOOKUP(F52,tbTurnos,3,FALSE),"")</f>
        <v/>
      </c>
      <c r="M52">
        <f t="shared" si="0"/>
        <v>0</v>
      </c>
    </row>
    <row r="53" spans="11:13" x14ac:dyDescent="0.35">
      <c r="K53" t="str">
        <f>IFERROR(VLOOKUP(J53,tbFactorMes,2,FALSE),"")</f>
        <v/>
      </c>
      <c r="L53" t="str">
        <f>IFERROR(VLOOKUP(F53,tbTurnos,3,FALSE),"")</f>
        <v/>
      </c>
      <c r="M53">
        <f t="shared" si="0"/>
        <v>0</v>
      </c>
    </row>
    <row r="54" spans="11:13" x14ac:dyDescent="0.35">
      <c r="K54" t="str">
        <f>IFERROR(VLOOKUP(J54,tbFactorMes,2,FALSE),"")</f>
        <v/>
      </c>
      <c r="L54" t="str">
        <f>IFERROR(VLOOKUP(F54,tbTurnos,3,FALSE),"")</f>
        <v/>
      </c>
      <c r="M54">
        <f t="shared" si="0"/>
        <v>0</v>
      </c>
    </row>
    <row r="55" spans="11:13" x14ac:dyDescent="0.35">
      <c r="K55" t="str">
        <f>IFERROR(VLOOKUP(J55,tbFactorMes,2,FALSE),"")</f>
        <v/>
      </c>
      <c r="L55" t="str">
        <f>IFERROR(VLOOKUP(F55,tbTurnos,3,FALSE),"")</f>
        <v/>
      </c>
      <c r="M55">
        <f t="shared" si="0"/>
        <v>0</v>
      </c>
    </row>
    <row r="56" spans="11:13" x14ac:dyDescent="0.35">
      <c r="K56" t="str">
        <f>IFERROR(VLOOKUP(J56,tbFactorMes,2,FALSE),"")</f>
        <v/>
      </c>
      <c r="L56" t="str">
        <f>IFERROR(VLOOKUP(F56,tbTurnos,3,FALSE),"")</f>
        <v/>
      </c>
      <c r="M56">
        <f t="shared" si="0"/>
        <v>0</v>
      </c>
    </row>
    <row r="57" spans="11:13" x14ac:dyDescent="0.35">
      <c r="K57" t="str">
        <f>IFERROR(VLOOKUP(J57,tbFactorMes,2,FALSE),"")</f>
        <v/>
      </c>
      <c r="L57" t="str">
        <f>IFERROR(VLOOKUP(F57,tbTurnos,3,FALSE),"")</f>
        <v/>
      </c>
      <c r="M57">
        <f t="shared" si="0"/>
        <v>0</v>
      </c>
    </row>
    <row r="58" spans="11:13" x14ac:dyDescent="0.35">
      <c r="K58" t="str">
        <f>IFERROR(VLOOKUP(J58,tbFactorMes,2,FALSE),"")</f>
        <v/>
      </c>
      <c r="L58" t="str">
        <f>IFERROR(VLOOKUP(F58,tbTurnos,3,FALSE),"")</f>
        <v/>
      </c>
      <c r="M58">
        <f t="shared" si="0"/>
        <v>0</v>
      </c>
    </row>
    <row r="59" spans="11:13" x14ac:dyDescent="0.35">
      <c r="K59" t="str">
        <f>IFERROR(VLOOKUP(J59,tbFactorMes,2,FALSE),"")</f>
        <v/>
      </c>
      <c r="L59" t="str">
        <f>IFERROR(VLOOKUP(F59,tbTurnos,3,FALSE),"")</f>
        <v/>
      </c>
      <c r="M59">
        <f t="shared" si="0"/>
        <v>0</v>
      </c>
    </row>
    <row r="60" spans="11:13" x14ac:dyDescent="0.35">
      <c r="K60" t="str">
        <f>IFERROR(VLOOKUP(J60,tbFactorMes,2,FALSE),"")</f>
        <v/>
      </c>
      <c r="L60" t="str">
        <f>IFERROR(VLOOKUP(F60,tbTurnos,3,FALSE),"")</f>
        <v/>
      </c>
      <c r="M60">
        <f t="shared" si="0"/>
        <v>0</v>
      </c>
    </row>
    <row r="61" spans="11:13" x14ac:dyDescent="0.35">
      <c r="K61" t="str">
        <f>IFERROR(VLOOKUP(J61,tbFactorMes,2,FALSE),"")</f>
        <v/>
      </c>
      <c r="L61" t="str">
        <f>IFERROR(VLOOKUP(F61,tbTurnos,3,FALSE),"")</f>
        <v/>
      </c>
      <c r="M61">
        <f t="shared" si="0"/>
        <v>0</v>
      </c>
    </row>
    <row r="62" spans="11:13" x14ac:dyDescent="0.35">
      <c r="K62" t="str">
        <f>IFERROR(VLOOKUP(J62,tbFactorMes,2,FALSE),"")</f>
        <v/>
      </c>
      <c r="L62" t="str">
        <f>IFERROR(VLOOKUP(F62,tbTurnos,3,FALSE),"")</f>
        <v/>
      </c>
      <c r="M62">
        <f t="shared" si="0"/>
        <v>0</v>
      </c>
    </row>
    <row r="63" spans="11:13" x14ac:dyDescent="0.35">
      <c r="K63" t="str">
        <f>IFERROR(VLOOKUP(J63,tbFactorMes,2,FALSE),"")</f>
        <v/>
      </c>
      <c r="L63" t="str">
        <f>IFERROR(VLOOKUP(F63,tbTurnos,3,FALSE),"")</f>
        <v/>
      </c>
      <c r="M63">
        <f t="shared" si="0"/>
        <v>0</v>
      </c>
    </row>
    <row r="64" spans="11:13" x14ac:dyDescent="0.35">
      <c r="K64" t="str">
        <f>IFERROR(VLOOKUP(J64,tbFactorMes,2,FALSE),"")</f>
        <v/>
      </c>
      <c r="L64" t="str">
        <f>IFERROR(VLOOKUP(F64,tbTurnos,3,FALSE),"")</f>
        <v/>
      </c>
      <c r="M64">
        <f t="shared" si="0"/>
        <v>0</v>
      </c>
    </row>
    <row r="65" spans="11:13" x14ac:dyDescent="0.35">
      <c r="K65" t="str">
        <f>IFERROR(VLOOKUP(J65,tbFactorMes,2,FALSE),"")</f>
        <v/>
      </c>
      <c r="L65" t="str">
        <f>IFERROR(VLOOKUP(F65,tbTurnos,3,FALSE),"")</f>
        <v/>
      </c>
      <c r="M65">
        <f t="shared" si="0"/>
        <v>0</v>
      </c>
    </row>
    <row r="66" spans="11:13" x14ac:dyDescent="0.35">
      <c r="K66" t="str">
        <f>IFERROR(VLOOKUP(J66,tbFactorMes,2,FALSE),"")</f>
        <v/>
      </c>
      <c r="L66" t="str">
        <f>IFERROR(VLOOKUP(F66,tbTurnos,3,FALSE),"")</f>
        <v/>
      </c>
      <c r="M66">
        <f t="shared" ref="M66:M129" si="1">IFERROR((I66*L66)/K66,0)</f>
        <v>0</v>
      </c>
    </row>
    <row r="67" spans="11:13" x14ac:dyDescent="0.35">
      <c r="K67" t="str">
        <f>IFERROR(VLOOKUP(J67,tbFactorMes,2,FALSE),"")</f>
        <v/>
      </c>
      <c r="L67" t="str">
        <f>IFERROR(VLOOKUP(F67,tbTurnos,3,FALSE),"")</f>
        <v/>
      </c>
      <c r="M67">
        <f t="shared" si="1"/>
        <v>0</v>
      </c>
    </row>
    <row r="68" spans="11:13" x14ac:dyDescent="0.35">
      <c r="K68" t="str">
        <f>IFERROR(VLOOKUP(J68,tbFactorMes,2,FALSE),"")</f>
        <v/>
      </c>
      <c r="L68" t="str">
        <f>IFERROR(VLOOKUP(F68,tbTurnos,3,FALSE),"")</f>
        <v/>
      </c>
      <c r="M68">
        <f t="shared" si="1"/>
        <v>0</v>
      </c>
    </row>
    <row r="69" spans="11:13" x14ac:dyDescent="0.35">
      <c r="K69" t="str">
        <f>IFERROR(VLOOKUP(J69,tbFactorMes,2,FALSE),"")</f>
        <v/>
      </c>
      <c r="L69" t="str">
        <f>IFERROR(VLOOKUP(F69,tbTurnos,3,FALSE),"")</f>
        <v/>
      </c>
      <c r="M69">
        <f t="shared" si="1"/>
        <v>0</v>
      </c>
    </row>
    <row r="70" spans="11:13" x14ac:dyDescent="0.35">
      <c r="K70" t="str">
        <f>IFERROR(VLOOKUP(J70,tbFactorMes,2,FALSE),"")</f>
        <v/>
      </c>
      <c r="L70" t="str">
        <f>IFERROR(VLOOKUP(F70,tbTurnos,3,FALSE),"")</f>
        <v/>
      </c>
      <c r="M70">
        <f t="shared" si="1"/>
        <v>0</v>
      </c>
    </row>
    <row r="71" spans="11:13" x14ac:dyDescent="0.35">
      <c r="K71" t="str">
        <f>IFERROR(VLOOKUP(J71,tbFactorMes,2,FALSE),"")</f>
        <v/>
      </c>
      <c r="L71" t="str">
        <f>IFERROR(VLOOKUP(F71,tbTurnos,3,FALSE),"")</f>
        <v/>
      </c>
      <c r="M71">
        <f t="shared" si="1"/>
        <v>0</v>
      </c>
    </row>
    <row r="72" spans="11:13" x14ac:dyDescent="0.35">
      <c r="K72" t="str">
        <f>IFERROR(VLOOKUP(J72,tbFactorMes,2,FALSE),"")</f>
        <v/>
      </c>
      <c r="L72" t="str">
        <f>IFERROR(VLOOKUP(F72,tbTurnos,3,FALSE),"")</f>
        <v/>
      </c>
      <c r="M72">
        <f t="shared" si="1"/>
        <v>0</v>
      </c>
    </row>
    <row r="73" spans="11:13" x14ac:dyDescent="0.35">
      <c r="K73" t="str">
        <f>IFERROR(VLOOKUP(J73,tbFactorMes,2,FALSE),"")</f>
        <v/>
      </c>
      <c r="L73" t="str">
        <f>IFERROR(VLOOKUP(F73,tbTurnos,3,FALSE),"")</f>
        <v/>
      </c>
      <c r="M73">
        <f t="shared" si="1"/>
        <v>0</v>
      </c>
    </row>
    <row r="74" spans="11:13" x14ac:dyDescent="0.35">
      <c r="K74" t="str">
        <f>IFERROR(VLOOKUP(J74,tbFactorMes,2,FALSE),"")</f>
        <v/>
      </c>
      <c r="L74" t="str">
        <f>IFERROR(VLOOKUP(F74,tbTurnos,3,FALSE),"")</f>
        <v/>
      </c>
      <c r="M74">
        <f t="shared" si="1"/>
        <v>0</v>
      </c>
    </row>
    <row r="75" spans="11:13" x14ac:dyDescent="0.35">
      <c r="K75" t="str">
        <f>IFERROR(VLOOKUP(J75,tbFactorMes,2,FALSE),"")</f>
        <v/>
      </c>
      <c r="L75" t="str">
        <f>IFERROR(VLOOKUP(F75,tbTurnos,3,FALSE),"")</f>
        <v/>
      </c>
      <c r="M75">
        <f t="shared" si="1"/>
        <v>0</v>
      </c>
    </row>
    <row r="76" spans="11:13" x14ac:dyDescent="0.35">
      <c r="K76" t="str">
        <f>IFERROR(VLOOKUP(J76,tbFactorMes,2,FALSE),"")</f>
        <v/>
      </c>
      <c r="L76" t="str">
        <f>IFERROR(VLOOKUP(F76,tbTurnos,3,FALSE),"")</f>
        <v/>
      </c>
      <c r="M76">
        <f t="shared" si="1"/>
        <v>0</v>
      </c>
    </row>
    <row r="77" spans="11:13" x14ac:dyDescent="0.35">
      <c r="K77" t="str">
        <f>IFERROR(VLOOKUP(J77,tbFactorMes,2,FALSE),"")</f>
        <v/>
      </c>
      <c r="L77" t="str">
        <f>IFERROR(VLOOKUP(F77,tbTurnos,3,FALSE),"")</f>
        <v/>
      </c>
      <c r="M77">
        <f t="shared" si="1"/>
        <v>0</v>
      </c>
    </row>
    <row r="78" spans="11:13" x14ac:dyDescent="0.35">
      <c r="K78" t="str">
        <f>IFERROR(VLOOKUP(J78,tbFactorMes,2,FALSE),"")</f>
        <v/>
      </c>
      <c r="L78" t="str">
        <f>IFERROR(VLOOKUP(F78,tbTurnos,3,FALSE),"")</f>
        <v/>
      </c>
      <c r="M78">
        <f t="shared" si="1"/>
        <v>0</v>
      </c>
    </row>
    <row r="79" spans="11:13" x14ac:dyDescent="0.35">
      <c r="K79" t="str">
        <f>IFERROR(VLOOKUP(J79,tbFactorMes,2,FALSE),"")</f>
        <v/>
      </c>
      <c r="L79" t="str">
        <f>IFERROR(VLOOKUP(F79,tbTurnos,3,FALSE),"")</f>
        <v/>
      </c>
      <c r="M79">
        <f t="shared" si="1"/>
        <v>0</v>
      </c>
    </row>
    <row r="80" spans="11:13" x14ac:dyDescent="0.35">
      <c r="K80" t="str">
        <f>IFERROR(VLOOKUP(J80,tbFactorMes,2,FALSE),"")</f>
        <v/>
      </c>
      <c r="L80" t="str">
        <f>IFERROR(VLOOKUP(F80,tbTurnos,3,FALSE),"")</f>
        <v/>
      </c>
      <c r="M80">
        <f t="shared" si="1"/>
        <v>0</v>
      </c>
    </row>
    <row r="81" spans="11:13" x14ac:dyDescent="0.35">
      <c r="K81" t="str">
        <f>IFERROR(VLOOKUP(J81,tbFactorMes,2,FALSE),"")</f>
        <v/>
      </c>
      <c r="L81" t="str">
        <f>IFERROR(VLOOKUP(F81,tbTurnos,3,FALSE),"")</f>
        <v/>
      </c>
      <c r="M81">
        <f t="shared" si="1"/>
        <v>0</v>
      </c>
    </row>
    <row r="82" spans="11:13" x14ac:dyDescent="0.35">
      <c r="K82" t="str">
        <f>IFERROR(VLOOKUP(J82,tbFactorMes,2,FALSE),"")</f>
        <v/>
      </c>
      <c r="L82" t="str">
        <f>IFERROR(VLOOKUP(F82,tbTurnos,3,FALSE),"")</f>
        <v/>
      </c>
      <c r="M82">
        <f t="shared" si="1"/>
        <v>0</v>
      </c>
    </row>
    <row r="83" spans="11:13" x14ac:dyDescent="0.35">
      <c r="K83" t="str">
        <f>IFERROR(VLOOKUP(J83,tbFactorMes,2,FALSE),"")</f>
        <v/>
      </c>
      <c r="L83" t="str">
        <f>IFERROR(VLOOKUP(F83,tbTurnos,3,FALSE),"")</f>
        <v/>
      </c>
      <c r="M83">
        <f t="shared" si="1"/>
        <v>0</v>
      </c>
    </row>
    <row r="84" spans="11:13" x14ac:dyDescent="0.35">
      <c r="K84" t="str">
        <f>IFERROR(VLOOKUP(J84,tbFactorMes,2,FALSE),"")</f>
        <v/>
      </c>
      <c r="L84" t="str">
        <f>IFERROR(VLOOKUP(F84,tbTurnos,3,FALSE),"")</f>
        <v/>
      </c>
      <c r="M84">
        <f t="shared" si="1"/>
        <v>0</v>
      </c>
    </row>
    <row r="85" spans="11:13" x14ac:dyDescent="0.35">
      <c r="K85" t="str">
        <f>IFERROR(VLOOKUP(J85,tbFactorMes,2,FALSE),"")</f>
        <v/>
      </c>
      <c r="L85" t="str">
        <f>IFERROR(VLOOKUP(F85,tbTurnos,3,FALSE),"")</f>
        <v/>
      </c>
      <c r="M85">
        <f t="shared" si="1"/>
        <v>0</v>
      </c>
    </row>
    <row r="86" spans="11:13" x14ac:dyDescent="0.35">
      <c r="K86" t="str">
        <f>IFERROR(VLOOKUP(J86,tbFactorMes,2,FALSE),"")</f>
        <v/>
      </c>
      <c r="L86" t="str">
        <f>IFERROR(VLOOKUP(F86,tbTurnos,3,FALSE),"")</f>
        <v/>
      </c>
      <c r="M86">
        <f t="shared" si="1"/>
        <v>0</v>
      </c>
    </row>
    <row r="87" spans="11:13" x14ac:dyDescent="0.35">
      <c r="K87" t="str">
        <f>IFERROR(VLOOKUP(J87,tbFactorMes,2,FALSE),"")</f>
        <v/>
      </c>
      <c r="L87" t="str">
        <f>IFERROR(VLOOKUP(F87,tbTurnos,3,FALSE),"")</f>
        <v/>
      </c>
      <c r="M87">
        <f t="shared" si="1"/>
        <v>0</v>
      </c>
    </row>
    <row r="88" spans="11:13" x14ac:dyDescent="0.35">
      <c r="K88" t="str">
        <f>IFERROR(VLOOKUP(J88,tbFactorMes,2,FALSE),"")</f>
        <v/>
      </c>
      <c r="L88" t="str">
        <f>IFERROR(VLOOKUP(F88,tbTurnos,3,FALSE),"")</f>
        <v/>
      </c>
      <c r="M88">
        <f t="shared" si="1"/>
        <v>0</v>
      </c>
    </row>
    <row r="89" spans="11:13" x14ac:dyDescent="0.35">
      <c r="K89" t="str">
        <f>IFERROR(VLOOKUP(J89,tbFactorMes,2,FALSE),"")</f>
        <v/>
      </c>
      <c r="L89" t="str">
        <f>IFERROR(VLOOKUP(F89,tbTurnos,3,FALSE),"")</f>
        <v/>
      </c>
      <c r="M89">
        <f t="shared" si="1"/>
        <v>0</v>
      </c>
    </row>
    <row r="90" spans="11:13" x14ac:dyDescent="0.35">
      <c r="K90" t="str">
        <f>IFERROR(VLOOKUP(J90,tbFactorMes,2,FALSE),"")</f>
        <v/>
      </c>
      <c r="L90" t="str">
        <f>IFERROR(VLOOKUP(F90,tbTurnos,3,FALSE),"")</f>
        <v/>
      </c>
      <c r="M90">
        <f t="shared" si="1"/>
        <v>0</v>
      </c>
    </row>
    <row r="91" spans="11:13" x14ac:dyDescent="0.35">
      <c r="K91" t="str">
        <f>IFERROR(VLOOKUP(J91,tbFactorMes,2,FALSE),"")</f>
        <v/>
      </c>
      <c r="L91" t="str">
        <f>IFERROR(VLOOKUP(F91,tbTurnos,3,FALSE),"")</f>
        <v/>
      </c>
      <c r="M91">
        <f t="shared" si="1"/>
        <v>0</v>
      </c>
    </row>
    <row r="92" spans="11:13" x14ac:dyDescent="0.35">
      <c r="K92" t="str">
        <f>IFERROR(VLOOKUP(J92,tbFactorMes,2,FALSE),"")</f>
        <v/>
      </c>
      <c r="L92" t="str">
        <f>IFERROR(VLOOKUP(F92,tbTurnos,3,FALSE),"")</f>
        <v/>
      </c>
      <c r="M92">
        <f t="shared" si="1"/>
        <v>0</v>
      </c>
    </row>
    <row r="93" spans="11:13" x14ac:dyDescent="0.35">
      <c r="K93" t="str">
        <f>IFERROR(VLOOKUP(J93,tbFactorMes,2,FALSE),"")</f>
        <v/>
      </c>
      <c r="L93" t="str">
        <f>IFERROR(VLOOKUP(F93,tbTurnos,3,FALSE),"")</f>
        <v/>
      </c>
      <c r="M93">
        <f t="shared" si="1"/>
        <v>0</v>
      </c>
    </row>
    <row r="94" spans="11:13" x14ac:dyDescent="0.35">
      <c r="K94" t="str">
        <f>IFERROR(VLOOKUP(J94,tbFactorMes,2,FALSE),"")</f>
        <v/>
      </c>
      <c r="L94" t="str">
        <f>IFERROR(VLOOKUP(F94,tbTurnos,3,FALSE),"")</f>
        <v/>
      </c>
      <c r="M94">
        <f t="shared" si="1"/>
        <v>0</v>
      </c>
    </row>
    <row r="95" spans="11:13" x14ac:dyDescent="0.35">
      <c r="K95" t="str">
        <f>IFERROR(VLOOKUP(J95,tbFactorMes,2,FALSE),"")</f>
        <v/>
      </c>
      <c r="L95" t="str">
        <f>IFERROR(VLOOKUP(F95,tbTurnos,3,FALSE),"")</f>
        <v/>
      </c>
      <c r="M95">
        <f t="shared" si="1"/>
        <v>0</v>
      </c>
    </row>
    <row r="96" spans="11:13" x14ac:dyDescent="0.35">
      <c r="K96" t="str">
        <f>IFERROR(VLOOKUP(J96,tbFactorMes,2,FALSE),"")</f>
        <v/>
      </c>
      <c r="L96" t="str">
        <f>IFERROR(VLOOKUP(F96,tbTurnos,3,FALSE),"")</f>
        <v/>
      </c>
      <c r="M96">
        <f t="shared" si="1"/>
        <v>0</v>
      </c>
    </row>
    <row r="97" spans="11:13" x14ac:dyDescent="0.35">
      <c r="K97" t="str">
        <f>IFERROR(VLOOKUP(J97,tbFactorMes,2,FALSE),"")</f>
        <v/>
      </c>
      <c r="L97" t="str">
        <f>IFERROR(VLOOKUP(F97,tbTurnos,3,FALSE),"")</f>
        <v/>
      </c>
      <c r="M97">
        <f t="shared" si="1"/>
        <v>0</v>
      </c>
    </row>
    <row r="98" spans="11:13" x14ac:dyDescent="0.35">
      <c r="K98" t="str">
        <f>IFERROR(VLOOKUP(J98,tbFactorMes,2,FALSE),"")</f>
        <v/>
      </c>
      <c r="L98" t="str">
        <f>IFERROR(VLOOKUP(F98,tbTurnos,3,FALSE),"")</f>
        <v/>
      </c>
      <c r="M98">
        <f t="shared" si="1"/>
        <v>0</v>
      </c>
    </row>
    <row r="99" spans="11:13" x14ac:dyDescent="0.35">
      <c r="K99" t="str">
        <f>IFERROR(VLOOKUP(J99,tbFactorMes,2,FALSE),"")</f>
        <v/>
      </c>
      <c r="L99" t="str">
        <f>IFERROR(VLOOKUP(F99,tbTurnos,3,FALSE),"")</f>
        <v/>
      </c>
      <c r="M99">
        <f t="shared" si="1"/>
        <v>0</v>
      </c>
    </row>
    <row r="100" spans="11:13" x14ac:dyDescent="0.35">
      <c r="K100" t="str">
        <f>IFERROR(VLOOKUP(J100,tbFactorMes,2,FALSE),"")</f>
        <v/>
      </c>
      <c r="L100" t="str">
        <f>IFERROR(VLOOKUP(F100,tbTurnos,3,FALSE),"")</f>
        <v/>
      </c>
      <c r="M100">
        <f t="shared" si="1"/>
        <v>0</v>
      </c>
    </row>
    <row r="101" spans="11:13" x14ac:dyDescent="0.35">
      <c r="K101" t="str">
        <f>IFERROR(VLOOKUP(J101,tbFactorMes,2,FALSE),"")</f>
        <v/>
      </c>
      <c r="L101" t="str">
        <f>IFERROR(VLOOKUP(F101,tbTurnos,3,FALSE),"")</f>
        <v/>
      </c>
      <c r="M101">
        <f t="shared" si="1"/>
        <v>0</v>
      </c>
    </row>
    <row r="102" spans="11:13" x14ac:dyDescent="0.35">
      <c r="K102" t="str">
        <f>IFERROR(VLOOKUP(J102,tbFactorMes,2,FALSE),"")</f>
        <v/>
      </c>
      <c r="L102" t="str">
        <f>IFERROR(VLOOKUP(F102,tbTurnos,3,FALSE),"")</f>
        <v/>
      </c>
      <c r="M102">
        <f t="shared" si="1"/>
        <v>0</v>
      </c>
    </row>
    <row r="103" spans="11:13" x14ac:dyDescent="0.35">
      <c r="K103" t="str">
        <f>IFERROR(VLOOKUP(J103,tbFactorMes,2,FALSE),"")</f>
        <v/>
      </c>
      <c r="L103" t="str">
        <f>IFERROR(VLOOKUP(F103,tbTurnos,3,FALSE),"")</f>
        <v/>
      </c>
      <c r="M103">
        <f t="shared" si="1"/>
        <v>0</v>
      </c>
    </row>
    <row r="104" spans="11:13" x14ac:dyDescent="0.35">
      <c r="K104" t="str">
        <f>IFERROR(VLOOKUP(J104,tbFactorMes,2,FALSE),"")</f>
        <v/>
      </c>
      <c r="L104" t="str">
        <f>IFERROR(VLOOKUP(F104,tbTurnos,3,FALSE),"")</f>
        <v/>
      </c>
      <c r="M104">
        <f t="shared" si="1"/>
        <v>0</v>
      </c>
    </row>
    <row r="105" spans="11:13" x14ac:dyDescent="0.35">
      <c r="K105" t="str">
        <f>IFERROR(VLOOKUP(J105,tbFactorMes,2,FALSE),"")</f>
        <v/>
      </c>
      <c r="L105" t="str">
        <f>IFERROR(VLOOKUP(F105,tbTurnos,3,FALSE),"")</f>
        <v/>
      </c>
      <c r="M105">
        <f t="shared" si="1"/>
        <v>0</v>
      </c>
    </row>
    <row r="106" spans="11:13" x14ac:dyDescent="0.35">
      <c r="K106" t="str">
        <f>IFERROR(VLOOKUP(J106,tbFactorMes,2,FALSE),"")</f>
        <v/>
      </c>
      <c r="L106" t="str">
        <f>IFERROR(VLOOKUP(F106,tbTurnos,3,FALSE),"")</f>
        <v/>
      </c>
      <c r="M106">
        <f t="shared" si="1"/>
        <v>0</v>
      </c>
    </row>
    <row r="107" spans="11:13" x14ac:dyDescent="0.35">
      <c r="K107" t="str">
        <f>IFERROR(VLOOKUP(J107,tbFactorMes,2,FALSE),"")</f>
        <v/>
      </c>
      <c r="L107" t="str">
        <f>IFERROR(VLOOKUP(F107,tbTurnos,3,FALSE),"")</f>
        <v/>
      </c>
      <c r="M107">
        <f t="shared" si="1"/>
        <v>0</v>
      </c>
    </row>
    <row r="108" spans="11:13" x14ac:dyDescent="0.35">
      <c r="K108" t="str">
        <f>IFERROR(VLOOKUP(J108,tbFactorMes,2,FALSE),"")</f>
        <v/>
      </c>
      <c r="L108" t="str">
        <f>IFERROR(VLOOKUP(F108,tbTurnos,3,FALSE),"")</f>
        <v/>
      </c>
      <c r="M108">
        <f t="shared" si="1"/>
        <v>0</v>
      </c>
    </row>
    <row r="109" spans="11:13" x14ac:dyDescent="0.35">
      <c r="K109" t="str">
        <f>IFERROR(VLOOKUP(J109,tbFactorMes,2,FALSE),"")</f>
        <v/>
      </c>
      <c r="L109" t="str">
        <f>IFERROR(VLOOKUP(F109,tbTurnos,3,FALSE),"")</f>
        <v/>
      </c>
      <c r="M109">
        <f t="shared" si="1"/>
        <v>0</v>
      </c>
    </row>
    <row r="110" spans="11:13" x14ac:dyDescent="0.35">
      <c r="K110" t="str">
        <f>IFERROR(VLOOKUP(J110,tbFactorMes,2,FALSE),"")</f>
        <v/>
      </c>
      <c r="L110" t="str">
        <f>IFERROR(VLOOKUP(F110,tbTurnos,3,FALSE),"")</f>
        <v/>
      </c>
      <c r="M110">
        <f t="shared" si="1"/>
        <v>0</v>
      </c>
    </row>
    <row r="111" spans="11:13" x14ac:dyDescent="0.35">
      <c r="K111" t="str">
        <f>IFERROR(VLOOKUP(J111,tbFactorMes,2,FALSE),"")</f>
        <v/>
      </c>
      <c r="L111" t="str">
        <f>IFERROR(VLOOKUP(F111,tbTurnos,3,FALSE),"")</f>
        <v/>
      </c>
      <c r="M111">
        <f t="shared" si="1"/>
        <v>0</v>
      </c>
    </row>
    <row r="112" spans="11:13" x14ac:dyDescent="0.35">
      <c r="K112" t="str">
        <f>IFERROR(VLOOKUP(J112,tbFactorMes,2,FALSE),"")</f>
        <v/>
      </c>
      <c r="L112" t="str">
        <f>IFERROR(VLOOKUP(F112,tbTurnos,3,FALSE),"")</f>
        <v/>
      </c>
      <c r="M112">
        <f t="shared" si="1"/>
        <v>0</v>
      </c>
    </row>
    <row r="113" spans="11:13" x14ac:dyDescent="0.35">
      <c r="K113" t="str">
        <f>IFERROR(VLOOKUP(J113,tbFactorMes,2,FALSE),"")</f>
        <v/>
      </c>
      <c r="L113" t="str">
        <f>IFERROR(VLOOKUP(F113,tbTurnos,3,FALSE),"")</f>
        <v/>
      </c>
      <c r="M113">
        <f t="shared" si="1"/>
        <v>0</v>
      </c>
    </row>
    <row r="114" spans="11:13" x14ac:dyDescent="0.35">
      <c r="K114" t="str">
        <f>IFERROR(VLOOKUP(J114,tbFactorMes,2,FALSE),"")</f>
        <v/>
      </c>
      <c r="L114" t="str">
        <f>IFERROR(VLOOKUP(F114,tbTurnos,3,FALSE),"")</f>
        <v/>
      </c>
      <c r="M114">
        <f t="shared" si="1"/>
        <v>0</v>
      </c>
    </row>
    <row r="115" spans="11:13" x14ac:dyDescent="0.35">
      <c r="K115" t="str">
        <f>IFERROR(VLOOKUP(J115,tbFactorMes,2,FALSE),"")</f>
        <v/>
      </c>
      <c r="L115" t="str">
        <f>IFERROR(VLOOKUP(F115,tbTurnos,3,FALSE),"")</f>
        <v/>
      </c>
      <c r="M115">
        <f t="shared" si="1"/>
        <v>0</v>
      </c>
    </row>
    <row r="116" spans="11:13" x14ac:dyDescent="0.35">
      <c r="K116" t="str">
        <f>IFERROR(VLOOKUP(J116,tbFactorMes,2,FALSE),"")</f>
        <v/>
      </c>
      <c r="L116" t="str">
        <f>IFERROR(VLOOKUP(F116,tbTurnos,3,FALSE),"")</f>
        <v/>
      </c>
      <c r="M116">
        <f t="shared" si="1"/>
        <v>0</v>
      </c>
    </row>
    <row r="117" spans="11:13" x14ac:dyDescent="0.35">
      <c r="K117" t="str">
        <f>IFERROR(VLOOKUP(J117,tbFactorMes,2,FALSE),"")</f>
        <v/>
      </c>
      <c r="L117" t="str">
        <f>IFERROR(VLOOKUP(F117,tbTurnos,3,FALSE),"")</f>
        <v/>
      </c>
      <c r="M117">
        <f t="shared" si="1"/>
        <v>0</v>
      </c>
    </row>
    <row r="118" spans="11:13" x14ac:dyDescent="0.35">
      <c r="K118" t="str">
        <f>IFERROR(VLOOKUP(J118,tbFactorMes,2,FALSE),"")</f>
        <v/>
      </c>
      <c r="L118" t="str">
        <f>IFERROR(VLOOKUP(F118,tbTurnos,3,FALSE),"")</f>
        <v/>
      </c>
      <c r="M118">
        <f t="shared" si="1"/>
        <v>0</v>
      </c>
    </row>
    <row r="119" spans="11:13" x14ac:dyDescent="0.35">
      <c r="K119" t="str">
        <f>IFERROR(VLOOKUP(J119,tbFactorMes,2,FALSE),"")</f>
        <v/>
      </c>
      <c r="L119" t="str">
        <f>IFERROR(VLOOKUP(F119,tbTurnos,3,FALSE),"")</f>
        <v/>
      </c>
      <c r="M119">
        <f t="shared" si="1"/>
        <v>0</v>
      </c>
    </row>
    <row r="120" spans="11:13" x14ac:dyDescent="0.35">
      <c r="K120" t="str">
        <f>IFERROR(VLOOKUP(J120,tbFactorMes,2,FALSE),"")</f>
        <v/>
      </c>
      <c r="L120" t="str">
        <f>IFERROR(VLOOKUP(F120,tbTurnos,3,FALSE),"")</f>
        <v/>
      </c>
      <c r="M120">
        <f t="shared" si="1"/>
        <v>0</v>
      </c>
    </row>
    <row r="121" spans="11:13" x14ac:dyDescent="0.35">
      <c r="K121" t="str">
        <f>IFERROR(VLOOKUP(J121,tbFactorMes,2,FALSE),"")</f>
        <v/>
      </c>
      <c r="L121" t="str">
        <f>IFERROR(VLOOKUP(F121,tbTurnos,3,FALSE),"")</f>
        <v/>
      </c>
      <c r="M121">
        <f t="shared" si="1"/>
        <v>0</v>
      </c>
    </row>
    <row r="122" spans="11:13" x14ac:dyDescent="0.35">
      <c r="K122" t="str">
        <f>IFERROR(VLOOKUP(J122,tbFactorMes,2,FALSE),"")</f>
        <v/>
      </c>
      <c r="L122" t="str">
        <f>IFERROR(VLOOKUP(F122,tbTurnos,3,FALSE),"")</f>
        <v/>
      </c>
      <c r="M122">
        <f t="shared" si="1"/>
        <v>0</v>
      </c>
    </row>
    <row r="123" spans="11:13" x14ac:dyDescent="0.35">
      <c r="K123" t="str">
        <f>IFERROR(VLOOKUP(J123,tbFactorMes,2,FALSE),"")</f>
        <v/>
      </c>
      <c r="L123" t="str">
        <f>IFERROR(VLOOKUP(F123,tbTurnos,3,FALSE),"")</f>
        <v/>
      </c>
      <c r="M123">
        <f t="shared" si="1"/>
        <v>0</v>
      </c>
    </row>
    <row r="124" spans="11:13" x14ac:dyDescent="0.35">
      <c r="K124" t="str">
        <f>IFERROR(VLOOKUP(J124,tbFactorMes,2,FALSE),"")</f>
        <v/>
      </c>
      <c r="L124" t="str">
        <f>IFERROR(VLOOKUP(F124,tbTurnos,3,FALSE),"")</f>
        <v/>
      </c>
      <c r="M124">
        <f t="shared" si="1"/>
        <v>0</v>
      </c>
    </row>
    <row r="125" spans="11:13" x14ac:dyDescent="0.35">
      <c r="K125" t="str">
        <f>IFERROR(VLOOKUP(J125,tbFactorMes,2,FALSE),"")</f>
        <v/>
      </c>
      <c r="L125" t="str">
        <f>IFERROR(VLOOKUP(F125,tbTurnos,3,FALSE),"")</f>
        <v/>
      </c>
      <c r="M125">
        <f t="shared" si="1"/>
        <v>0</v>
      </c>
    </row>
    <row r="126" spans="11:13" x14ac:dyDescent="0.35">
      <c r="K126" t="str">
        <f>IFERROR(VLOOKUP(J126,tbFactorMes,2,FALSE),"")</f>
        <v/>
      </c>
      <c r="L126" t="str">
        <f>IFERROR(VLOOKUP(F126,tbTurnos,3,FALSE),"")</f>
        <v/>
      </c>
      <c r="M126">
        <f t="shared" si="1"/>
        <v>0</v>
      </c>
    </row>
    <row r="127" spans="11:13" x14ac:dyDescent="0.35">
      <c r="K127" t="str">
        <f>IFERROR(VLOOKUP(J127,tbFactorMes,2,FALSE),"")</f>
        <v/>
      </c>
      <c r="L127" t="str">
        <f>IFERROR(VLOOKUP(F127,tbTurnos,3,FALSE),"")</f>
        <v/>
      </c>
      <c r="M127">
        <f t="shared" si="1"/>
        <v>0</v>
      </c>
    </row>
    <row r="128" spans="11:13" x14ac:dyDescent="0.35">
      <c r="K128" t="str">
        <f>IFERROR(VLOOKUP(J128,tbFactorMes,2,FALSE),"")</f>
        <v/>
      </c>
      <c r="L128" t="str">
        <f>IFERROR(VLOOKUP(F128,tbTurnos,3,FALSE),"")</f>
        <v/>
      </c>
      <c r="M128">
        <f t="shared" si="1"/>
        <v>0</v>
      </c>
    </row>
    <row r="129" spans="11:13" x14ac:dyDescent="0.35">
      <c r="K129" t="str">
        <f>IFERROR(VLOOKUP(J129,tbFactorMes,2,FALSE),"")</f>
        <v/>
      </c>
      <c r="L129" t="str">
        <f>IFERROR(VLOOKUP(F129,tbTurnos,3,FALSE),"")</f>
        <v/>
      </c>
      <c r="M129">
        <f t="shared" si="1"/>
        <v>0</v>
      </c>
    </row>
    <row r="130" spans="11:13" x14ac:dyDescent="0.35">
      <c r="K130" t="str">
        <f>IFERROR(VLOOKUP(J130,tbFactorMes,2,FALSE),"")</f>
        <v/>
      </c>
      <c r="L130" t="str">
        <f>IFERROR(VLOOKUP(F130,tbTurnos,3,FALSE),"")</f>
        <v/>
      </c>
      <c r="M130">
        <f t="shared" ref="M130:M193" si="2">IFERROR((I130*L130)/K130,0)</f>
        <v>0</v>
      </c>
    </row>
    <row r="131" spans="11:13" x14ac:dyDescent="0.35">
      <c r="K131" t="str">
        <f>IFERROR(VLOOKUP(J131,tbFactorMes,2,FALSE),"")</f>
        <v/>
      </c>
      <c r="L131" t="str">
        <f>IFERROR(VLOOKUP(F131,tbTurnos,3,FALSE),"")</f>
        <v/>
      </c>
      <c r="M131">
        <f t="shared" si="2"/>
        <v>0</v>
      </c>
    </row>
    <row r="132" spans="11:13" x14ac:dyDescent="0.35">
      <c r="K132" t="str">
        <f>IFERROR(VLOOKUP(J132,tbFactorMes,2,FALSE),"")</f>
        <v/>
      </c>
      <c r="L132" t="str">
        <f>IFERROR(VLOOKUP(F132,tbTurnos,3,FALSE),"")</f>
        <v/>
      </c>
      <c r="M132">
        <f t="shared" si="2"/>
        <v>0</v>
      </c>
    </row>
    <row r="133" spans="11:13" x14ac:dyDescent="0.35">
      <c r="K133" t="str">
        <f>IFERROR(VLOOKUP(J133,tbFactorMes,2,FALSE),"")</f>
        <v/>
      </c>
      <c r="L133" t="str">
        <f>IFERROR(VLOOKUP(F133,tbTurnos,3,FALSE),"")</f>
        <v/>
      </c>
      <c r="M133">
        <f t="shared" si="2"/>
        <v>0</v>
      </c>
    </row>
    <row r="134" spans="11:13" x14ac:dyDescent="0.35">
      <c r="K134" t="str">
        <f>IFERROR(VLOOKUP(J134,tbFactorMes,2,FALSE),"")</f>
        <v/>
      </c>
      <c r="L134" t="str">
        <f>IFERROR(VLOOKUP(F134,tbTurnos,3,FALSE),"")</f>
        <v/>
      </c>
      <c r="M134">
        <f t="shared" si="2"/>
        <v>0</v>
      </c>
    </row>
    <row r="135" spans="11:13" x14ac:dyDescent="0.35">
      <c r="K135" t="str">
        <f>IFERROR(VLOOKUP(J135,tbFactorMes,2,FALSE),"")</f>
        <v/>
      </c>
      <c r="L135" t="str">
        <f>IFERROR(VLOOKUP(F135,tbTurnos,3,FALSE),"")</f>
        <v/>
      </c>
      <c r="M135">
        <f t="shared" si="2"/>
        <v>0</v>
      </c>
    </row>
    <row r="136" spans="11:13" x14ac:dyDescent="0.35">
      <c r="K136" t="str">
        <f>IFERROR(VLOOKUP(J136,tbFactorMes,2,FALSE),"")</f>
        <v/>
      </c>
      <c r="L136" t="str">
        <f>IFERROR(VLOOKUP(F136,tbTurnos,3,FALSE),"")</f>
        <v/>
      </c>
      <c r="M136">
        <f t="shared" si="2"/>
        <v>0</v>
      </c>
    </row>
    <row r="137" spans="11:13" x14ac:dyDescent="0.35">
      <c r="K137" t="str">
        <f>IFERROR(VLOOKUP(J137,tbFactorMes,2,FALSE),"")</f>
        <v/>
      </c>
      <c r="L137" t="str">
        <f>IFERROR(VLOOKUP(F137,tbTurnos,3,FALSE),"")</f>
        <v/>
      </c>
      <c r="M137">
        <f t="shared" si="2"/>
        <v>0</v>
      </c>
    </row>
    <row r="138" spans="11:13" x14ac:dyDescent="0.35">
      <c r="K138" t="str">
        <f>IFERROR(VLOOKUP(J138,tbFactorMes,2,FALSE),"")</f>
        <v/>
      </c>
      <c r="L138" t="str">
        <f>IFERROR(VLOOKUP(F138,tbTurnos,3,FALSE),"")</f>
        <v/>
      </c>
      <c r="M138">
        <f t="shared" si="2"/>
        <v>0</v>
      </c>
    </row>
    <row r="139" spans="11:13" x14ac:dyDescent="0.35">
      <c r="K139" t="str">
        <f>IFERROR(VLOOKUP(J139,tbFactorMes,2,FALSE),"")</f>
        <v/>
      </c>
      <c r="L139" t="str">
        <f>IFERROR(VLOOKUP(F139,tbTurnos,3,FALSE),"")</f>
        <v/>
      </c>
      <c r="M139">
        <f t="shared" si="2"/>
        <v>0</v>
      </c>
    </row>
    <row r="140" spans="11:13" x14ac:dyDescent="0.35">
      <c r="K140" t="str">
        <f>IFERROR(VLOOKUP(J140,tbFactorMes,2,FALSE),"")</f>
        <v/>
      </c>
      <c r="L140" t="str">
        <f>IFERROR(VLOOKUP(F140,tbTurnos,3,FALSE),"")</f>
        <v/>
      </c>
      <c r="M140">
        <f t="shared" si="2"/>
        <v>0</v>
      </c>
    </row>
    <row r="141" spans="11:13" x14ac:dyDescent="0.35">
      <c r="K141" t="str">
        <f>IFERROR(VLOOKUP(J141,tbFactorMes,2,FALSE),"")</f>
        <v/>
      </c>
      <c r="L141" t="str">
        <f>IFERROR(VLOOKUP(F141,tbTurnos,3,FALSE),"")</f>
        <v/>
      </c>
      <c r="M141">
        <f t="shared" si="2"/>
        <v>0</v>
      </c>
    </row>
    <row r="142" spans="11:13" x14ac:dyDescent="0.35">
      <c r="K142" t="str">
        <f>IFERROR(VLOOKUP(J142,tbFactorMes,2,FALSE),"")</f>
        <v/>
      </c>
      <c r="L142" t="str">
        <f>IFERROR(VLOOKUP(F142,tbTurnos,3,FALSE),"")</f>
        <v/>
      </c>
      <c r="M142">
        <f t="shared" si="2"/>
        <v>0</v>
      </c>
    </row>
    <row r="143" spans="11:13" x14ac:dyDescent="0.35">
      <c r="K143" t="str">
        <f>IFERROR(VLOOKUP(J143,tbFactorMes,2,FALSE),"")</f>
        <v/>
      </c>
      <c r="L143" t="str">
        <f>IFERROR(VLOOKUP(F143,tbTurnos,3,FALSE),"")</f>
        <v/>
      </c>
      <c r="M143">
        <f t="shared" si="2"/>
        <v>0</v>
      </c>
    </row>
    <row r="144" spans="11:13" x14ac:dyDescent="0.35">
      <c r="K144" t="str">
        <f>IFERROR(VLOOKUP(J144,tbFactorMes,2,FALSE),"")</f>
        <v/>
      </c>
      <c r="L144" t="str">
        <f>IFERROR(VLOOKUP(F144,tbTurnos,3,FALSE),"")</f>
        <v/>
      </c>
      <c r="M144">
        <f t="shared" si="2"/>
        <v>0</v>
      </c>
    </row>
    <row r="145" spans="11:13" x14ac:dyDescent="0.35">
      <c r="K145" t="str">
        <f>IFERROR(VLOOKUP(J145,tbFactorMes,2,FALSE),"")</f>
        <v/>
      </c>
      <c r="L145" t="str">
        <f>IFERROR(VLOOKUP(F145,tbTurnos,3,FALSE),"")</f>
        <v/>
      </c>
      <c r="M145">
        <f t="shared" si="2"/>
        <v>0</v>
      </c>
    </row>
    <row r="146" spans="11:13" x14ac:dyDescent="0.35">
      <c r="K146" t="str">
        <f>IFERROR(VLOOKUP(J146,tbFactorMes,2,FALSE),"")</f>
        <v/>
      </c>
      <c r="L146" t="str">
        <f>IFERROR(VLOOKUP(F146,tbTurnos,3,FALSE),"")</f>
        <v/>
      </c>
      <c r="M146">
        <f t="shared" si="2"/>
        <v>0</v>
      </c>
    </row>
    <row r="147" spans="11:13" x14ac:dyDescent="0.35">
      <c r="K147" t="str">
        <f>IFERROR(VLOOKUP(J147,tbFactorMes,2,FALSE),"")</f>
        <v/>
      </c>
      <c r="L147" t="str">
        <f>IFERROR(VLOOKUP(F147,tbTurnos,3,FALSE),"")</f>
        <v/>
      </c>
      <c r="M147">
        <f t="shared" si="2"/>
        <v>0</v>
      </c>
    </row>
    <row r="148" spans="11:13" x14ac:dyDescent="0.35">
      <c r="K148" t="str">
        <f>IFERROR(VLOOKUP(J148,tbFactorMes,2,FALSE),"")</f>
        <v/>
      </c>
      <c r="L148" t="str">
        <f>IFERROR(VLOOKUP(F148,tbTurnos,3,FALSE),"")</f>
        <v/>
      </c>
      <c r="M148">
        <f t="shared" si="2"/>
        <v>0</v>
      </c>
    </row>
    <row r="149" spans="11:13" x14ac:dyDescent="0.35">
      <c r="K149" t="str">
        <f>IFERROR(VLOOKUP(J149,tbFactorMes,2,FALSE),"")</f>
        <v/>
      </c>
      <c r="L149" t="str">
        <f>IFERROR(VLOOKUP(F149,tbTurnos,3,FALSE),"")</f>
        <v/>
      </c>
      <c r="M149">
        <f t="shared" si="2"/>
        <v>0</v>
      </c>
    </row>
    <row r="150" spans="11:13" x14ac:dyDescent="0.35">
      <c r="K150" t="str">
        <f>IFERROR(VLOOKUP(J150,tbFactorMes,2,FALSE),"")</f>
        <v/>
      </c>
      <c r="L150" t="str">
        <f>IFERROR(VLOOKUP(F150,tbTurnos,3,FALSE),"")</f>
        <v/>
      </c>
      <c r="M150">
        <f t="shared" si="2"/>
        <v>0</v>
      </c>
    </row>
    <row r="151" spans="11:13" x14ac:dyDescent="0.35">
      <c r="K151" t="str">
        <f>IFERROR(VLOOKUP(J151,tbFactorMes,2,FALSE),"")</f>
        <v/>
      </c>
      <c r="L151" t="str">
        <f>IFERROR(VLOOKUP(F151,tbTurnos,3,FALSE),"")</f>
        <v/>
      </c>
      <c r="M151">
        <f t="shared" si="2"/>
        <v>0</v>
      </c>
    </row>
    <row r="152" spans="11:13" x14ac:dyDescent="0.35">
      <c r="K152" t="str">
        <f>IFERROR(VLOOKUP(J152,tbFactorMes,2,FALSE),"")</f>
        <v/>
      </c>
      <c r="L152" t="str">
        <f>IFERROR(VLOOKUP(F152,tbTurnos,3,FALSE),"")</f>
        <v/>
      </c>
      <c r="M152">
        <f t="shared" si="2"/>
        <v>0</v>
      </c>
    </row>
    <row r="153" spans="11:13" x14ac:dyDescent="0.35">
      <c r="K153" t="str">
        <f>IFERROR(VLOOKUP(J153,tbFactorMes,2,FALSE),"")</f>
        <v/>
      </c>
      <c r="L153" t="str">
        <f>IFERROR(VLOOKUP(F153,tbTurnos,3,FALSE),"")</f>
        <v/>
      </c>
      <c r="M153">
        <f t="shared" si="2"/>
        <v>0</v>
      </c>
    </row>
    <row r="154" spans="11:13" x14ac:dyDescent="0.35">
      <c r="K154" t="str">
        <f>IFERROR(VLOOKUP(J154,tbFactorMes,2,FALSE),"")</f>
        <v/>
      </c>
      <c r="L154" t="str">
        <f>IFERROR(VLOOKUP(F154,tbTurnos,3,FALSE),"")</f>
        <v/>
      </c>
      <c r="M154">
        <f t="shared" si="2"/>
        <v>0</v>
      </c>
    </row>
    <row r="155" spans="11:13" x14ac:dyDescent="0.35">
      <c r="K155" t="str">
        <f>IFERROR(VLOOKUP(J155,tbFactorMes,2,FALSE),"")</f>
        <v/>
      </c>
      <c r="L155" t="str">
        <f>IFERROR(VLOOKUP(F155,tbTurnos,3,FALSE),"")</f>
        <v/>
      </c>
      <c r="M155">
        <f t="shared" si="2"/>
        <v>0</v>
      </c>
    </row>
    <row r="156" spans="11:13" x14ac:dyDescent="0.35">
      <c r="K156" t="str">
        <f>IFERROR(VLOOKUP(J156,tbFactorMes,2,FALSE),"")</f>
        <v/>
      </c>
      <c r="L156" t="str">
        <f>IFERROR(VLOOKUP(F156,tbTurnos,3,FALSE),"")</f>
        <v/>
      </c>
      <c r="M156">
        <f t="shared" si="2"/>
        <v>0</v>
      </c>
    </row>
    <row r="157" spans="11:13" x14ac:dyDescent="0.35">
      <c r="K157" t="str">
        <f>IFERROR(VLOOKUP(J157,tbFactorMes,2,FALSE),"")</f>
        <v/>
      </c>
      <c r="L157" t="str">
        <f>IFERROR(VLOOKUP(F157,tbTurnos,3,FALSE),"")</f>
        <v/>
      </c>
      <c r="M157">
        <f t="shared" si="2"/>
        <v>0</v>
      </c>
    </row>
    <row r="158" spans="11:13" x14ac:dyDescent="0.35">
      <c r="K158" t="str">
        <f>IFERROR(VLOOKUP(J158,tbFactorMes,2,FALSE),"")</f>
        <v/>
      </c>
      <c r="L158" t="str">
        <f>IFERROR(VLOOKUP(F158,tbTurnos,3,FALSE),"")</f>
        <v/>
      </c>
      <c r="M158">
        <f t="shared" si="2"/>
        <v>0</v>
      </c>
    </row>
    <row r="159" spans="11:13" x14ac:dyDescent="0.35">
      <c r="K159" t="str">
        <f>IFERROR(VLOOKUP(J159,tbFactorMes,2,FALSE),"")</f>
        <v/>
      </c>
      <c r="L159" t="str">
        <f>IFERROR(VLOOKUP(F159,tbTurnos,3,FALSE),"")</f>
        <v/>
      </c>
      <c r="M159">
        <f t="shared" si="2"/>
        <v>0</v>
      </c>
    </row>
    <row r="160" spans="11:13" x14ac:dyDescent="0.35">
      <c r="K160" t="str">
        <f>IFERROR(VLOOKUP(J160,tbFactorMes,2,FALSE),"")</f>
        <v/>
      </c>
      <c r="L160" t="str">
        <f>IFERROR(VLOOKUP(F160,tbTurnos,3,FALSE),"")</f>
        <v/>
      </c>
      <c r="M160">
        <f t="shared" si="2"/>
        <v>0</v>
      </c>
    </row>
    <row r="161" spans="11:13" x14ac:dyDescent="0.35">
      <c r="K161" t="str">
        <f>IFERROR(VLOOKUP(J161,tbFactorMes,2,FALSE),"")</f>
        <v/>
      </c>
      <c r="L161" t="str">
        <f>IFERROR(VLOOKUP(F161,tbTurnos,3,FALSE),"")</f>
        <v/>
      </c>
      <c r="M161">
        <f t="shared" si="2"/>
        <v>0</v>
      </c>
    </row>
    <row r="162" spans="11:13" x14ac:dyDescent="0.35">
      <c r="K162" t="str">
        <f>IFERROR(VLOOKUP(J162,tbFactorMes,2,FALSE),"")</f>
        <v/>
      </c>
      <c r="L162" t="str">
        <f>IFERROR(VLOOKUP(F162,tbTurnos,3,FALSE),"")</f>
        <v/>
      </c>
      <c r="M162">
        <f t="shared" si="2"/>
        <v>0</v>
      </c>
    </row>
    <row r="163" spans="11:13" x14ac:dyDescent="0.35">
      <c r="K163" t="str">
        <f>IFERROR(VLOOKUP(J163,tbFactorMes,2,FALSE),"")</f>
        <v/>
      </c>
      <c r="L163" t="str">
        <f>IFERROR(VLOOKUP(F163,tbTurnos,3,FALSE),"")</f>
        <v/>
      </c>
      <c r="M163">
        <f t="shared" si="2"/>
        <v>0</v>
      </c>
    </row>
    <row r="164" spans="11:13" x14ac:dyDescent="0.35">
      <c r="K164" t="str">
        <f>IFERROR(VLOOKUP(J164,tbFactorMes,2,FALSE),"")</f>
        <v/>
      </c>
      <c r="L164" t="str">
        <f>IFERROR(VLOOKUP(F164,tbTurnos,3,FALSE),"")</f>
        <v/>
      </c>
      <c r="M164">
        <f t="shared" si="2"/>
        <v>0</v>
      </c>
    </row>
    <row r="165" spans="11:13" x14ac:dyDescent="0.35">
      <c r="K165" t="str">
        <f>IFERROR(VLOOKUP(J165,tbFactorMes,2,FALSE),"")</f>
        <v/>
      </c>
      <c r="L165" t="str">
        <f>IFERROR(VLOOKUP(F165,tbTurnos,3,FALSE),"")</f>
        <v/>
      </c>
      <c r="M165">
        <f t="shared" si="2"/>
        <v>0</v>
      </c>
    </row>
    <row r="166" spans="11:13" x14ac:dyDescent="0.35">
      <c r="K166" t="str">
        <f>IFERROR(VLOOKUP(J166,tbFactorMes,2,FALSE),"")</f>
        <v/>
      </c>
      <c r="L166" t="str">
        <f>IFERROR(VLOOKUP(F166,tbTurnos,3,FALSE),"")</f>
        <v/>
      </c>
      <c r="M166">
        <f t="shared" si="2"/>
        <v>0</v>
      </c>
    </row>
    <row r="167" spans="11:13" x14ac:dyDescent="0.35">
      <c r="K167" t="str">
        <f>IFERROR(VLOOKUP(J167,tbFactorMes,2,FALSE),"")</f>
        <v/>
      </c>
      <c r="L167" t="str">
        <f>IFERROR(VLOOKUP(F167,tbTurnos,3,FALSE),"")</f>
        <v/>
      </c>
      <c r="M167">
        <f t="shared" si="2"/>
        <v>0</v>
      </c>
    </row>
    <row r="168" spans="11:13" x14ac:dyDescent="0.35">
      <c r="K168" t="str">
        <f>IFERROR(VLOOKUP(J168,tbFactorMes,2,FALSE),"")</f>
        <v/>
      </c>
      <c r="L168" t="str">
        <f>IFERROR(VLOOKUP(F168,tbTurnos,3,FALSE),"")</f>
        <v/>
      </c>
      <c r="M168">
        <f t="shared" si="2"/>
        <v>0</v>
      </c>
    </row>
    <row r="169" spans="11:13" x14ac:dyDescent="0.35">
      <c r="K169" t="str">
        <f>IFERROR(VLOOKUP(J169,tbFactorMes,2,FALSE),"")</f>
        <v/>
      </c>
      <c r="L169" t="str">
        <f>IFERROR(VLOOKUP(F169,tbTurnos,3,FALSE),"")</f>
        <v/>
      </c>
      <c r="M169">
        <f t="shared" si="2"/>
        <v>0</v>
      </c>
    </row>
    <row r="170" spans="11:13" x14ac:dyDescent="0.35">
      <c r="K170" t="str">
        <f>IFERROR(VLOOKUP(J170,tbFactorMes,2,FALSE),"")</f>
        <v/>
      </c>
      <c r="L170" t="str">
        <f>IFERROR(VLOOKUP(F170,tbTurnos,3,FALSE),"")</f>
        <v/>
      </c>
      <c r="M170">
        <f t="shared" si="2"/>
        <v>0</v>
      </c>
    </row>
    <row r="171" spans="11:13" x14ac:dyDescent="0.35">
      <c r="K171" t="str">
        <f>IFERROR(VLOOKUP(J171,tbFactorMes,2,FALSE),"")</f>
        <v/>
      </c>
      <c r="L171" t="str">
        <f>IFERROR(VLOOKUP(F171,tbTurnos,3,FALSE),"")</f>
        <v/>
      </c>
      <c r="M171">
        <f t="shared" si="2"/>
        <v>0</v>
      </c>
    </row>
    <row r="172" spans="11:13" x14ac:dyDescent="0.35">
      <c r="K172" t="str">
        <f>IFERROR(VLOOKUP(J172,tbFactorMes,2,FALSE),"")</f>
        <v/>
      </c>
      <c r="L172" t="str">
        <f>IFERROR(VLOOKUP(F172,tbTurnos,3,FALSE),"")</f>
        <v/>
      </c>
      <c r="M172">
        <f t="shared" si="2"/>
        <v>0</v>
      </c>
    </row>
    <row r="173" spans="11:13" x14ac:dyDescent="0.35">
      <c r="K173" t="str">
        <f>IFERROR(VLOOKUP(J173,tbFactorMes,2,FALSE),"")</f>
        <v/>
      </c>
      <c r="L173" t="str">
        <f>IFERROR(VLOOKUP(F173,tbTurnos,3,FALSE),"")</f>
        <v/>
      </c>
      <c r="M173">
        <f t="shared" si="2"/>
        <v>0</v>
      </c>
    </row>
    <row r="174" spans="11:13" x14ac:dyDescent="0.35">
      <c r="K174" t="str">
        <f>IFERROR(VLOOKUP(J174,tbFactorMes,2,FALSE),"")</f>
        <v/>
      </c>
      <c r="L174" t="str">
        <f>IFERROR(VLOOKUP(F174,tbTurnos,3,FALSE),"")</f>
        <v/>
      </c>
      <c r="M174">
        <f t="shared" si="2"/>
        <v>0</v>
      </c>
    </row>
    <row r="175" spans="11:13" x14ac:dyDescent="0.35">
      <c r="K175" t="str">
        <f>IFERROR(VLOOKUP(J175,tbFactorMes,2,FALSE),"")</f>
        <v/>
      </c>
      <c r="L175" t="str">
        <f>IFERROR(VLOOKUP(F175,tbTurnos,3,FALSE),"")</f>
        <v/>
      </c>
      <c r="M175">
        <f t="shared" si="2"/>
        <v>0</v>
      </c>
    </row>
    <row r="176" spans="11:13" x14ac:dyDescent="0.35">
      <c r="K176" t="str">
        <f>IFERROR(VLOOKUP(J176,tbFactorMes,2,FALSE),"")</f>
        <v/>
      </c>
      <c r="L176" t="str">
        <f>IFERROR(VLOOKUP(F176,tbTurnos,3,FALSE),"")</f>
        <v/>
      </c>
      <c r="M176">
        <f t="shared" si="2"/>
        <v>0</v>
      </c>
    </row>
    <row r="177" spans="11:13" x14ac:dyDescent="0.35">
      <c r="K177" t="str">
        <f>IFERROR(VLOOKUP(J177,tbFactorMes,2,FALSE),"")</f>
        <v/>
      </c>
      <c r="L177" t="str">
        <f>IFERROR(VLOOKUP(F177,tbTurnos,3,FALSE),"")</f>
        <v/>
      </c>
      <c r="M177">
        <f t="shared" si="2"/>
        <v>0</v>
      </c>
    </row>
    <row r="178" spans="11:13" x14ac:dyDescent="0.35">
      <c r="K178" t="str">
        <f>IFERROR(VLOOKUP(J178,tbFactorMes,2,FALSE),"")</f>
        <v/>
      </c>
      <c r="L178" t="str">
        <f>IFERROR(VLOOKUP(F178,tbTurnos,3,FALSE),"")</f>
        <v/>
      </c>
      <c r="M178">
        <f t="shared" si="2"/>
        <v>0</v>
      </c>
    </row>
    <row r="179" spans="11:13" x14ac:dyDescent="0.35">
      <c r="K179" t="str">
        <f>IFERROR(VLOOKUP(J179,tbFactorMes,2,FALSE),"")</f>
        <v/>
      </c>
      <c r="L179" t="str">
        <f>IFERROR(VLOOKUP(F179,tbTurnos,3,FALSE),"")</f>
        <v/>
      </c>
      <c r="M179">
        <f t="shared" si="2"/>
        <v>0</v>
      </c>
    </row>
    <row r="180" spans="11:13" x14ac:dyDescent="0.35">
      <c r="K180" t="str">
        <f>IFERROR(VLOOKUP(J180,tbFactorMes,2,FALSE),"")</f>
        <v/>
      </c>
      <c r="L180" t="str">
        <f>IFERROR(VLOOKUP(F180,tbTurnos,3,FALSE),"")</f>
        <v/>
      </c>
      <c r="M180">
        <f t="shared" si="2"/>
        <v>0</v>
      </c>
    </row>
    <row r="181" spans="11:13" x14ac:dyDescent="0.35">
      <c r="K181" t="str">
        <f>IFERROR(VLOOKUP(J181,tbFactorMes,2,FALSE),"")</f>
        <v/>
      </c>
      <c r="L181" t="str">
        <f>IFERROR(VLOOKUP(F181,tbTurnos,3,FALSE),"")</f>
        <v/>
      </c>
      <c r="M181">
        <f t="shared" si="2"/>
        <v>0</v>
      </c>
    </row>
    <row r="182" spans="11:13" x14ac:dyDescent="0.35">
      <c r="K182" t="str">
        <f>IFERROR(VLOOKUP(J182,tbFactorMes,2,FALSE),"")</f>
        <v/>
      </c>
      <c r="L182" t="str">
        <f>IFERROR(VLOOKUP(F182,tbTurnos,3,FALSE),"")</f>
        <v/>
      </c>
      <c r="M182">
        <f t="shared" si="2"/>
        <v>0</v>
      </c>
    </row>
    <row r="183" spans="11:13" x14ac:dyDescent="0.35">
      <c r="K183" t="str">
        <f>IFERROR(VLOOKUP(J183,tbFactorMes,2,FALSE),"")</f>
        <v/>
      </c>
      <c r="L183" t="str">
        <f>IFERROR(VLOOKUP(F183,tbTurnos,3,FALSE),"")</f>
        <v/>
      </c>
      <c r="M183">
        <f t="shared" si="2"/>
        <v>0</v>
      </c>
    </row>
    <row r="184" spans="11:13" x14ac:dyDescent="0.35">
      <c r="K184" t="str">
        <f>IFERROR(VLOOKUP(J184,tbFactorMes,2,FALSE),"")</f>
        <v/>
      </c>
      <c r="L184" t="str">
        <f>IFERROR(VLOOKUP(F184,tbTurnos,3,FALSE),"")</f>
        <v/>
      </c>
      <c r="M184">
        <f t="shared" si="2"/>
        <v>0</v>
      </c>
    </row>
    <row r="185" spans="11:13" x14ac:dyDescent="0.35">
      <c r="K185" t="str">
        <f>IFERROR(VLOOKUP(J185,tbFactorMes,2,FALSE),"")</f>
        <v/>
      </c>
      <c r="L185" t="str">
        <f>IFERROR(VLOOKUP(F185,tbTurnos,3,FALSE),"")</f>
        <v/>
      </c>
      <c r="M185">
        <f t="shared" si="2"/>
        <v>0</v>
      </c>
    </row>
    <row r="186" spans="11:13" x14ac:dyDescent="0.35">
      <c r="K186" t="str">
        <f>IFERROR(VLOOKUP(J186,tbFactorMes,2,FALSE),"")</f>
        <v/>
      </c>
      <c r="L186" t="str">
        <f>IFERROR(VLOOKUP(F186,tbTurnos,3,FALSE),"")</f>
        <v/>
      </c>
      <c r="M186">
        <f t="shared" si="2"/>
        <v>0</v>
      </c>
    </row>
    <row r="187" spans="11:13" x14ac:dyDescent="0.35">
      <c r="K187" t="str">
        <f>IFERROR(VLOOKUP(J187,tbFactorMes,2,FALSE),"")</f>
        <v/>
      </c>
      <c r="L187" t="str">
        <f>IFERROR(VLOOKUP(F187,tbTurnos,3,FALSE),"")</f>
        <v/>
      </c>
      <c r="M187">
        <f t="shared" si="2"/>
        <v>0</v>
      </c>
    </row>
    <row r="188" spans="11:13" x14ac:dyDescent="0.35">
      <c r="K188" t="str">
        <f>IFERROR(VLOOKUP(J188,tbFactorMes,2,FALSE),"")</f>
        <v/>
      </c>
      <c r="L188" t="str">
        <f>IFERROR(VLOOKUP(F188,tbTurnos,3,FALSE),"")</f>
        <v/>
      </c>
      <c r="M188">
        <f t="shared" si="2"/>
        <v>0</v>
      </c>
    </row>
    <row r="189" spans="11:13" x14ac:dyDescent="0.35">
      <c r="K189" t="str">
        <f>IFERROR(VLOOKUP(J189,tbFactorMes,2,FALSE),"")</f>
        <v/>
      </c>
      <c r="L189" t="str">
        <f>IFERROR(VLOOKUP(F189,tbTurnos,3,FALSE),"")</f>
        <v/>
      </c>
      <c r="M189">
        <f t="shared" si="2"/>
        <v>0</v>
      </c>
    </row>
    <row r="190" spans="11:13" x14ac:dyDescent="0.35">
      <c r="K190" t="str">
        <f>IFERROR(VLOOKUP(J190,tbFactorMes,2,FALSE),"")</f>
        <v/>
      </c>
      <c r="L190" t="str">
        <f>IFERROR(VLOOKUP(F190,tbTurnos,3,FALSE),"")</f>
        <v/>
      </c>
      <c r="M190">
        <f t="shared" si="2"/>
        <v>0</v>
      </c>
    </row>
    <row r="191" spans="11:13" x14ac:dyDescent="0.35">
      <c r="K191" t="str">
        <f>IFERROR(VLOOKUP(J191,tbFactorMes,2,FALSE),"")</f>
        <v/>
      </c>
      <c r="L191" t="str">
        <f>IFERROR(VLOOKUP(F191,tbTurnos,3,FALSE),"")</f>
        <v/>
      </c>
      <c r="M191">
        <f t="shared" si="2"/>
        <v>0</v>
      </c>
    </row>
    <row r="192" spans="11:13" x14ac:dyDescent="0.35">
      <c r="K192" t="str">
        <f>IFERROR(VLOOKUP(J192,tbFactorMes,2,FALSE),"")</f>
        <v/>
      </c>
      <c r="L192" t="str">
        <f>IFERROR(VLOOKUP(F192,tbTurnos,3,FALSE),"")</f>
        <v/>
      </c>
      <c r="M192">
        <f t="shared" si="2"/>
        <v>0</v>
      </c>
    </row>
    <row r="193" spans="11:13" x14ac:dyDescent="0.35">
      <c r="K193" t="str">
        <f>IFERROR(VLOOKUP(J193,tbFactorMes,2,FALSE),"")</f>
        <v/>
      </c>
      <c r="L193" t="str">
        <f>IFERROR(VLOOKUP(F193,tbTurnos,3,FALSE),"")</f>
        <v/>
      </c>
      <c r="M193">
        <f t="shared" si="2"/>
        <v>0</v>
      </c>
    </row>
    <row r="194" spans="11:13" x14ac:dyDescent="0.35">
      <c r="K194" t="str">
        <f>IFERROR(VLOOKUP(J194,tbFactorMes,2,FALSE),"")</f>
        <v/>
      </c>
      <c r="L194" t="str">
        <f>IFERROR(VLOOKUP(F194,tbTurnos,3,FALSE),"")</f>
        <v/>
      </c>
      <c r="M194">
        <f t="shared" ref="M194:M257" si="3">IFERROR((I194*L194)/K194,0)</f>
        <v>0</v>
      </c>
    </row>
    <row r="195" spans="11:13" x14ac:dyDescent="0.35">
      <c r="K195" t="str">
        <f>IFERROR(VLOOKUP(J195,tbFactorMes,2,FALSE),"")</f>
        <v/>
      </c>
      <c r="L195" t="str">
        <f>IFERROR(VLOOKUP(F195,tbTurnos,3,FALSE),"")</f>
        <v/>
      </c>
      <c r="M195">
        <f t="shared" si="3"/>
        <v>0</v>
      </c>
    </row>
    <row r="196" spans="11:13" x14ac:dyDescent="0.35">
      <c r="K196" t="str">
        <f>IFERROR(VLOOKUP(J196,tbFactorMes,2,FALSE),"")</f>
        <v/>
      </c>
      <c r="L196" t="str">
        <f>IFERROR(VLOOKUP(F196,tbTurnos,3,FALSE),"")</f>
        <v/>
      </c>
      <c r="M196">
        <f t="shared" si="3"/>
        <v>0</v>
      </c>
    </row>
    <row r="197" spans="11:13" x14ac:dyDescent="0.35">
      <c r="K197" t="str">
        <f>IFERROR(VLOOKUP(J197,tbFactorMes,2,FALSE),"")</f>
        <v/>
      </c>
      <c r="L197" t="str">
        <f>IFERROR(VLOOKUP(F197,tbTurnos,3,FALSE),"")</f>
        <v/>
      </c>
      <c r="M197">
        <f t="shared" si="3"/>
        <v>0</v>
      </c>
    </row>
    <row r="198" spans="11:13" x14ac:dyDescent="0.35">
      <c r="K198" t="str">
        <f>IFERROR(VLOOKUP(J198,tbFactorMes,2,FALSE),"")</f>
        <v/>
      </c>
      <c r="L198" t="str">
        <f>IFERROR(VLOOKUP(F198,tbTurnos,3,FALSE),"")</f>
        <v/>
      </c>
      <c r="M198">
        <f t="shared" si="3"/>
        <v>0</v>
      </c>
    </row>
    <row r="199" spans="11:13" x14ac:dyDescent="0.35">
      <c r="K199" t="str">
        <f>IFERROR(VLOOKUP(J199,tbFactorMes,2,FALSE),"")</f>
        <v/>
      </c>
      <c r="L199" t="str">
        <f>IFERROR(VLOOKUP(F199,tbTurnos,3,FALSE),"")</f>
        <v/>
      </c>
      <c r="M199">
        <f t="shared" si="3"/>
        <v>0</v>
      </c>
    </row>
    <row r="200" spans="11:13" x14ac:dyDescent="0.35">
      <c r="K200" t="str">
        <f>IFERROR(VLOOKUP(J200,tbFactorMes,2,FALSE),"")</f>
        <v/>
      </c>
      <c r="L200" t="str">
        <f>IFERROR(VLOOKUP(F200,tbTurnos,3,FALSE),"")</f>
        <v/>
      </c>
      <c r="M200">
        <f t="shared" si="3"/>
        <v>0</v>
      </c>
    </row>
    <row r="201" spans="11:13" x14ac:dyDescent="0.35">
      <c r="K201" t="str">
        <f>IFERROR(VLOOKUP(J201,tbFactorMes,2,FALSE),"")</f>
        <v/>
      </c>
      <c r="L201" t="str">
        <f>IFERROR(VLOOKUP(F201,tbTurnos,3,FALSE),"")</f>
        <v/>
      </c>
      <c r="M201">
        <f t="shared" si="3"/>
        <v>0</v>
      </c>
    </row>
    <row r="202" spans="11:13" x14ac:dyDescent="0.35">
      <c r="K202" t="str">
        <f>IFERROR(VLOOKUP(J202,tbFactorMes,2,FALSE),"")</f>
        <v/>
      </c>
      <c r="L202" t="str">
        <f>IFERROR(VLOOKUP(F202,tbTurnos,3,FALSE),"")</f>
        <v/>
      </c>
      <c r="M202">
        <f t="shared" si="3"/>
        <v>0</v>
      </c>
    </row>
    <row r="203" spans="11:13" x14ac:dyDescent="0.35">
      <c r="K203" t="str">
        <f>IFERROR(VLOOKUP(J203,tbFactorMes,2,FALSE),"")</f>
        <v/>
      </c>
      <c r="L203" t="str">
        <f>IFERROR(VLOOKUP(F203,tbTurnos,3,FALSE),"")</f>
        <v/>
      </c>
      <c r="M203">
        <f t="shared" si="3"/>
        <v>0</v>
      </c>
    </row>
    <row r="204" spans="11:13" x14ac:dyDescent="0.35">
      <c r="K204" t="str">
        <f>IFERROR(VLOOKUP(J204,tbFactorMes,2,FALSE),"")</f>
        <v/>
      </c>
      <c r="L204" t="str">
        <f>IFERROR(VLOOKUP(F204,tbTurnos,3,FALSE),"")</f>
        <v/>
      </c>
      <c r="M204">
        <f t="shared" si="3"/>
        <v>0</v>
      </c>
    </row>
    <row r="205" spans="11:13" x14ac:dyDescent="0.35">
      <c r="K205" t="str">
        <f>IFERROR(VLOOKUP(J205,tbFactorMes,2,FALSE),"")</f>
        <v/>
      </c>
      <c r="L205" t="str">
        <f>IFERROR(VLOOKUP(F205,tbTurnos,3,FALSE),"")</f>
        <v/>
      </c>
      <c r="M205">
        <f t="shared" si="3"/>
        <v>0</v>
      </c>
    </row>
    <row r="206" spans="11:13" x14ac:dyDescent="0.35">
      <c r="K206" t="str">
        <f>IFERROR(VLOOKUP(J206,tbFactorMes,2,FALSE),"")</f>
        <v/>
      </c>
      <c r="L206" t="str">
        <f>IFERROR(VLOOKUP(F206,tbTurnos,3,FALSE),"")</f>
        <v/>
      </c>
      <c r="M206">
        <f t="shared" si="3"/>
        <v>0</v>
      </c>
    </row>
    <row r="207" spans="11:13" x14ac:dyDescent="0.35">
      <c r="K207" t="str">
        <f>IFERROR(VLOOKUP(J207,tbFactorMes,2,FALSE),"")</f>
        <v/>
      </c>
      <c r="L207" t="str">
        <f>IFERROR(VLOOKUP(F207,tbTurnos,3,FALSE),"")</f>
        <v/>
      </c>
      <c r="M207">
        <f t="shared" si="3"/>
        <v>0</v>
      </c>
    </row>
    <row r="208" spans="11:13" x14ac:dyDescent="0.35">
      <c r="K208" t="str">
        <f>IFERROR(VLOOKUP(J208,tbFactorMes,2,FALSE),"")</f>
        <v/>
      </c>
      <c r="L208" t="str">
        <f>IFERROR(VLOOKUP(F208,tbTurnos,3,FALSE),"")</f>
        <v/>
      </c>
      <c r="M208">
        <f t="shared" si="3"/>
        <v>0</v>
      </c>
    </row>
    <row r="209" spans="11:13" x14ac:dyDescent="0.35">
      <c r="K209" t="str">
        <f>IFERROR(VLOOKUP(J209,tbFactorMes,2,FALSE),"")</f>
        <v/>
      </c>
      <c r="L209" t="str">
        <f>IFERROR(VLOOKUP(F209,tbTurnos,3,FALSE),"")</f>
        <v/>
      </c>
      <c r="M209">
        <f t="shared" si="3"/>
        <v>0</v>
      </c>
    </row>
    <row r="210" spans="11:13" x14ac:dyDescent="0.35">
      <c r="K210" t="str">
        <f>IFERROR(VLOOKUP(J210,tbFactorMes,2,FALSE),"")</f>
        <v/>
      </c>
      <c r="L210" t="str">
        <f>IFERROR(VLOOKUP(F210,tbTurnos,3,FALSE),"")</f>
        <v/>
      </c>
      <c r="M210">
        <f t="shared" si="3"/>
        <v>0</v>
      </c>
    </row>
    <row r="211" spans="11:13" x14ac:dyDescent="0.35">
      <c r="K211" t="str">
        <f>IFERROR(VLOOKUP(J211,tbFactorMes,2,FALSE),"")</f>
        <v/>
      </c>
      <c r="L211" t="str">
        <f>IFERROR(VLOOKUP(F211,tbTurnos,3,FALSE),"")</f>
        <v/>
      </c>
      <c r="M211">
        <f t="shared" si="3"/>
        <v>0</v>
      </c>
    </row>
    <row r="212" spans="11:13" x14ac:dyDescent="0.35">
      <c r="K212" t="str">
        <f>IFERROR(VLOOKUP(J212,tbFactorMes,2,FALSE),"")</f>
        <v/>
      </c>
      <c r="L212" t="str">
        <f>IFERROR(VLOOKUP(F212,tbTurnos,3,FALSE),"")</f>
        <v/>
      </c>
      <c r="M212">
        <f t="shared" si="3"/>
        <v>0</v>
      </c>
    </row>
    <row r="213" spans="11:13" x14ac:dyDescent="0.35">
      <c r="K213" t="str">
        <f>IFERROR(VLOOKUP(J213,tbFactorMes,2,FALSE),"")</f>
        <v/>
      </c>
      <c r="L213" t="str">
        <f>IFERROR(VLOOKUP(F213,tbTurnos,3,FALSE),"")</f>
        <v/>
      </c>
      <c r="M213">
        <f t="shared" si="3"/>
        <v>0</v>
      </c>
    </row>
    <row r="214" spans="11:13" x14ac:dyDescent="0.35">
      <c r="K214" t="str">
        <f>IFERROR(VLOOKUP(J214,tbFactorMes,2,FALSE),"")</f>
        <v/>
      </c>
      <c r="L214" t="str">
        <f>IFERROR(VLOOKUP(F214,tbTurnos,3,FALSE),"")</f>
        <v/>
      </c>
      <c r="M214">
        <f t="shared" si="3"/>
        <v>0</v>
      </c>
    </row>
    <row r="215" spans="11:13" x14ac:dyDescent="0.35">
      <c r="K215" t="str">
        <f>IFERROR(VLOOKUP(J215,tbFactorMes,2,FALSE),"")</f>
        <v/>
      </c>
      <c r="L215" t="str">
        <f>IFERROR(VLOOKUP(F215,tbTurnos,3,FALSE),"")</f>
        <v/>
      </c>
      <c r="M215">
        <f t="shared" si="3"/>
        <v>0</v>
      </c>
    </row>
    <row r="216" spans="11:13" x14ac:dyDescent="0.35">
      <c r="K216" t="str">
        <f>IFERROR(VLOOKUP(J216,tbFactorMes,2,FALSE),"")</f>
        <v/>
      </c>
      <c r="L216" t="str">
        <f>IFERROR(VLOOKUP(F216,tbTurnos,3,FALSE),"")</f>
        <v/>
      </c>
      <c r="M216">
        <f t="shared" si="3"/>
        <v>0</v>
      </c>
    </row>
    <row r="217" spans="11:13" x14ac:dyDescent="0.35">
      <c r="K217" t="str">
        <f>IFERROR(VLOOKUP(J217,tbFactorMes,2,FALSE),"")</f>
        <v/>
      </c>
      <c r="L217" t="str">
        <f>IFERROR(VLOOKUP(F217,tbTurnos,3,FALSE),"")</f>
        <v/>
      </c>
      <c r="M217">
        <f t="shared" si="3"/>
        <v>0</v>
      </c>
    </row>
    <row r="218" spans="11:13" x14ac:dyDescent="0.35">
      <c r="K218" t="str">
        <f>IFERROR(VLOOKUP(J218,tbFactorMes,2,FALSE),"")</f>
        <v/>
      </c>
      <c r="L218" t="str">
        <f>IFERROR(VLOOKUP(F218,tbTurnos,3,FALSE),"")</f>
        <v/>
      </c>
      <c r="M218">
        <f t="shared" si="3"/>
        <v>0</v>
      </c>
    </row>
    <row r="219" spans="11:13" x14ac:dyDescent="0.35">
      <c r="K219" t="str">
        <f>IFERROR(VLOOKUP(J219,tbFactorMes,2,FALSE),"")</f>
        <v/>
      </c>
      <c r="L219" t="str">
        <f>IFERROR(VLOOKUP(F219,tbTurnos,3,FALSE),"")</f>
        <v/>
      </c>
      <c r="M219">
        <f t="shared" si="3"/>
        <v>0</v>
      </c>
    </row>
    <row r="220" spans="11:13" x14ac:dyDescent="0.35">
      <c r="K220" t="str">
        <f>IFERROR(VLOOKUP(J220,tbFactorMes,2,FALSE),"")</f>
        <v/>
      </c>
      <c r="L220" t="str">
        <f>IFERROR(VLOOKUP(F220,tbTurnos,3,FALSE),"")</f>
        <v/>
      </c>
      <c r="M220">
        <f t="shared" si="3"/>
        <v>0</v>
      </c>
    </row>
    <row r="221" spans="11:13" x14ac:dyDescent="0.35">
      <c r="K221" t="str">
        <f>IFERROR(VLOOKUP(J221,tbFactorMes,2,FALSE),"")</f>
        <v/>
      </c>
      <c r="L221" t="str">
        <f>IFERROR(VLOOKUP(F221,tbTurnos,3,FALSE),"")</f>
        <v/>
      </c>
      <c r="M221">
        <f t="shared" si="3"/>
        <v>0</v>
      </c>
    </row>
    <row r="222" spans="11:13" x14ac:dyDescent="0.35">
      <c r="K222" t="str">
        <f>IFERROR(VLOOKUP(J222,tbFactorMes,2,FALSE),"")</f>
        <v/>
      </c>
      <c r="L222" t="str">
        <f>IFERROR(VLOOKUP(F222,tbTurnos,3,FALSE),"")</f>
        <v/>
      </c>
      <c r="M222">
        <f t="shared" si="3"/>
        <v>0</v>
      </c>
    </row>
    <row r="223" spans="11:13" x14ac:dyDescent="0.35">
      <c r="K223" t="str">
        <f>IFERROR(VLOOKUP(J223,tbFactorMes,2,FALSE),"")</f>
        <v/>
      </c>
      <c r="L223" t="str">
        <f>IFERROR(VLOOKUP(F223,tbTurnos,3,FALSE),"")</f>
        <v/>
      </c>
      <c r="M223">
        <f t="shared" si="3"/>
        <v>0</v>
      </c>
    </row>
    <row r="224" spans="11:13" x14ac:dyDescent="0.35">
      <c r="K224" t="str">
        <f>IFERROR(VLOOKUP(J224,tbFactorMes,2,FALSE),"")</f>
        <v/>
      </c>
      <c r="L224" t="str">
        <f>IFERROR(VLOOKUP(F224,tbTurnos,3,FALSE),"")</f>
        <v/>
      </c>
      <c r="M224">
        <f t="shared" si="3"/>
        <v>0</v>
      </c>
    </row>
    <row r="225" spans="11:13" x14ac:dyDescent="0.35">
      <c r="K225" t="str">
        <f>IFERROR(VLOOKUP(J225,tbFactorMes,2,FALSE),"")</f>
        <v/>
      </c>
      <c r="L225" t="str">
        <f>IFERROR(VLOOKUP(F225,tbTurnos,3,FALSE),"")</f>
        <v/>
      </c>
      <c r="M225">
        <f t="shared" si="3"/>
        <v>0</v>
      </c>
    </row>
    <row r="226" spans="11:13" x14ac:dyDescent="0.35">
      <c r="K226" t="str">
        <f>IFERROR(VLOOKUP(J226,tbFactorMes,2,FALSE),"")</f>
        <v/>
      </c>
      <c r="L226" t="str">
        <f>IFERROR(VLOOKUP(F226,tbTurnos,3,FALSE),"")</f>
        <v/>
      </c>
      <c r="M226">
        <f t="shared" si="3"/>
        <v>0</v>
      </c>
    </row>
    <row r="227" spans="11:13" x14ac:dyDescent="0.35">
      <c r="K227" t="str">
        <f>IFERROR(VLOOKUP(J227,tbFactorMes,2,FALSE),"")</f>
        <v/>
      </c>
      <c r="L227" t="str">
        <f>IFERROR(VLOOKUP(F227,tbTurnos,3,FALSE),"")</f>
        <v/>
      </c>
      <c r="M227">
        <f t="shared" si="3"/>
        <v>0</v>
      </c>
    </row>
    <row r="228" spans="11:13" x14ac:dyDescent="0.35">
      <c r="K228" t="str">
        <f>IFERROR(VLOOKUP(J228,tbFactorMes,2,FALSE),"")</f>
        <v/>
      </c>
      <c r="L228" t="str">
        <f>IFERROR(VLOOKUP(F228,tbTurnos,3,FALSE),"")</f>
        <v/>
      </c>
      <c r="M228">
        <f t="shared" si="3"/>
        <v>0</v>
      </c>
    </row>
    <row r="229" spans="11:13" x14ac:dyDescent="0.35">
      <c r="K229" t="str">
        <f>IFERROR(VLOOKUP(J229,tbFactorMes,2,FALSE),"")</f>
        <v/>
      </c>
      <c r="L229" t="str">
        <f>IFERROR(VLOOKUP(F229,tbTurnos,3,FALSE),"")</f>
        <v/>
      </c>
      <c r="M229">
        <f t="shared" si="3"/>
        <v>0</v>
      </c>
    </row>
    <row r="230" spans="11:13" x14ac:dyDescent="0.35">
      <c r="K230" t="str">
        <f>IFERROR(VLOOKUP(J230,tbFactorMes,2,FALSE),"")</f>
        <v/>
      </c>
      <c r="L230" t="str">
        <f>IFERROR(VLOOKUP(F230,tbTurnos,3,FALSE),"")</f>
        <v/>
      </c>
      <c r="M230">
        <f t="shared" si="3"/>
        <v>0</v>
      </c>
    </row>
    <row r="231" spans="11:13" x14ac:dyDescent="0.35">
      <c r="K231" t="str">
        <f>IFERROR(VLOOKUP(J231,tbFactorMes,2,FALSE),"")</f>
        <v/>
      </c>
      <c r="L231" t="str">
        <f>IFERROR(VLOOKUP(F231,tbTurnos,3,FALSE),"")</f>
        <v/>
      </c>
      <c r="M231">
        <f t="shared" si="3"/>
        <v>0</v>
      </c>
    </row>
    <row r="232" spans="11:13" x14ac:dyDescent="0.35">
      <c r="K232" t="str">
        <f>IFERROR(VLOOKUP(J232,tbFactorMes,2,FALSE),"")</f>
        <v/>
      </c>
      <c r="L232" t="str">
        <f>IFERROR(VLOOKUP(F232,tbTurnos,3,FALSE),"")</f>
        <v/>
      </c>
      <c r="M232">
        <f t="shared" si="3"/>
        <v>0</v>
      </c>
    </row>
    <row r="233" spans="11:13" x14ac:dyDescent="0.35">
      <c r="K233" t="str">
        <f>IFERROR(VLOOKUP(J233,tbFactorMes,2,FALSE),"")</f>
        <v/>
      </c>
      <c r="L233" t="str">
        <f>IFERROR(VLOOKUP(F233,tbTurnos,3,FALSE),"")</f>
        <v/>
      </c>
      <c r="M233">
        <f t="shared" si="3"/>
        <v>0</v>
      </c>
    </row>
    <row r="234" spans="11:13" x14ac:dyDescent="0.35">
      <c r="K234" t="str">
        <f>IFERROR(VLOOKUP(J234,tbFactorMes,2,FALSE),"")</f>
        <v/>
      </c>
      <c r="L234" t="str">
        <f>IFERROR(VLOOKUP(F234,tbTurnos,3,FALSE),"")</f>
        <v/>
      </c>
      <c r="M234">
        <f t="shared" si="3"/>
        <v>0</v>
      </c>
    </row>
    <row r="235" spans="11:13" x14ac:dyDescent="0.35">
      <c r="K235" t="str">
        <f>IFERROR(VLOOKUP(J235,tbFactorMes,2,FALSE),"")</f>
        <v/>
      </c>
      <c r="L235" t="str">
        <f>IFERROR(VLOOKUP(F235,tbTurnos,3,FALSE),"")</f>
        <v/>
      </c>
      <c r="M235">
        <f t="shared" si="3"/>
        <v>0</v>
      </c>
    </row>
    <row r="236" spans="11:13" x14ac:dyDescent="0.35">
      <c r="K236" t="str">
        <f>IFERROR(VLOOKUP(J236,tbFactorMes,2,FALSE),"")</f>
        <v/>
      </c>
      <c r="L236" t="str">
        <f>IFERROR(VLOOKUP(F236,tbTurnos,3,FALSE),"")</f>
        <v/>
      </c>
      <c r="M236">
        <f t="shared" si="3"/>
        <v>0</v>
      </c>
    </row>
    <row r="237" spans="11:13" x14ac:dyDescent="0.35">
      <c r="K237" t="str">
        <f>IFERROR(VLOOKUP(J237,tbFactorMes,2,FALSE),"")</f>
        <v/>
      </c>
      <c r="L237" t="str">
        <f>IFERROR(VLOOKUP(F237,tbTurnos,3,FALSE),"")</f>
        <v/>
      </c>
      <c r="M237">
        <f t="shared" si="3"/>
        <v>0</v>
      </c>
    </row>
    <row r="238" spans="11:13" x14ac:dyDescent="0.35">
      <c r="K238" t="str">
        <f>IFERROR(VLOOKUP(J238,tbFactorMes,2,FALSE),"")</f>
        <v/>
      </c>
      <c r="L238" t="str">
        <f>IFERROR(VLOOKUP(F238,tbTurnos,3,FALSE),"")</f>
        <v/>
      </c>
      <c r="M238">
        <f t="shared" si="3"/>
        <v>0</v>
      </c>
    </row>
    <row r="239" spans="11:13" x14ac:dyDescent="0.35">
      <c r="K239" t="str">
        <f>IFERROR(VLOOKUP(J239,tbFactorMes,2,FALSE),"")</f>
        <v/>
      </c>
      <c r="L239" t="str">
        <f>IFERROR(VLOOKUP(F239,tbTurnos,3,FALSE),"")</f>
        <v/>
      </c>
      <c r="M239">
        <f t="shared" si="3"/>
        <v>0</v>
      </c>
    </row>
    <row r="240" spans="11:13" x14ac:dyDescent="0.35">
      <c r="K240" t="str">
        <f>IFERROR(VLOOKUP(J240,tbFactorMes,2,FALSE),"")</f>
        <v/>
      </c>
      <c r="L240" t="str">
        <f>IFERROR(VLOOKUP(F240,tbTurnos,3,FALSE),"")</f>
        <v/>
      </c>
      <c r="M240">
        <f t="shared" si="3"/>
        <v>0</v>
      </c>
    </row>
    <row r="241" spans="11:13" x14ac:dyDescent="0.35">
      <c r="K241" t="str">
        <f>IFERROR(VLOOKUP(J241,tbFactorMes,2,FALSE),"")</f>
        <v/>
      </c>
      <c r="L241" t="str">
        <f>IFERROR(VLOOKUP(F241,tbTurnos,3,FALSE),"")</f>
        <v/>
      </c>
      <c r="M241">
        <f t="shared" si="3"/>
        <v>0</v>
      </c>
    </row>
    <row r="242" spans="11:13" x14ac:dyDescent="0.35">
      <c r="K242" t="str">
        <f>IFERROR(VLOOKUP(J242,tbFactorMes,2,FALSE),"")</f>
        <v/>
      </c>
      <c r="L242" t="str">
        <f>IFERROR(VLOOKUP(F242,tbTurnos,3,FALSE),"")</f>
        <v/>
      </c>
      <c r="M242">
        <f t="shared" si="3"/>
        <v>0</v>
      </c>
    </row>
    <row r="243" spans="11:13" x14ac:dyDescent="0.35">
      <c r="K243" t="str">
        <f>IFERROR(VLOOKUP(J243,tbFactorMes,2,FALSE),"")</f>
        <v/>
      </c>
      <c r="L243" t="str">
        <f>IFERROR(VLOOKUP(F243,tbTurnos,3,FALSE),"")</f>
        <v/>
      </c>
      <c r="M243">
        <f t="shared" si="3"/>
        <v>0</v>
      </c>
    </row>
    <row r="244" spans="11:13" x14ac:dyDescent="0.35">
      <c r="K244" t="str">
        <f>IFERROR(VLOOKUP(J244,tbFactorMes,2,FALSE),"")</f>
        <v/>
      </c>
      <c r="L244" t="str">
        <f>IFERROR(VLOOKUP(F244,tbTurnos,3,FALSE),"")</f>
        <v/>
      </c>
      <c r="M244">
        <f t="shared" si="3"/>
        <v>0</v>
      </c>
    </row>
    <row r="245" spans="11:13" x14ac:dyDescent="0.35">
      <c r="K245" t="str">
        <f>IFERROR(VLOOKUP(J245,tbFactorMes,2,FALSE),"")</f>
        <v/>
      </c>
      <c r="L245" t="str">
        <f>IFERROR(VLOOKUP(F245,tbTurnos,3,FALSE),"")</f>
        <v/>
      </c>
      <c r="M245">
        <f t="shared" si="3"/>
        <v>0</v>
      </c>
    </row>
    <row r="246" spans="11:13" x14ac:dyDescent="0.35">
      <c r="K246" t="str">
        <f>IFERROR(VLOOKUP(J246,tbFactorMes,2,FALSE),"")</f>
        <v/>
      </c>
      <c r="L246" t="str">
        <f>IFERROR(VLOOKUP(F246,tbTurnos,3,FALSE),"")</f>
        <v/>
      </c>
      <c r="M246">
        <f t="shared" si="3"/>
        <v>0</v>
      </c>
    </row>
    <row r="247" spans="11:13" x14ac:dyDescent="0.35">
      <c r="K247" t="str">
        <f>IFERROR(VLOOKUP(J247,tbFactorMes,2,FALSE),"")</f>
        <v/>
      </c>
      <c r="L247" t="str">
        <f>IFERROR(VLOOKUP(F247,tbTurnos,3,FALSE),"")</f>
        <v/>
      </c>
      <c r="M247">
        <f t="shared" si="3"/>
        <v>0</v>
      </c>
    </row>
    <row r="248" spans="11:13" x14ac:dyDescent="0.35">
      <c r="K248" t="str">
        <f>IFERROR(VLOOKUP(J248,tbFactorMes,2,FALSE),"")</f>
        <v/>
      </c>
      <c r="L248" t="str">
        <f>IFERROR(VLOOKUP(F248,tbTurnos,3,FALSE),"")</f>
        <v/>
      </c>
      <c r="M248">
        <f t="shared" si="3"/>
        <v>0</v>
      </c>
    </row>
    <row r="249" spans="11:13" x14ac:dyDescent="0.35">
      <c r="K249" t="str">
        <f>IFERROR(VLOOKUP(J249,tbFactorMes,2,FALSE),"")</f>
        <v/>
      </c>
      <c r="L249" t="str">
        <f>IFERROR(VLOOKUP(F249,tbTurnos,3,FALSE),"")</f>
        <v/>
      </c>
      <c r="M249">
        <f t="shared" si="3"/>
        <v>0</v>
      </c>
    </row>
    <row r="250" spans="11:13" x14ac:dyDescent="0.35">
      <c r="K250" t="str">
        <f>IFERROR(VLOOKUP(J250,tbFactorMes,2,FALSE),"")</f>
        <v/>
      </c>
      <c r="L250" t="str">
        <f>IFERROR(VLOOKUP(F250,tbTurnos,3,FALSE),"")</f>
        <v/>
      </c>
      <c r="M250">
        <f t="shared" si="3"/>
        <v>0</v>
      </c>
    </row>
    <row r="251" spans="11:13" x14ac:dyDescent="0.35">
      <c r="K251" t="str">
        <f>IFERROR(VLOOKUP(J251,tbFactorMes,2,FALSE),"")</f>
        <v/>
      </c>
      <c r="L251" t="str">
        <f>IFERROR(VLOOKUP(F251,tbTurnos,3,FALSE),"")</f>
        <v/>
      </c>
      <c r="M251">
        <f t="shared" si="3"/>
        <v>0</v>
      </c>
    </row>
    <row r="252" spans="11:13" x14ac:dyDescent="0.35">
      <c r="K252" t="str">
        <f>IFERROR(VLOOKUP(J252,tbFactorMes,2,FALSE),"")</f>
        <v/>
      </c>
      <c r="L252" t="str">
        <f>IFERROR(VLOOKUP(F252,tbTurnos,3,FALSE),"")</f>
        <v/>
      </c>
      <c r="M252">
        <f t="shared" si="3"/>
        <v>0</v>
      </c>
    </row>
    <row r="253" spans="11:13" x14ac:dyDescent="0.35">
      <c r="K253" t="str">
        <f>IFERROR(VLOOKUP(J253,tbFactorMes,2,FALSE),"")</f>
        <v/>
      </c>
      <c r="L253" t="str">
        <f>IFERROR(VLOOKUP(F253,tbTurnos,3,FALSE),"")</f>
        <v/>
      </c>
      <c r="M253">
        <f t="shared" si="3"/>
        <v>0</v>
      </c>
    </row>
    <row r="254" spans="11:13" x14ac:dyDescent="0.35">
      <c r="K254" t="str">
        <f>IFERROR(VLOOKUP(J254,tbFactorMes,2,FALSE),"")</f>
        <v/>
      </c>
      <c r="L254" t="str">
        <f>IFERROR(VLOOKUP(F254,tbTurnos,3,FALSE),"")</f>
        <v/>
      </c>
      <c r="M254">
        <f t="shared" si="3"/>
        <v>0</v>
      </c>
    </row>
    <row r="255" spans="11:13" x14ac:dyDescent="0.35">
      <c r="K255" t="str">
        <f>IFERROR(VLOOKUP(J255,tbFactorMes,2,FALSE),"")</f>
        <v/>
      </c>
      <c r="L255" t="str">
        <f>IFERROR(VLOOKUP(F255,tbTurnos,3,FALSE),"")</f>
        <v/>
      </c>
      <c r="M255">
        <f t="shared" si="3"/>
        <v>0</v>
      </c>
    </row>
    <row r="256" spans="11:13" x14ac:dyDescent="0.35">
      <c r="K256" t="str">
        <f>IFERROR(VLOOKUP(J256,tbFactorMes,2,FALSE),"")</f>
        <v/>
      </c>
      <c r="L256" t="str">
        <f>IFERROR(VLOOKUP(F256,tbTurnos,3,FALSE),"")</f>
        <v/>
      </c>
      <c r="M256">
        <f t="shared" si="3"/>
        <v>0</v>
      </c>
    </row>
    <row r="257" spans="11:13" x14ac:dyDescent="0.35">
      <c r="K257" t="str">
        <f>IFERROR(VLOOKUP(J257,tbFactorMes,2,FALSE),"")</f>
        <v/>
      </c>
      <c r="L257" t="str">
        <f>IFERROR(VLOOKUP(F257,tbTurnos,3,FALSE),"")</f>
        <v/>
      </c>
      <c r="M257">
        <f t="shared" si="3"/>
        <v>0</v>
      </c>
    </row>
    <row r="258" spans="11:13" x14ac:dyDescent="0.35">
      <c r="K258" t="str">
        <f>IFERROR(VLOOKUP(J258,tbFactorMes,2,FALSE),"")</f>
        <v/>
      </c>
      <c r="L258" t="str">
        <f>IFERROR(VLOOKUP(F258,tbTurnos,3,FALSE),"")</f>
        <v/>
      </c>
      <c r="M258">
        <f t="shared" ref="M258:M321" si="4">IFERROR((I258*L258)/K258,0)</f>
        <v>0</v>
      </c>
    </row>
    <row r="259" spans="11:13" x14ac:dyDescent="0.35">
      <c r="K259" t="str">
        <f>IFERROR(VLOOKUP(J259,tbFactorMes,2,FALSE),"")</f>
        <v/>
      </c>
      <c r="L259" t="str">
        <f>IFERROR(VLOOKUP(F259,tbTurnos,3,FALSE),"")</f>
        <v/>
      </c>
      <c r="M259">
        <f t="shared" si="4"/>
        <v>0</v>
      </c>
    </row>
    <row r="260" spans="11:13" x14ac:dyDescent="0.35">
      <c r="K260" t="str">
        <f>IFERROR(VLOOKUP(J260,tbFactorMes,2,FALSE),"")</f>
        <v/>
      </c>
      <c r="L260" t="str">
        <f>IFERROR(VLOOKUP(F260,tbTurnos,3,FALSE),"")</f>
        <v/>
      </c>
      <c r="M260">
        <f t="shared" si="4"/>
        <v>0</v>
      </c>
    </row>
    <row r="261" spans="11:13" x14ac:dyDescent="0.35">
      <c r="K261" t="str">
        <f>IFERROR(VLOOKUP(J261,tbFactorMes,2,FALSE),"")</f>
        <v/>
      </c>
      <c r="L261" t="str">
        <f>IFERROR(VLOOKUP(F261,tbTurnos,3,FALSE),"")</f>
        <v/>
      </c>
      <c r="M261">
        <f t="shared" si="4"/>
        <v>0</v>
      </c>
    </row>
    <row r="262" spans="11:13" x14ac:dyDescent="0.35">
      <c r="K262" t="str">
        <f>IFERROR(VLOOKUP(J262,tbFactorMes,2,FALSE),"")</f>
        <v/>
      </c>
      <c r="L262" t="str">
        <f>IFERROR(VLOOKUP(F262,tbTurnos,3,FALSE),"")</f>
        <v/>
      </c>
      <c r="M262">
        <f t="shared" si="4"/>
        <v>0</v>
      </c>
    </row>
    <row r="263" spans="11:13" x14ac:dyDescent="0.35">
      <c r="K263" t="str">
        <f>IFERROR(VLOOKUP(J263,tbFactorMes,2,FALSE),"")</f>
        <v/>
      </c>
      <c r="L263" t="str">
        <f>IFERROR(VLOOKUP(F263,tbTurnos,3,FALSE),"")</f>
        <v/>
      </c>
      <c r="M263">
        <f t="shared" si="4"/>
        <v>0</v>
      </c>
    </row>
    <row r="264" spans="11:13" x14ac:dyDescent="0.35">
      <c r="K264" t="str">
        <f>IFERROR(VLOOKUP(J264,tbFactorMes,2,FALSE),"")</f>
        <v/>
      </c>
      <c r="L264" t="str">
        <f>IFERROR(VLOOKUP(F264,tbTurnos,3,FALSE),"")</f>
        <v/>
      </c>
      <c r="M264">
        <f t="shared" si="4"/>
        <v>0</v>
      </c>
    </row>
    <row r="265" spans="11:13" x14ac:dyDescent="0.35">
      <c r="K265" t="str">
        <f>IFERROR(VLOOKUP(J265,tbFactorMes,2,FALSE),"")</f>
        <v/>
      </c>
      <c r="L265" t="str">
        <f>IFERROR(VLOOKUP(F265,tbTurnos,3,FALSE),"")</f>
        <v/>
      </c>
      <c r="M265">
        <f t="shared" si="4"/>
        <v>0</v>
      </c>
    </row>
    <row r="266" spans="11:13" x14ac:dyDescent="0.35">
      <c r="K266" t="str">
        <f>IFERROR(VLOOKUP(J266,tbFactorMes,2,FALSE),"")</f>
        <v/>
      </c>
      <c r="L266" t="str">
        <f>IFERROR(VLOOKUP(F266,tbTurnos,3,FALSE),"")</f>
        <v/>
      </c>
      <c r="M266">
        <f t="shared" si="4"/>
        <v>0</v>
      </c>
    </row>
    <row r="267" spans="11:13" x14ac:dyDescent="0.35">
      <c r="K267" t="str">
        <f>IFERROR(VLOOKUP(J267,tbFactorMes,2,FALSE),"")</f>
        <v/>
      </c>
      <c r="L267" t="str">
        <f>IFERROR(VLOOKUP(F267,tbTurnos,3,FALSE),"")</f>
        <v/>
      </c>
      <c r="M267">
        <f t="shared" si="4"/>
        <v>0</v>
      </c>
    </row>
    <row r="268" spans="11:13" x14ac:dyDescent="0.35">
      <c r="K268" t="str">
        <f>IFERROR(VLOOKUP(J268,tbFactorMes,2,FALSE),"")</f>
        <v/>
      </c>
      <c r="L268" t="str">
        <f>IFERROR(VLOOKUP(F268,tbTurnos,3,FALSE),"")</f>
        <v/>
      </c>
      <c r="M268">
        <f t="shared" si="4"/>
        <v>0</v>
      </c>
    </row>
    <row r="269" spans="11:13" x14ac:dyDescent="0.35">
      <c r="K269" t="str">
        <f>IFERROR(VLOOKUP(J269,tbFactorMes,2,FALSE),"")</f>
        <v/>
      </c>
      <c r="L269" t="str">
        <f>IFERROR(VLOOKUP(F269,tbTurnos,3,FALSE),"")</f>
        <v/>
      </c>
      <c r="M269">
        <f t="shared" si="4"/>
        <v>0</v>
      </c>
    </row>
    <row r="270" spans="11:13" x14ac:dyDescent="0.35">
      <c r="K270" t="str">
        <f>IFERROR(VLOOKUP(J270,tbFactorMes,2,FALSE),"")</f>
        <v/>
      </c>
      <c r="L270" t="str">
        <f>IFERROR(VLOOKUP(F270,tbTurnos,3,FALSE),"")</f>
        <v/>
      </c>
      <c r="M270">
        <f t="shared" si="4"/>
        <v>0</v>
      </c>
    </row>
    <row r="271" spans="11:13" x14ac:dyDescent="0.35">
      <c r="K271" t="str">
        <f>IFERROR(VLOOKUP(J271,tbFactorMes,2,FALSE),"")</f>
        <v/>
      </c>
      <c r="L271" t="str">
        <f>IFERROR(VLOOKUP(F271,tbTurnos,3,FALSE),"")</f>
        <v/>
      </c>
      <c r="M271">
        <f t="shared" si="4"/>
        <v>0</v>
      </c>
    </row>
    <row r="272" spans="11:13" x14ac:dyDescent="0.35">
      <c r="K272" t="str">
        <f>IFERROR(VLOOKUP(J272,tbFactorMes,2,FALSE),"")</f>
        <v/>
      </c>
      <c r="L272" t="str">
        <f>IFERROR(VLOOKUP(F272,tbTurnos,3,FALSE),"")</f>
        <v/>
      </c>
      <c r="M272">
        <f t="shared" si="4"/>
        <v>0</v>
      </c>
    </row>
    <row r="273" spans="11:13" x14ac:dyDescent="0.35">
      <c r="K273" t="str">
        <f>IFERROR(VLOOKUP(J273,tbFactorMes,2,FALSE),"")</f>
        <v/>
      </c>
      <c r="L273" t="str">
        <f>IFERROR(VLOOKUP(F273,tbTurnos,3,FALSE),"")</f>
        <v/>
      </c>
      <c r="M273">
        <f t="shared" si="4"/>
        <v>0</v>
      </c>
    </row>
    <row r="274" spans="11:13" x14ac:dyDescent="0.35">
      <c r="K274" t="str">
        <f>IFERROR(VLOOKUP(J274,tbFactorMes,2,FALSE),"")</f>
        <v/>
      </c>
      <c r="L274" t="str">
        <f>IFERROR(VLOOKUP(F274,tbTurnos,3,FALSE),"")</f>
        <v/>
      </c>
      <c r="M274">
        <f t="shared" si="4"/>
        <v>0</v>
      </c>
    </row>
    <row r="275" spans="11:13" x14ac:dyDescent="0.35">
      <c r="K275" t="str">
        <f>IFERROR(VLOOKUP(J275,tbFactorMes,2,FALSE),"")</f>
        <v/>
      </c>
      <c r="L275" t="str">
        <f>IFERROR(VLOOKUP(F275,tbTurnos,3,FALSE),"")</f>
        <v/>
      </c>
      <c r="M275">
        <f t="shared" si="4"/>
        <v>0</v>
      </c>
    </row>
    <row r="276" spans="11:13" x14ac:dyDescent="0.35">
      <c r="K276" t="str">
        <f>IFERROR(VLOOKUP(J276,tbFactorMes,2,FALSE),"")</f>
        <v/>
      </c>
      <c r="L276" t="str">
        <f>IFERROR(VLOOKUP(F276,tbTurnos,3,FALSE),"")</f>
        <v/>
      </c>
      <c r="M276">
        <f t="shared" si="4"/>
        <v>0</v>
      </c>
    </row>
    <row r="277" spans="11:13" x14ac:dyDescent="0.35">
      <c r="K277" t="str">
        <f>IFERROR(VLOOKUP(J277,tbFactorMes,2,FALSE),"")</f>
        <v/>
      </c>
      <c r="L277" t="str">
        <f>IFERROR(VLOOKUP(F277,tbTurnos,3,FALSE),"")</f>
        <v/>
      </c>
      <c r="M277">
        <f t="shared" si="4"/>
        <v>0</v>
      </c>
    </row>
    <row r="278" spans="11:13" x14ac:dyDescent="0.35">
      <c r="K278" t="str">
        <f>IFERROR(VLOOKUP(J278,tbFactorMes,2,FALSE),"")</f>
        <v/>
      </c>
      <c r="L278" t="str">
        <f>IFERROR(VLOOKUP(F278,tbTurnos,3,FALSE),"")</f>
        <v/>
      </c>
      <c r="M278">
        <f t="shared" si="4"/>
        <v>0</v>
      </c>
    </row>
    <row r="279" spans="11:13" x14ac:dyDescent="0.35">
      <c r="K279" t="str">
        <f>IFERROR(VLOOKUP(J279,tbFactorMes,2,FALSE),"")</f>
        <v/>
      </c>
      <c r="L279" t="str">
        <f>IFERROR(VLOOKUP(F279,tbTurnos,3,FALSE),"")</f>
        <v/>
      </c>
      <c r="M279">
        <f t="shared" si="4"/>
        <v>0</v>
      </c>
    </row>
    <row r="280" spans="11:13" x14ac:dyDescent="0.35">
      <c r="K280" t="str">
        <f>IFERROR(VLOOKUP(J280,tbFactorMes,2,FALSE),"")</f>
        <v/>
      </c>
      <c r="L280" t="str">
        <f>IFERROR(VLOOKUP(F280,tbTurnos,3,FALSE),"")</f>
        <v/>
      </c>
      <c r="M280">
        <f t="shared" si="4"/>
        <v>0</v>
      </c>
    </row>
    <row r="281" spans="11:13" x14ac:dyDescent="0.35">
      <c r="K281" t="str">
        <f>IFERROR(VLOOKUP(J281,tbFactorMes,2,FALSE),"")</f>
        <v/>
      </c>
      <c r="L281" t="str">
        <f>IFERROR(VLOOKUP(F281,tbTurnos,3,FALSE),"")</f>
        <v/>
      </c>
      <c r="M281">
        <f t="shared" si="4"/>
        <v>0</v>
      </c>
    </row>
    <row r="282" spans="11:13" x14ac:dyDescent="0.35">
      <c r="K282" t="str">
        <f>IFERROR(VLOOKUP(J282,tbFactorMes,2,FALSE),"")</f>
        <v/>
      </c>
      <c r="L282" t="str">
        <f>IFERROR(VLOOKUP(F282,tbTurnos,3,FALSE),"")</f>
        <v/>
      </c>
      <c r="M282">
        <f t="shared" si="4"/>
        <v>0</v>
      </c>
    </row>
    <row r="283" spans="11:13" x14ac:dyDescent="0.35">
      <c r="K283" t="str">
        <f>IFERROR(VLOOKUP(J283,tbFactorMes,2,FALSE),"")</f>
        <v/>
      </c>
      <c r="L283" t="str">
        <f>IFERROR(VLOOKUP(F283,tbTurnos,3,FALSE),"")</f>
        <v/>
      </c>
      <c r="M283">
        <f t="shared" si="4"/>
        <v>0</v>
      </c>
    </row>
    <row r="284" spans="11:13" x14ac:dyDescent="0.35">
      <c r="K284" t="str">
        <f>IFERROR(VLOOKUP(J284,tbFactorMes,2,FALSE),"")</f>
        <v/>
      </c>
      <c r="L284" t="str">
        <f>IFERROR(VLOOKUP(F284,tbTurnos,3,FALSE),"")</f>
        <v/>
      </c>
      <c r="M284">
        <f t="shared" si="4"/>
        <v>0</v>
      </c>
    </row>
    <row r="285" spans="11:13" x14ac:dyDescent="0.35">
      <c r="K285" t="str">
        <f>IFERROR(VLOOKUP(J285,tbFactorMes,2,FALSE),"")</f>
        <v/>
      </c>
      <c r="L285" t="str">
        <f>IFERROR(VLOOKUP(F285,tbTurnos,3,FALSE),"")</f>
        <v/>
      </c>
      <c r="M285">
        <f t="shared" si="4"/>
        <v>0</v>
      </c>
    </row>
    <row r="286" spans="11:13" x14ac:dyDescent="0.35">
      <c r="K286" t="str">
        <f>IFERROR(VLOOKUP(J286,tbFactorMes,2,FALSE),"")</f>
        <v/>
      </c>
      <c r="L286" t="str">
        <f>IFERROR(VLOOKUP(F286,tbTurnos,3,FALSE),"")</f>
        <v/>
      </c>
      <c r="M286">
        <f t="shared" si="4"/>
        <v>0</v>
      </c>
    </row>
    <row r="287" spans="11:13" x14ac:dyDescent="0.35">
      <c r="K287" t="str">
        <f>IFERROR(VLOOKUP(J287,tbFactorMes,2,FALSE),"")</f>
        <v/>
      </c>
      <c r="L287" t="str">
        <f>IFERROR(VLOOKUP(F287,tbTurnos,3,FALSE),"")</f>
        <v/>
      </c>
      <c r="M287">
        <f t="shared" si="4"/>
        <v>0</v>
      </c>
    </row>
    <row r="288" spans="11:13" x14ac:dyDescent="0.35">
      <c r="K288" t="str">
        <f>IFERROR(VLOOKUP(J288,tbFactorMes,2,FALSE),"")</f>
        <v/>
      </c>
      <c r="L288" t="str">
        <f>IFERROR(VLOOKUP(F288,tbTurnos,3,FALSE),"")</f>
        <v/>
      </c>
      <c r="M288">
        <f t="shared" si="4"/>
        <v>0</v>
      </c>
    </row>
    <row r="289" spans="11:13" x14ac:dyDescent="0.35">
      <c r="K289" t="str">
        <f>IFERROR(VLOOKUP(J289,tbFactorMes,2,FALSE),"")</f>
        <v/>
      </c>
      <c r="L289" t="str">
        <f>IFERROR(VLOOKUP(F289,tbTurnos,3,FALSE),"")</f>
        <v/>
      </c>
      <c r="M289">
        <f t="shared" si="4"/>
        <v>0</v>
      </c>
    </row>
    <row r="290" spans="11:13" x14ac:dyDescent="0.35">
      <c r="K290" t="str">
        <f>IFERROR(VLOOKUP(J290,tbFactorMes,2,FALSE),"")</f>
        <v/>
      </c>
      <c r="L290" t="str">
        <f>IFERROR(VLOOKUP(F290,tbTurnos,3,FALSE),"")</f>
        <v/>
      </c>
      <c r="M290">
        <f t="shared" si="4"/>
        <v>0</v>
      </c>
    </row>
    <row r="291" spans="11:13" x14ac:dyDescent="0.35">
      <c r="K291" t="str">
        <f>IFERROR(VLOOKUP(J291,tbFactorMes,2,FALSE),"")</f>
        <v/>
      </c>
      <c r="L291" t="str">
        <f>IFERROR(VLOOKUP(F291,tbTurnos,3,FALSE),"")</f>
        <v/>
      </c>
      <c r="M291">
        <f t="shared" si="4"/>
        <v>0</v>
      </c>
    </row>
    <row r="292" spans="11:13" x14ac:dyDescent="0.35">
      <c r="K292" t="str">
        <f>IFERROR(VLOOKUP(J292,tbFactorMes,2,FALSE),"")</f>
        <v/>
      </c>
      <c r="L292" t="str">
        <f>IFERROR(VLOOKUP(F292,tbTurnos,3,FALSE),"")</f>
        <v/>
      </c>
      <c r="M292">
        <f t="shared" si="4"/>
        <v>0</v>
      </c>
    </row>
    <row r="293" spans="11:13" x14ac:dyDescent="0.35">
      <c r="K293" t="str">
        <f>IFERROR(VLOOKUP(J293,tbFactorMes,2,FALSE),"")</f>
        <v/>
      </c>
      <c r="L293" t="str">
        <f>IFERROR(VLOOKUP(F293,tbTurnos,3,FALSE),"")</f>
        <v/>
      </c>
      <c r="M293">
        <f t="shared" si="4"/>
        <v>0</v>
      </c>
    </row>
    <row r="294" spans="11:13" x14ac:dyDescent="0.35">
      <c r="K294" t="str">
        <f>IFERROR(VLOOKUP(J294,tbFactorMes,2,FALSE),"")</f>
        <v/>
      </c>
      <c r="L294" t="str">
        <f>IFERROR(VLOOKUP(F294,tbTurnos,3,FALSE),"")</f>
        <v/>
      </c>
      <c r="M294">
        <f t="shared" si="4"/>
        <v>0</v>
      </c>
    </row>
    <row r="295" spans="11:13" x14ac:dyDescent="0.35">
      <c r="K295" t="str">
        <f>IFERROR(VLOOKUP(J295,tbFactorMes,2,FALSE),"")</f>
        <v/>
      </c>
      <c r="L295" t="str">
        <f>IFERROR(VLOOKUP(F295,tbTurnos,3,FALSE),"")</f>
        <v/>
      </c>
      <c r="M295">
        <f t="shared" si="4"/>
        <v>0</v>
      </c>
    </row>
    <row r="296" spans="11:13" x14ac:dyDescent="0.35">
      <c r="K296" t="str">
        <f>IFERROR(VLOOKUP(J296,tbFactorMes,2,FALSE),"")</f>
        <v/>
      </c>
      <c r="L296" t="str">
        <f>IFERROR(VLOOKUP(F296,tbTurnos,3,FALSE),"")</f>
        <v/>
      </c>
      <c r="M296">
        <f t="shared" si="4"/>
        <v>0</v>
      </c>
    </row>
    <row r="297" spans="11:13" x14ac:dyDescent="0.35">
      <c r="K297" t="str">
        <f>IFERROR(VLOOKUP(J297,tbFactorMes,2,FALSE),"")</f>
        <v/>
      </c>
      <c r="L297" t="str">
        <f>IFERROR(VLOOKUP(F297,tbTurnos,3,FALSE),"")</f>
        <v/>
      </c>
      <c r="M297">
        <f t="shared" si="4"/>
        <v>0</v>
      </c>
    </row>
    <row r="298" spans="11:13" x14ac:dyDescent="0.35">
      <c r="K298" t="str">
        <f>IFERROR(VLOOKUP(J298,tbFactorMes,2,FALSE),"")</f>
        <v/>
      </c>
      <c r="L298" t="str">
        <f>IFERROR(VLOOKUP(F298,tbTurnos,3,FALSE),"")</f>
        <v/>
      </c>
      <c r="M298">
        <f t="shared" si="4"/>
        <v>0</v>
      </c>
    </row>
    <row r="299" spans="11:13" x14ac:dyDescent="0.35">
      <c r="K299" t="str">
        <f>IFERROR(VLOOKUP(J299,tbFactorMes,2,FALSE),"")</f>
        <v/>
      </c>
      <c r="L299" t="str">
        <f>IFERROR(VLOOKUP(F299,tbTurnos,3,FALSE),"")</f>
        <v/>
      </c>
      <c r="M299">
        <f t="shared" si="4"/>
        <v>0</v>
      </c>
    </row>
    <row r="300" spans="11:13" x14ac:dyDescent="0.35">
      <c r="K300" t="str">
        <f>IFERROR(VLOOKUP(J300,tbFactorMes,2,FALSE),"")</f>
        <v/>
      </c>
      <c r="L300" t="str">
        <f>IFERROR(VLOOKUP(F300,tbTurnos,3,FALSE),"")</f>
        <v/>
      </c>
      <c r="M300">
        <f t="shared" si="4"/>
        <v>0</v>
      </c>
    </row>
    <row r="301" spans="11:13" x14ac:dyDescent="0.35">
      <c r="K301" t="str">
        <f>IFERROR(VLOOKUP(J301,tbFactorMes,2,FALSE),"")</f>
        <v/>
      </c>
      <c r="L301" t="str">
        <f>IFERROR(VLOOKUP(F301,tbTurnos,3,FALSE),"")</f>
        <v/>
      </c>
      <c r="M301">
        <f t="shared" si="4"/>
        <v>0</v>
      </c>
    </row>
    <row r="302" spans="11:13" x14ac:dyDescent="0.35">
      <c r="K302" t="str">
        <f>IFERROR(VLOOKUP(J302,tbFactorMes,2,FALSE),"")</f>
        <v/>
      </c>
      <c r="L302" t="str">
        <f>IFERROR(VLOOKUP(F302,tbTurnos,3,FALSE),"")</f>
        <v/>
      </c>
      <c r="M302">
        <f t="shared" si="4"/>
        <v>0</v>
      </c>
    </row>
    <row r="303" spans="11:13" x14ac:dyDescent="0.35">
      <c r="K303" t="str">
        <f>IFERROR(VLOOKUP(J303,tbFactorMes,2,FALSE),"")</f>
        <v/>
      </c>
      <c r="L303" t="str">
        <f>IFERROR(VLOOKUP(F303,tbTurnos,3,FALSE),"")</f>
        <v/>
      </c>
      <c r="M303">
        <f t="shared" si="4"/>
        <v>0</v>
      </c>
    </row>
    <row r="304" spans="11:13" x14ac:dyDescent="0.35">
      <c r="K304" t="str">
        <f>IFERROR(VLOOKUP(J304,tbFactorMes,2,FALSE),"")</f>
        <v/>
      </c>
      <c r="L304" t="str">
        <f>IFERROR(VLOOKUP(F304,tbTurnos,3,FALSE),"")</f>
        <v/>
      </c>
      <c r="M304">
        <f t="shared" si="4"/>
        <v>0</v>
      </c>
    </row>
    <row r="305" spans="11:13" x14ac:dyDescent="0.35">
      <c r="K305" t="str">
        <f>IFERROR(VLOOKUP(J305,tbFactorMes,2,FALSE),"")</f>
        <v/>
      </c>
      <c r="L305" t="str">
        <f>IFERROR(VLOOKUP(F305,tbTurnos,3,FALSE),"")</f>
        <v/>
      </c>
      <c r="M305">
        <f t="shared" si="4"/>
        <v>0</v>
      </c>
    </row>
    <row r="306" spans="11:13" x14ac:dyDescent="0.35">
      <c r="K306" t="str">
        <f>IFERROR(VLOOKUP(J306,tbFactorMes,2,FALSE),"")</f>
        <v/>
      </c>
      <c r="L306" t="str">
        <f>IFERROR(VLOOKUP(F306,tbTurnos,3,FALSE),"")</f>
        <v/>
      </c>
      <c r="M306">
        <f t="shared" si="4"/>
        <v>0</v>
      </c>
    </row>
    <row r="307" spans="11:13" x14ac:dyDescent="0.35">
      <c r="K307" t="str">
        <f>IFERROR(VLOOKUP(J307,tbFactorMes,2,FALSE),"")</f>
        <v/>
      </c>
      <c r="L307" t="str">
        <f>IFERROR(VLOOKUP(F307,tbTurnos,3,FALSE),"")</f>
        <v/>
      </c>
      <c r="M307">
        <f t="shared" si="4"/>
        <v>0</v>
      </c>
    </row>
    <row r="308" spans="11:13" x14ac:dyDescent="0.35">
      <c r="K308" t="str">
        <f>IFERROR(VLOOKUP(J308,tbFactorMes,2,FALSE),"")</f>
        <v/>
      </c>
      <c r="L308" t="str">
        <f>IFERROR(VLOOKUP(F308,tbTurnos,3,FALSE),"")</f>
        <v/>
      </c>
      <c r="M308">
        <f t="shared" si="4"/>
        <v>0</v>
      </c>
    </row>
    <row r="309" spans="11:13" x14ac:dyDescent="0.35">
      <c r="K309" t="str">
        <f>IFERROR(VLOOKUP(J309,tbFactorMes,2,FALSE),"")</f>
        <v/>
      </c>
      <c r="L309" t="str">
        <f>IFERROR(VLOOKUP(F309,tbTurnos,3,FALSE),"")</f>
        <v/>
      </c>
      <c r="M309">
        <f t="shared" si="4"/>
        <v>0</v>
      </c>
    </row>
    <row r="310" spans="11:13" x14ac:dyDescent="0.35">
      <c r="K310" t="str">
        <f>IFERROR(VLOOKUP(J310,tbFactorMes,2,FALSE),"")</f>
        <v/>
      </c>
      <c r="L310" t="str">
        <f>IFERROR(VLOOKUP(F310,tbTurnos,3,FALSE),"")</f>
        <v/>
      </c>
      <c r="M310">
        <f t="shared" si="4"/>
        <v>0</v>
      </c>
    </row>
    <row r="311" spans="11:13" x14ac:dyDescent="0.35">
      <c r="K311" t="str">
        <f>IFERROR(VLOOKUP(J311,tbFactorMes,2,FALSE),"")</f>
        <v/>
      </c>
      <c r="L311" t="str">
        <f>IFERROR(VLOOKUP(F311,tbTurnos,3,FALSE),"")</f>
        <v/>
      </c>
      <c r="M311">
        <f t="shared" si="4"/>
        <v>0</v>
      </c>
    </row>
    <row r="312" spans="11:13" x14ac:dyDescent="0.35">
      <c r="K312" t="str">
        <f>IFERROR(VLOOKUP(J312,tbFactorMes,2,FALSE),"")</f>
        <v/>
      </c>
      <c r="L312" t="str">
        <f>IFERROR(VLOOKUP(F312,tbTurnos,3,FALSE),"")</f>
        <v/>
      </c>
      <c r="M312">
        <f t="shared" si="4"/>
        <v>0</v>
      </c>
    </row>
    <row r="313" spans="11:13" x14ac:dyDescent="0.35">
      <c r="K313" t="str">
        <f>IFERROR(VLOOKUP(J313,tbFactorMes,2,FALSE),"")</f>
        <v/>
      </c>
      <c r="L313" t="str">
        <f>IFERROR(VLOOKUP(F313,tbTurnos,3,FALSE),"")</f>
        <v/>
      </c>
      <c r="M313">
        <f t="shared" si="4"/>
        <v>0</v>
      </c>
    </row>
    <row r="314" spans="11:13" x14ac:dyDescent="0.35">
      <c r="K314" t="str">
        <f>IFERROR(VLOOKUP(J314,tbFactorMes,2,FALSE),"")</f>
        <v/>
      </c>
      <c r="L314" t="str">
        <f>IFERROR(VLOOKUP(F314,tbTurnos,3,FALSE),"")</f>
        <v/>
      </c>
      <c r="M314">
        <f t="shared" si="4"/>
        <v>0</v>
      </c>
    </row>
    <row r="315" spans="11:13" x14ac:dyDescent="0.35">
      <c r="K315" t="str">
        <f>IFERROR(VLOOKUP(J315,tbFactorMes,2,FALSE),"")</f>
        <v/>
      </c>
      <c r="L315" t="str">
        <f>IFERROR(VLOOKUP(F315,tbTurnos,3,FALSE),"")</f>
        <v/>
      </c>
      <c r="M315">
        <f t="shared" si="4"/>
        <v>0</v>
      </c>
    </row>
    <row r="316" spans="11:13" x14ac:dyDescent="0.35">
      <c r="K316" t="str">
        <f>IFERROR(VLOOKUP(J316,tbFactorMes,2,FALSE),"")</f>
        <v/>
      </c>
      <c r="L316" t="str">
        <f>IFERROR(VLOOKUP(F316,tbTurnos,3,FALSE),"")</f>
        <v/>
      </c>
      <c r="M316">
        <f t="shared" si="4"/>
        <v>0</v>
      </c>
    </row>
    <row r="317" spans="11:13" x14ac:dyDescent="0.35">
      <c r="K317" t="str">
        <f>IFERROR(VLOOKUP(J317,tbFactorMes,2,FALSE),"")</f>
        <v/>
      </c>
      <c r="L317" t="str">
        <f>IFERROR(VLOOKUP(F317,tbTurnos,3,FALSE),"")</f>
        <v/>
      </c>
      <c r="M317">
        <f t="shared" si="4"/>
        <v>0</v>
      </c>
    </row>
    <row r="318" spans="11:13" x14ac:dyDescent="0.35">
      <c r="K318" t="str">
        <f>IFERROR(VLOOKUP(J318,tbFactorMes,2,FALSE),"")</f>
        <v/>
      </c>
      <c r="L318" t="str">
        <f>IFERROR(VLOOKUP(F318,tbTurnos,3,FALSE),"")</f>
        <v/>
      </c>
      <c r="M318">
        <f t="shared" si="4"/>
        <v>0</v>
      </c>
    </row>
    <row r="319" spans="11:13" x14ac:dyDescent="0.35">
      <c r="K319" t="str">
        <f>IFERROR(VLOOKUP(J319,tbFactorMes,2,FALSE),"")</f>
        <v/>
      </c>
      <c r="L319" t="str">
        <f>IFERROR(VLOOKUP(F319,tbTurnos,3,FALSE),"")</f>
        <v/>
      </c>
      <c r="M319">
        <f t="shared" si="4"/>
        <v>0</v>
      </c>
    </row>
    <row r="320" spans="11:13" x14ac:dyDescent="0.35">
      <c r="K320" t="str">
        <f>IFERROR(VLOOKUP(J320,tbFactorMes,2,FALSE),"")</f>
        <v/>
      </c>
      <c r="L320" t="str">
        <f>IFERROR(VLOOKUP(F320,tbTurnos,3,FALSE),"")</f>
        <v/>
      </c>
      <c r="M320">
        <f t="shared" si="4"/>
        <v>0</v>
      </c>
    </row>
    <row r="321" spans="11:13" x14ac:dyDescent="0.35">
      <c r="K321" t="str">
        <f>IFERROR(VLOOKUP(J321,tbFactorMes,2,FALSE),"")</f>
        <v/>
      </c>
      <c r="L321" t="str">
        <f>IFERROR(VLOOKUP(F321,tbTurnos,3,FALSE),"")</f>
        <v/>
      </c>
      <c r="M321">
        <f t="shared" si="4"/>
        <v>0</v>
      </c>
    </row>
    <row r="322" spans="11:13" x14ac:dyDescent="0.35">
      <c r="K322" t="str">
        <f>IFERROR(VLOOKUP(J322,tbFactorMes,2,FALSE),"")</f>
        <v/>
      </c>
      <c r="L322" t="str">
        <f>IFERROR(VLOOKUP(F322,tbTurnos,3,FALSE),"")</f>
        <v/>
      </c>
      <c r="M322">
        <f t="shared" ref="M322:M385" si="5">IFERROR((I322*L322)/K322,0)</f>
        <v>0</v>
      </c>
    </row>
    <row r="323" spans="11:13" x14ac:dyDescent="0.35">
      <c r="K323" t="str">
        <f>IFERROR(VLOOKUP(J323,tbFactorMes,2,FALSE),"")</f>
        <v/>
      </c>
      <c r="L323" t="str">
        <f>IFERROR(VLOOKUP(F323,tbTurnos,3,FALSE),"")</f>
        <v/>
      </c>
      <c r="M323">
        <f t="shared" si="5"/>
        <v>0</v>
      </c>
    </row>
    <row r="324" spans="11:13" x14ac:dyDescent="0.35">
      <c r="K324" t="str">
        <f>IFERROR(VLOOKUP(J324,tbFactorMes,2,FALSE),"")</f>
        <v/>
      </c>
      <c r="L324" t="str">
        <f>IFERROR(VLOOKUP(F324,tbTurnos,3,FALSE),"")</f>
        <v/>
      </c>
      <c r="M324">
        <f t="shared" si="5"/>
        <v>0</v>
      </c>
    </row>
    <row r="325" spans="11:13" x14ac:dyDescent="0.35">
      <c r="K325" t="str">
        <f>IFERROR(VLOOKUP(J325,tbFactorMes,2,FALSE),"")</f>
        <v/>
      </c>
      <c r="L325" t="str">
        <f>IFERROR(VLOOKUP(F325,tbTurnos,3,FALSE),"")</f>
        <v/>
      </c>
      <c r="M325">
        <f t="shared" si="5"/>
        <v>0</v>
      </c>
    </row>
    <row r="326" spans="11:13" x14ac:dyDescent="0.35">
      <c r="K326" t="str">
        <f>IFERROR(VLOOKUP(J326,tbFactorMes,2,FALSE),"")</f>
        <v/>
      </c>
      <c r="L326" t="str">
        <f>IFERROR(VLOOKUP(F326,tbTurnos,3,FALSE),"")</f>
        <v/>
      </c>
      <c r="M326">
        <f t="shared" si="5"/>
        <v>0</v>
      </c>
    </row>
    <row r="327" spans="11:13" x14ac:dyDescent="0.35">
      <c r="K327" t="str">
        <f>IFERROR(VLOOKUP(J327,tbFactorMes,2,FALSE),"")</f>
        <v/>
      </c>
      <c r="L327" t="str">
        <f>IFERROR(VLOOKUP(F327,tbTurnos,3,FALSE),"")</f>
        <v/>
      </c>
      <c r="M327">
        <f t="shared" si="5"/>
        <v>0</v>
      </c>
    </row>
    <row r="328" spans="11:13" x14ac:dyDescent="0.35">
      <c r="K328" t="str">
        <f>IFERROR(VLOOKUP(J328,tbFactorMes,2,FALSE),"")</f>
        <v/>
      </c>
      <c r="L328" t="str">
        <f>IFERROR(VLOOKUP(F328,tbTurnos,3,FALSE),"")</f>
        <v/>
      </c>
      <c r="M328">
        <f t="shared" si="5"/>
        <v>0</v>
      </c>
    </row>
    <row r="329" spans="11:13" x14ac:dyDescent="0.35">
      <c r="K329" t="str">
        <f>IFERROR(VLOOKUP(J329,tbFactorMes,2,FALSE),"")</f>
        <v/>
      </c>
      <c r="L329" t="str">
        <f>IFERROR(VLOOKUP(F329,tbTurnos,3,FALSE),"")</f>
        <v/>
      </c>
      <c r="M329">
        <f t="shared" si="5"/>
        <v>0</v>
      </c>
    </row>
    <row r="330" spans="11:13" x14ac:dyDescent="0.35">
      <c r="K330" t="str">
        <f>IFERROR(VLOOKUP(J330,tbFactorMes,2,FALSE),"")</f>
        <v/>
      </c>
      <c r="L330" t="str">
        <f>IFERROR(VLOOKUP(F330,tbTurnos,3,FALSE),"")</f>
        <v/>
      </c>
      <c r="M330">
        <f t="shared" si="5"/>
        <v>0</v>
      </c>
    </row>
    <row r="331" spans="11:13" x14ac:dyDescent="0.35">
      <c r="K331" t="str">
        <f>IFERROR(VLOOKUP(J331,tbFactorMes,2,FALSE),"")</f>
        <v/>
      </c>
      <c r="L331" t="str">
        <f>IFERROR(VLOOKUP(F331,tbTurnos,3,FALSE),"")</f>
        <v/>
      </c>
      <c r="M331">
        <f t="shared" si="5"/>
        <v>0</v>
      </c>
    </row>
    <row r="332" spans="11:13" x14ac:dyDescent="0.35">
      <c r="K332" t="str">
        <f>IFERROR(VLOOKUP(J332,tbFactorMes,2,FALSE),"")</f>
        <v/>
      </c>
      <c r="L332" t="str">
        <f>IFERROR(VLOOKUP(F332,tbTurnos,3,FALSE),"")</f>
        <v/>
      </c>
      <c r="M332">
        <f t="shared" si="5"/>
        <v>0</v>
      </c>
    </row>
    <row r="333" spans="11:13" x14ac:dyDescent="0.35">
      <c r="K333" t="str">
        <f>IFERROR(VLOOKUP(J333,tbFactorMes,2,FALSE),"")</f>
        <v/>
      </c>
      <c r="L333" t="str">
        <f>IFERROR(VLOOKUP(F333,tbTurnos,3,FALSE),"")</f>
        <v/>
      </c>
      <c r="M333">
        <f t="shared" si="5"/>
        <v>0</v>
      </c>
    </row>
    <row r="334" spans="11:13" x14ac:dyDescent="0.35">
      <c r="K334" t="str">
        <f>IFERROR(VLOOKUP(J334,tbFactorMes,2,FALSE),"")</f>
        <v/>
      </c>
      <c r="L334" t="str">
        <f>IFERROR(VLOOKUP(F334,tbTurnos,3,FALSE),"")</f>
        <v/>
      </c>
      <c r="M334">
        <f t="shared" si="5"/>
        <v>0</v>
      </c>
    </row>
    <row r="335" spans="11:13" x14ac:dyDescent="0.35">
      <c r="K335" t="str">
        <f>IFERROR(VLOOKUP(J335,tbFactorMes,2,FALSE),"")</f>
        <v/>
      </c>
      <c r="L335" t="str">
        <f>IFERROR(VLOOKUP(F335,tbTurnos,3,FALSE),"")</f>
        <v/>
      </c>
      <c r="M335">
        <f t="shared" si="5"/>
        <v>0</v>
      </c>
    </row>
    <row r="336" spans="11:13" x14ac:dyDescent="0.35">
      <c r="K336" t="str">
        <f>IFERROR(VLOOKUP(J336,tbFactorMes,2,FALSE),"")</f>
        <v/>
      </c>
      <c r="L336" t="str">
        <f>IFERROR(VLOOKUP(F336,tbTurnos,3,FALSE),"")</f>
        <v/>
      </c>
      <c r="M336">
        <f t="shared" si="5"/>
        <v>0</v>
      </c>
    </row>
    <row r="337" spans="11:13" x14ac:dyDescent="0.35">
      <c r="K337" t="str">
        <f>IFERROR(VLOOKUP(J337,tbFactorMes,2,FALSE),"")</f>
        <v/>
      </c>
      <c r="L337" t="str">
        <f>IFERROR(VLOOKUP(F337,tbTurnos,3,FALSE),"")</f>
        <v/>
      </c>
      <c r="M337">
        <f t="shared" si="5"/>
        <v>0</v>
      </c>
    </row>
    <row r="338" spans="11:13" x14ac:dyDescent="0.35">
      <c r="K338" t="str">
        <f>IFERROR(VLOOKUP(J338,tbFactorMes,2,FALSE),"")</f>
        <v/>
      </c>
      <c r="L338" t="str">
        <f>IFERROR(VLOOKUP(F338,tbTurnos,3,FALSE),"")</f>
        <v/>
      </c>
      <c r="M338">
        <f t="shared" si="5"/>
        <v>0</v>
      </c>
    </row>
    <row r="339" spans="11:13" x14ac:dyDescent="0.35">
      <c r="K339" t="str">
        <f>IFERROR(VLOOKUP(J339,tbFactorMes,2,FALSE),"")</f>
        <v/>
      </c>
      <c r="L339" t="str">
        <f>IFERROR(VLOOKUP(F339,tbTurnos,3,FALSE),"")</f>
        <v/>
      </c>
      <c r="M339">
        <f t="shared" si="5"/>
        <v>0</v>
      </c>
    </row>
    <row r="340" spans="11:13" x14ac:dyDescent="0.35">
      <c r="K340" t="str">
        <f>IFERROR(VLOOKUP(J340,tbFactorMes,2,FALSE),"")</f>
        <v/>
      </c>
      <c r="L340" t="str">
        <f>IFERROR(VLOOKUP(F340,tbTurnos,3,FALSE),"")</f>
        <v/>
      </c>
      <c r="M340">
        <f t="shared" si="5"/>
        <v>0</v>
      </c>
    </row>
    <row r="341" spans="11:13" x14ac:dyDescent="0.35">
      <c r="K341" t="str">
        <f>IFERROR(VLOOKUP(J341,tbFactorMes,2,FALSE),"")</f>
        <v/>
      </c>
      <c r="L341" t="str">
        <f>IFERROR(VLOOKUP(F341,tbTurnos,3,FALSE),"")</f>
        <v/>
      </c>
      <c r="M341">
        <f t="shared" si="5"/>
        <v>0</v>
      </c>
    </row>
    <row r="342" spans="11:13" x14ac:dyDescent="0.35">
      <c r="K342" t="str">
        <f>IFERROR(VLOOKUP(J342,tbFactorMes,2,FALSE),"")</f>
        <v/>
      </c>
      <c r="L342" t="str">
        <f>IFERROR(VLOOKUP(F342,tbTurnos,3,FALSE),"")</f>
        <v/>
      </c>
      <c r="M342">
        <f t="shared" si="5"/>
        <v>0</v>
      </c>
    </row>
    <row r="343" spans="11:13" x14ac:dyDescent="0.35">
      <c r="K343" t="str">
        <f>IFERROR(VLOOKUP(J343,tbFactorMes,2,FALSE),"")</f>
        <v/>
      </c>
      <c r="L343" t="str">
        <f>IFERROR(VLOOKUP(F343,tbTurnos,3,FALSE),"")</f>
        <v/>
      </c>
      <c r="M343">
        <f t="shared" si="5"/>
        <v>0</v>
      </c>
    </row>
    <row r="344" spans="11:13" x14ac:dyDescent="0.35">
      <c r="K344" t="str">
        <f>IFERROR(VLOOKUP(J344,tbFactorMes,2,FALSE),"")</f>
        <v/>
      </c>
      <c r="L344" t="str">
        <f>IFERROR(VLOOKUP(F344,tbTurnos,3,FALSE),"")</f>
        <v/>
      </c>
      <c r="M344">
        <f t="shared" si="5"/>
        <v>0</v>
      </c>
    </row>
    <row r="345" spans="11:13" x14ac:dyDescent="0.35">
      <c r="K345" t="str">
        <f>IFERROR(VLOOKUP(J345,tbFactorMes,2,FALSE),"")</f>
        <v/>
      </c>
      <c r="L345" t="str">
        <f>IFERROR(VLOOKUP(F345,tbTurnos,3,FALSE),"")</f>
        <v/>
      </c>
      <c r="M345">
        <f t="shared" si="5"/>
        <v>0</v>
      </c>
    </row>
    <row r="346" spans="11:13" x14ac:dyDescent="0.35">
      <c r="K346" t="str">
        <f>IFERROR(VLOOKUP(J346,tbFactorMes,2,FALSE),"")</f>
        <v/>
      </c>
      <c r="L346" t="str">
        <f>IFERROR(VLOOKUP(F346,tbTurnos,3,FALSE),"")</f>
        <v/>
      </c>
      <c r="M346">
        <f t="shared" si="5"/>
        <v>0</v>
      </c>
    </row>
    <row r="347" spans="11:13" x14ac:dyDescent="0.35">
      <c r="K347" t="str">
        <f>IFERROR(VLOOKUP(J347,tbFactorMes,2,FALSE),"")</f>
        <v/>
      </c>
      <c r="L347" t="str">
        <f>IFERROR(VLOOKUP(F347,tbTurnos,3,FALSE),"")</f>
        <v/>
      </c>
      <c r="M347">
        <f t="shared" si="5"/>
        <v>0</v>
      </c>
    </row>
    <row r="348" spans="11:13" x14ac:dyDescent="0.35">
      <c r="K348" t="str">
        <f>IFERROR(VLOOKUP(J348,tbFactorMes,2,FALSE),"")</f>
        <v/>
      </c>
      <c r="L348" t="str">
        <f>IFERROR(VLOOKUP(F348,tbTurnos,3,FALSE),"")</f>
        <v/>
      </c>
      <c r="M348">
        <f t="shared" si="5"/>
        <v>0</v>
      </c>
    </row>
    <row r="349" spans="11:13" x14ac:dyDescent="0.35">
      <c r="K349" t="str">
        <f>IFERROR(VLOOKUP(J349,tbFactorMes,2,FALSE),"")</f>
        <v/>
      </c>
      <c r="L349" t="str">
        <f>IFERROR(VLOOKUP(F349,tbTurnos,3,FALSE),"")</f>
        <v/>
      </c>
      <c r="M349">
        <f t="shared" si="5"/>
        <v>0</v>
      </c>
    </row>
    <row r="350" spans="11:13" x14ac:dyDescent="0.35">
      <c r="K350" t="str">
        <f>IFERROR(VLOOKUP(J350,tbFactorMes,2,FALSE),"")</f>
        <v/>
      </c>
      <c r="L350" t="str">
        <f>IFERROR(VLOOKUP(F350,tbTurnos,3,FALSE),"")</f>
        <v/>
      </c>
      <c r="M350">
        <f t="shared" si="5"/>
        <v>0</v>
      </c>
    </row>
    <row r="351" spans="11:13" x14ac:dyDescent="0.35">
      <c r="K351" t="str">
        <f>IFERROR(VLOOKUP(J351,tbFactorMes,2,FALSE),"")</f>
        <v/>
      </c>
      <c r="L351" t="str">
        <f>IFERROR(VLOOKUP(F351,tbTurnos,3,FALSE),"")</f>
        <v/>
      </c>
      <c r="M351">
        <f t="shared" si="5"/>
        <v>0</v>
      </c>
    </row>
    <row r="352" spans="11:13" x14ac:dyDescent="0.35">
      <c r="K352" t="str">
        <f>IFERROR(VLOOKUP(J352,tbFactorMes,2,FALSE),"")</f>
        <v/>
      </c>
      <c r="L352" t="str">
        <f>IFERROR(VLOOKUP(F352,tbTurnos,3,FALSE),"")</f>
        <v/>
      </c>
      <c r="M352">
        <f t="shared" si="5"/>
        <v>0</v>
      </c>
    </row>
    <row r="353" spans="11:13" x14ac:dyDescent="0.35">
      <c r="K353" t="str">
        <f>IFERROR(VLOOKUP(J353,tbFactorMes,2,FALSE),"")</f>
        <v/>
      </c>
      <c r="L353" t="str">
        <f>IFERROR(VLOOKUP(F353,tbTurnos,3,FALSE),"")</f>
        <v/>
      </c>
      <c r="M353">
        <f t="shared" si="5"/>
        <v>0</v>
      </c>
    </row>
    <row r="354" spans="11:13" x14ac:dyDescent="0.35">
      <c r="K354" t="str">
        <f>IFERROR(VLOOKUP(J354,tbFactorMes,2,FALSE),"")</f>
        <v/>
      </c>
      <c r="L354" t="str">
        <f>IFERROR(VLOOKUP(F354,tbTurnos,3,FALSE),"")</f>
        <v/>
      </c>
      <c r="M354">
        <f t="shared" si="5"/>
        <v>0</v>
      </c>
    </row>
    <row r="355" spans="11:13" x14ac:dyDescent="0.35">
      <c r="K355" t="str">
        <f>IFERROR(VLOOKUP(J355,tbFactorMes,2,FALSE),"")</f>
        <v/>
      </c>
      <c r="L355" t="str">
        <f>IFERROR(VLOOKUP(F355,tbTurnos,3,FALSE),"")</f>
        <v/>
      </c>
      <c r="M355">
        <f t="shared" si="5"/>
        <v>0</v>
      </c>
    </row>
    <row r="356" spans="11:13" x14ac:dyDescent="0.35">
      <c r="K356" t="str">
        <f>IFERROR(VLOOKUP(J356,tbFactorMes,2,FALSE),"")</f>
        <v/>
      </c>
      <c r="L356" t="str">
        <f>IFERROR(VLOOKUP(F356,tbTurnos,3,FALSE),"")</f>
        <v/>
      </c>
      <c r="M356">
        <f t="shared" si="5"/>
        <v>0</v>
      </c>
    </row>
    <row r="357" spans="11:13" x14ac:dyDescent="0.35">
      <c r="K357" t="str">
        <f>IFERROR(VLOOKUP(J357,tbFactorMes,2,FALSE),"")</f>
        <v/>
      </c>
      <c r="L357" t="str">
        <f>IFERROR(VLOOKUP(F357,tbTurnos,3,FALSE),"")</f>
        <v/>
      </c>
      <c r="M357">
        <f t="shared" si="5"/>
        <v>0</v>
      </c>
    </row>
    <row r="358" spans="11:13" x14ac:dyDescent="0.35">
      <c r="K358" t="str">
        <f>IFERROR(VLOOKUP(J358,tbFactorMes,2,FALSE),"")</f>
        <v/>
      </c>
      <c r="L358" t="str">
        <f>IFERROR(VLOOKUP(F358,tbTurnos,3,FALSE),"")</f>
        <v/>
      </c>
      <c r="M358">
        <f t="shared" si="5"/>
        <v>0</v>
      </c>
    </row>
    <row r="359" spans="11:13" x14ac:dyDescent="0.35">
      <c r="K359" t="str">
        <f>IFERROR(VLOOKUP(J359,tbFactorMes,2,FALSE),"")</f>
        <v/>
      </c>
      <c r="L359" t="str">
        <f>IFERROR(VLOOKUP(F359,tbTurnos,3,FALSE),"")</f>
        <v/>
      </c>
      <c r="M359">
        <f t="shared" si="5"/>
        <v>0</v>
      </c>
    </row>
    <row r="360" spans="11:13" x14ac:dyDescent="0.35">
      <c r="K360" t="str">
        <f>IFERROR(VLOOKUP(J360,tbFactorMes,2,FALSE),"")</f>
        <v/>
      </c>
      <c r="L360" t="str">
        <f>IFERROR(VLOOKUP(F360,tbTurnos,3,FALSE),"")</f>
        <v/>
      </c>
      <c r="M360">
        <f t="shared" si="5"/>
        <v>0</v>
      </c>
    </row>
    <row r="361" spans="11:13" x14ac:dyDescent="0.35">
      <c r="K361" t="str">
        <f>IFERROR(VLOOKUP(J361,tbFactorMes,2,FALSE),"")</f>
        <v/>
      </c>
      <c r="L361" t="str">
        <f>IFERROR(VLOOKUP(F361,tbTurnos,3,FALSE),"")</f>
        <v/>
      </c>
      <c r="M361">
        <f t="shared" si="5"/>
        <v>0</v>
      </c>
    </row>
    <row r="362" spans="11:13" x14ac:dyDescent="0.35">
      <c r="K362" t="str">
        <f>IFERROR(VLOOKUP(J362,tbFactorMes,2,FALSE),"")</f>
        <v/>
      </c>
      <c r="L362" t="str">
        <f>IFERROR(VLOOKUP(F362,tbTurnos,3,FALSE),"")</f>
        <v/>
      </c>
      <c r="M362">
        <f t="shared" si="5"/>
        <v>0</v>
      </c>
    </row>
    <row r="363" spans="11:13" x14ac:dyDescent="0.35">
      <c r="K363" t="str">
        <f>IFERROR(VLOOKUP(J363,tbFactorMes,2,FALSE),"")</f>
        <v/>
      </c>
      <c r="L363" t="str">
        <f>IFERROR(VLOOKUP(F363,tbTurnos,3,FALSE),"")</f>
        <v/>
      </c>
      <c r="M363">
        <f t="shared" si="5"/>
        <v>0</v>
      </c>
    </row>
    <row r="364" spans="11:13" x14ac:dyDescent="0.35">
      <c r="K364" t="str">
        <f>IFERROR(VLOOKUP(J364,tbFactorMes,2,FALSE),"")</f>
        <v/>
      </c>
      <c r="L364" t="str">
        <f>IFERROR(VLOOKUP(F364,tbTurnos,3,FALSE),"")</f>
        <v/>
      </c>
      <c r="M364">
        <f t="shared" si="5"/>
        <v>0</v>
      </c>
    </row>
    <row r="365" spans="11:13" x14ac:dyDescent="0.35">
      <c r="K365" t="str">
        <f>IFERROR(VLOOKUP(J365,tbFactorMes,2,FALSE),"")</f>
        <v/>
      </c>
      <c r="L365" t="str">
        <f>IFERROR(VLOOKUP(F365,tbTurnos,3,FALSE),"")</f>
        <v/>
      </c>
      <c r="M365">
        <f t="shared" si="5"/>
        <v>0</v>
      </c>
    </row>
    <row r="366" spans="11:13" x14ac:dyDescent="0.35">
      <c r="K366" t="str">
        <f>IFERROR(VLOOKUP(J366,tbFactorMes,2,FALSE),"")</f>
        <v/>
      </c>
      <c r="L366" t="str">
        <f>IFERROR(VLOOKUP(F366,tbTurnos,3,FALSE),"")</f>
        <v/>
      </c>
      <c r="M366">
        <f t="shared" si="5"/>
        <v>0</v>
      </c>
    </row>
    <row r="367" spans="11:13" x14ac:dyDescent="0.35">
      <c r="K367" t="str">
        <f>IFERROR(VLOOKUP(J367,tbFactorMes,2,FALSE),"")</f>
        <v/>
      </c>
      <c r="L367" t="str">
        <f>IFERROR(VLOOKUP(F367,tbTurnos,3,FALSE),"")</f>
        <v/>
      </c>
      <c r="M367">
        <f t="shared" si="5"/>
        <v>0</v>
      </c>
    </row>
    <row r="368" spans="11:13" x14ac:dyDescent="0.35">
      <c r="K368" t="str">
        <f>IFERROR(VLOOKUP(J368,tbFactorMes,2,FALSE),"")</f>
        <v/>
      </c>
      <c r="L368" t="str">
        <f>IFERROR(VLOOKUP(F368,tbTurnos,3,FALSE),"")</f>
        <v/>
      </c>
      <c r="M368">
        <f t="shared" si="5"/>
        <v>0</v>
      </c>
    </row>
    <row r="369" spans="11:13" x14ac:dyDescent="0.35">
      <c r="K369" t="str">
        <f>IFERROR(VLOOKUP(J369,tbFactorMes,2,FALSE),"")</f>
        <v/>
      </c>
      <c r="L369" t="str">
        <f>IFERROR(VLOOKUP(F369,tbTurnos,3,FALSE),"")</f>
        <v/>
      </c>
      <c r="M369">
        <f t="shared" si="5"/>
        <v>0</v>
      </c>
    </row>
    <row r="370" spans="11:13" x14ac:dyDescent="0.35">
      <c r="K370" t="str">
        <f>IFERROR(VLOOKUP(J370,tbFactorMes,2,FALSE),"")</f>
        <v/>
      </c>
      <c r="L370" t="str">
        <f>IFERROR(VLOOKUP(F370,tbTurnos,3,FALSE),"")</f>
        <v/>
      </c>
      <c r="M370">
        <f t="shared" si="5"/>
        <v>0</v>
      </c>
    </row>
    <row r="371" spans="11:13" x14ac:dyDescent="0.35">
      <c r="K371" t="str">
        <f>IFERROR(VLOOKUP(J371,tbFactorMes,2,FALSE),"")</f>
        <v/>
      </c>
      <c r="L371" t="str">
        <f>IFERROR(VLOOKUP(F371,tbTurnos,3,FALSE),"")</f>
        <v/>
      </c>
      <c r="M371">
        <f t="shared" si="5"/>
        <v>0</v>
      </c>
    </row>
    <row r="372" spans="11:13" x14ac:dyDescent="0.35">
      <c r="K372" t="str">
        <f>IFERROR(VLOOKUP(J372,tbFactorMes,2,FALSE),"")</f>
        <v/>
      </c>
      <c r="L372" t="str">
        <f>IFERROR(VLOOKUP(F372,tbTurnos,3,FALSE),"")</f>
        <v/>
      </c>
      <c r="M372">
        <f t="shared" si="5"/>
        <v>0</v>
      </c>
    </row>
    <row r="373" spans="11:13" x14ac:dyDescent="0.35">
      <c r="K373" t="str">
        <f>IFERROR(VLOOKUP(J373,tbFactorMes,2,FALSE),"")</f>
        <v/>
      </c>
      <c r="L373" t="str">
        <f>IFERROR(VLOOKUP(F373,tbTurnos,3,FALSE),"")</f>
        <v/>
      </c>
      <c r="M373">
        <f t="shared" si="5"/>
        <v>0</v>
      </c>
    </row>
    <row r="374" spans="11:13" x14ac:dyDescent="0.35">
      <c r="K374" t="str">
        <f>IFERROR(VLOOKUP(J374,tbFactorMes,2,FALSE),"")</f>
        <v/>
      </c>
      <c r="L374" t="str">
        <f>IFERROR(VLOOKUP(F374,tbTurnos,3,FALSE),"")</f>
        <v/>
      </c>
      <c r="M374">
        <f t="shared" si="5"/>
        <v>0</v>
      </c>
    </row>
    <row r="375" spans="11:13" x14ac:dyDescent="0.35">
      <c r="K375" t="str">
        <f>IFERROR(VLOOKUP(J375,tbFactorMes,2,FALSE),"")</f>
        <v/>
      </c>
      <c r="L375" t="str">
        <f>IFERROR(VLOOKUP(F375,tbTurnos,3,FALSE),"")</f>
        <v/>
      </c>
      <c r="M375">
        <f t="shared" si="5"/>
        <v>0</v>
      </c>
    </row>
    <row r="376" spans="11:13" x14ac:dyDescent="0.35">
      <c r="K376" t="str">
        <f>IFERROR(VLOOKUP(J376,tbFactorMes,2,FALSE),"")</f>
        <v/>
      </c>
      <c r="L376" t="str">
        <f>IFERROR(VLOOKUP(F376,tbTurnos,3,FALSE),"")</f>
        <v/>
      </c>
      <c r="M376">
        <f t="shared" si="5"/>
        <v>0</v>
      </c>
    </row>
    <row r="377" spans="11:13" x14ac:dyDescent="0.35">
      <c r="K377" t="str">
        <f>IFERROR(VLOOKUP(J377,tbFactorMes,2,FALSE),"")</f>
        <v/>
      </c>
      <c r="L377" t="str">
        <f>IFERROR(VLOOKUP(F377,tbTurnos,3,FALSE),"")</f>
        <v/>
      </c>
      <c r="M377">
        <f t="shared" si="5"/>
        <v>0</v>
      </c>
    </row>
    <row r="378" spans="11:13" x14ac:dyDescent="0.35">
      <c r="K378" t="str">
        <f>IFERROR(VLOOKUP(J378,tbFactorMes,2,FALSE),"")</f>
        <v/>
      </c>
      <c r="L378" t="str">
        <f>IFERROR(VLOOKUP(F378,tbTurnos,3,FALSE),"")</f>
        <v/>
      </c>
      <c r="M378">
        <f t="shared" si="5"/>
        <v>0</v>
      </c>
    </row>
    <row r="379" spans="11:13" x14ac:dyDescent="0.35">
      <c r="K379" t="str">
        <f>IFERROR(VLOOKUP(J379,tbFactorMes,2,FALSE),"")</f>
        <v/>
      </c>
      <c r="L379" t="str">
        <f>IFERROR(VLOOKUP(F379,tbTurnos,3,FALSE),"")</f>
        <v/>
      </c>
      <c r="M379">
        <f t="shared" si="5"/>
        <v>0</v>
      </c>
    </row>
    <row r="380" spans="11:13" x14ac:dyDescent="0.35">
      <c r="K380" t="str">
        <f>IFERROR(VLOOKUP(J380,tbFactorMes,2,FALSE),"")</f>
        <v/>
      </c>
      <c r="L380" t="str">
        <f>IFERROR(VLOOKUP(F380,tbTurnos,3,FALSE),"")</f>
        <v/>
      </c>
      <c r="M380">
        <f t="shared" si="5"/>
        <v>0</v>
      </c>
    </row>
    <row r="381" spans="11:13" x14ac:dyDescent="0.35">
      <c r="K381" t="str">
        <f>IFERROR(VLOOKUP(J381,tbFactorMes,2,FALSE),"")</f>
        <v/>
      </c>
      <c r="L381" t="str">
        <f>IFERROR(VLOOKUP(F381,tbTurnos,3,FALSE),"")</f>
        <v/>
      </c>
      <c r="M381">
        <f t="shared" si="5"/>
        <v>0</v>
      </c>
    </row>
    <row r="382" spans="11:13" x14ac:dyDescent="0.35">
      <c r="K382" t="str">
        <f>IFERROR(VLOOKUP(J382,tbFactorMes,2,FALSE),"")</f>
        <v/>
      </c>
      <c r="L382" t="str">
        <f>IFERROR(VLOOKUP(F382,tbTurnos,3,FALSE),"")</f>
        <v/>
      </c>
      <c r="M382">
        <f t="shared" si="5"/>
        <v>0</v>
      </c>
    </row>
    <row r="383" spans="11:13" x14ac:dyDescent="0.35">
      <c r="K383" t="str">
        <f>IFERROR(VLOOKUP(J383,tbFactorMes,2,FALSE),"")</f>
        <v/>
      </c>
      <c r="L383" t="str">
        <f>IFERROR(VLOOKUP(F383,tbTurnos,3,FALSE),"")</f>
        <v/>
      </c>
      <c r="M383">
        <f t="shared" si="5"/>
        <v>0</v>
      </c>
    </row>
    <row r="384" spans="11:13" x14ac:dyDescent="0.35">
      <c r="K384" t="str">
        <f>IFERROR(VLOOKUP(J384,tbFactorMes,2,FALSE),"")</f>
        <v/>
      </c>
      <c r="L384" t="str">
        <f>IFERROR(VLOOKUP(F384,tbTurnos,3,FALSE),"")</f>
        <v/>
      </c>
      <c r="M384">
        <f t="shared" si="5"/>
        <v>0</v>
      </c>
    </row>
    <row r="385" spans="11:13" x14ac:dyDescent="0.35">
      <c r="K385" t="str">
        <f>IFERROR(VLOOKUP(J385,tbFactorMes,2,FALSE),"")</f>
        <v/>
      </c>
      <c r="L385" t="str">
        <f>IFERROR(VLOOKUP(F385,tbTurnos,3,FALSE),"")</f>
        <v/>
      </c>
      <c r="M385">
        <f t="shared" si="5"/>
        <v>0</v>
      </c>
    </row>
    <row r="386" spans="11:13" x14ac:dyDescent="0.35">
      <c r="K386" t="str">
        <f>IFERROR(VLOOKUP(J386,tbFactorMes,2,FALSE),"")</f>
        <v/>
      </c>
      <c r="L386" t="str">
        <f>IFERROR(VLOOKUP(F386,tbTurnos,3,FALSE),"")</f>
        <v/>
      </c>
      <c r="M386">
        <f t="shared" ref="M386:M449" si="6">IFERROR((I386*L386)/K386,0)</f>
        <v>0</v>
      </c>
    </row>
    <row r="387" spans="11:13" x14ac:dyDescent="0.35">
      <c r="K387" t="str">
        <f>IFERROR(VLOOKUP(J387,tbFactorMes,2,FALSE),"")</f>
        <v/>
      </c>
      <c r="L387" t="str">
        <f>IFERROR(VLOOKUP(F387,tbTurnos,3,FALSE),"")</f>
        <v/>
      </c>
      <c r="M387">
        <f t="shared" si="6"/>
        <v>0</v>
      </c>
    </row>
    <row r="388" spans="11:13" x14ac:dyDescent="0.35">
      <c r="K388" t="str">
        <f>IFERROR(VLOOKUP(J388,tbFactorMes,2,FALSE),"")</f>
        <v/>
      </c>
      <c r="L388" t="str">
        <f>IFERROR(VLOOKUP(F388,tbTurnos,3,FALSE),"")</f>
        <v/>
      </c>
      <c r="M388">
        <f t="shared" si="6"/>
        <v>0</v>
      </c>
    </row>
    <row r="389" spans="11:13" x14ac:dyDescent="0.35">
      <c r="K389" t="str">
        <f>IFERROR(VLOOKUP(J389,tbFactorMes,2,FALSE),"")</f>
        <v/>
      </c>
      <c r="L389" t="str">
        <f>IFERROR(VLOOKUP(F389,tbTurnos,3,FALSE),"")</f>
        <v/>
      </c>
      <c r="M389">
        <f t="shared" si="6"/>
        <v>0</v>
      </c>
    </row>
    <row r="390" spans="11:13" x14ac:dyDescent="0.35">
      <c r="K390" t="str">
        <f>IFERROR(VLOOKUP(J390,tbFactorMes,2,FALSE),"")</f>
        <v/>
      </c>
      <c r="L390" t="str">
        <f>IFERROR(VLOOKUP(F390,tbTurnos,3,FALSE),"")</f>
        <v/>
      </c>
      <c r="M390">
        <f t="shared" si="6"/>
        <v>0</v>
      </c>
    </row>
    <row r="391" spans="11:13" x14ac:dyDescent="0.35">
      <c r="K391" t="str">
        <f>IFERROR(VLOOKUP(J391,tbFactorMes,2,FALSE),"")</f>
        <v/>
      </c>
      <c r="L391" t="str">
        <f>IFERROR(VLOOKUP(F391,tbTurnos,3,FALSE),"")</f>
        <v/>
      </c>
      <c r="M391">
        <f t="shared" si="6"/>
        <v>0</v>
      </c>
    </row>
    <row r="392" spans="11:13" x14ac:dyDescent="0.35">
      <c r="K392" t="str">
        <f>IFERROR(VLOOKUP(J392,tbFactorMes,2,FALSE),"")</f>
        <v/>
      </c>
      <c r="L392" t="str">
        <f>IFERROR(VLOOKUP(F392,tbTurnos,3,FALSE),"")</f>
        <v/>
      </c>
      <c r="M392">
        <f t="shared" si="6"/>
        <v>0</v>
      </c>
    </row>
    <row r="393" spans="11:13" x14ac:dyDescent="0.35">
      <c r="K393" t="str">
        <f>IFERROR(VLOOKUP(J393,tbFactorMes,2,FALSE),"")</f>
        <v/>
      </c>
      <c r="L393" t="str">
        <f>IFERROR(VLOOKUP(F393,tbTurnos,3,FALSE),"")</f>
        <v/>
      </c>
      <c r="M393">
        <f t="shared" si="6"/>
        <v>0</v>
      </c>
    </row>
    <row r="394" spans="11:13" x14ac:dyDescent="0.35">
      <c r="K394" t="str">
        <f>IFERROR(VLOOKUP(J394,tbFactorMes,2,FALSE),"")</f>
        <v/>
      </c>
      <c r="L394" t="str">
        <f>IFERROR(VLOOKUP(F394,tbTurnos,3,FALSE),"")</f>
        <v/>
      </c>
      <c r="M394">
        <f t="shared" si="6"/>
        <v>0</v>
      </c>
    </row>
    <row r="395" spans="11:13" x14ac:dyDescent="0.35">
      <c r="K395" t="str">
        <f>IFERROR(VLOOKUP(J395,tbFactorMes,2,FALSE),"")</f>
        <v/>
      </c>
      <c r="L395" t="str">
        <f>IFERROR(VLOOKUP(F395,tbTurnos,3,FALSE),"")</f>
        <v/>
      </c>
      <c r="M395">
        <f t="shared" si="6"/>
        <v>0</v>
      </c>
    </row>
    <row r="396" spans="11:13" x14ac:dyDescent="0.35">
      <c r="K396" t="str">
        <f>IFERROR(VLOOKUP(J396,tbFactorMes,2,FALSE),"")</f>
        <v/>
      </c>
      <c r="L396" t="str">
        <f>IFERROR(VLOOKUP(F396,tbTurnos,3,FALSE),"")</f>
        <v/>
      </c>
      <c r="M396">
        <f t="shared" si="6"/>
        <v>0</v>
      </c>
    </row>
    <row r="397" spans="11:13" x14ac:dyDescent="0.35">
      <c r="K397" t="str">
        <f>IFERROR(VLOOKUP(J397,tbFactorMes,2,FALSE),"")</f>
        <v/>
      </c>
      <c r="L397" t="str">
        <f>IFERROR(VLOOKUP(F397,tbTurnos,3,FALSE),"")</f>
        <v/>
      </c>
      <c r="M397">
        <f t="shared" si="6"/>
        <v>0</v>
      </c>
    </row>
    <row r="398" spans="11:13" x14ac:dyDescent="0.35">
      <c r="K398" t="str">
        <f>IFERROR(VLOOKUP(J398,tbFactorMes,2,FALSE),"")</f>
        <v/>
      </c>
      <c r="L398" t="str">
        <f>IFERROR(VLOOKUP(F398,tbTurnos,3,FALSE),"")</f>
        <v/>
      </c>
      <c r="M398">
        <f t="shared" si="6"/>
        <v>0</v>
      </c>
    </row>
    <row r="399" spans="11:13" x14ac:dyDescent="0.35">
      <c r="K399" t="str">
        <f>IFERROR(VLOOKUP(J399,tbFactorMes,2,FALSE),"")</f>
        <v/>
      </c>
      <c r="L399" t="str">
        <f>IFERROR(VLOOKUP(F399,tbTurnos,3,FALSE),"")</f>
        <v/>
      </c>
      <c r="M399">
        <f t="shared" si="6"/>
        <v>0</v>
      </c>
    </row>
    <row r="400" spans="11:13" x14ac:dyDescent="0.35">
      <c r="K400" t="str">
        <f>IFERROR(VLOOKUP(J400,tbFactorMes,2,FALSE),"")</f>
        <v/>
      </c>
      <c r="L400" t="str">
        <f>IFERROR(VLOOKUP(F400,tbTurnos,3,FALSE),"")</f>
        <v/>
      </c>
      <c r="M400">
        <f t="shared" si="6"/>
        <v>0</v>
      </c>
    </row>
    <row r="401" spans="11:13" x14ac:dyDescent="0.35">
      <c r="K401" t="str">
        <f>IFERROR(VLOOKUP(J401,tbFactorMes,2,FALSE),"")</f>
        <v/>
      </c>
      <c r="L401" t="str">
        <f>IFERROR(VLOOKUP(F401,tbTurnos,3,FALSE),"")</f>
        <v/>
      </c>
      <c r="M401">
        <f t="shared" si="6"/>
        <v>0</v>
      </c>
    </row>
    <row r="402" spans="11:13" x14ac:dyDescent="0.35">
      <c r="K402" t="str">
        <f>IFERROR(VLOOKUP(J402,tbFactorMes,2,FALSE),"")</f>
        <v/>
      </c>
      <c r="L402" t="str">
        <f>IFERROR(VLOOKUP(F402,tbTurnos,3,FALSE),"")</f>
        <v/>
      </c>
      <c r="M402">
        <f t="shared" si="6"/>
        <v>0</v>
      </c>
    </row>
    <row r="403" spans="11:13" x14ac:dyDescent="0.35">
      <c r="K403" t="str">
        <f>IFERROR(VLOOKUP(J403,tbFactorMes,2,FALSE),"")</f>
        <v/>
      </c>
      <c r="L403" t="str">
        <f>IFERROR(VLOOKUP(F403,tbTurnos,3,FALSE),"")</f>
        <v/>
      </c>
      <c r="M403">
        <f t="shared" si="6"/>
        <v>0</v>
      </c>
    </row>
    <row r="404" spans="11:13" x14ac:dyDescent="0.35">
      <c r="K404" t="str">
        <f>IFERROR(VLOOKUP(J404,tbFactorMes,2,FALSE),"")</f>
        <v/>
      </c>
      <c r="L404" t="str">
        <f>IFERROR(VLOOKUP(F404,tbTurnos,3,FALSE),"")</f>
        <v/>
      </c>
      <c r="M404">
        <f t="shared" si="6"/>
        <v>0</v>
      </c>
    </row>
    <row r="405" spans="11:13" x14ac:dyDescent="0.35">
      <c r="K405" t="str">
        <f>IFERROR(VLOOKUP(J405,tbFactorMes,2,FALSE),"")</f>
        <v/>
      </c>
      <c r="L405" t="str">
        <f>IFERROR(VLOOKUP(F405,tbTurnos,3,FALSE),"")</f>
        <v/>
      </c>
      <c r="M405">
        <f t="shared" si="6"/>
        <v>0</v>
      </c>
    </row>
    <row r="406" spans="11:13" x14ac:dyDescent="0.35">
      <c r="K406" t="str">
        <f>IFERROR(VLOOKUP(J406,tbFactorMes,2,FALSE),"")</f>
        <v/>
      </c>
      <c r="L406" t="str">
        <f>IFERROR(VLOOKUP(F406,tbTurnos,3,FALSE),"")</f>
        <v/>
      </c>
      <c r="M406">
        <f t="shared" si="6"/>
        <v>0</v>
      </c>
    </row>
    <row r="407" spans="11:13" x14ac:dyDescent="0.35">
      <c r="K407" t="str">
        <f>IFERROR(VLOOKUP(J407,tbFactorMes,2,FALSE),"")</f>
        <v/>
      </c>
      <c r="L407" t="str">
        <f>IFERROR(VLOOKUP(F407,tbTurnos,3,FALSE),"")</f>
        <v/>
      </c>
      <c r="M407">
        <f t="shared" si="6"/>
        <v>0</v>
      </c>
    </row>
    <row r="408" spans="11:13" x14ac:dyDescent="0.35">
      <c r="K408" t="str">
        <f>IFERROR(VLOOKUP(J408,tbFactorMes,2,FALSE),"")</f>
        <v/>
      </c>
      <c r="L408" t="str">
        <f>IFERROR(VLOOKUP(F408,tbTurnos,3,FALSE),"")</f>
        <v/>
      </c>
      <c r="M408">
        <f t="shared" si="6"/>
        <v>0</v>
      </c>
    </row>
    <row r="409" spans="11:13" x14ac:dyDescent="0.35">
      <c r="K409" t="str">
        <f>IFERROR(VLOOKUP(J409,tbFactorMes,2,FALSE),"")</f>
        <v/>
      </c>
      <c r="L409" t="str">
        <f>IFERROR(VLOOKUP(F409,tbTurnos,3,FALSE),"")</f>
        <v/>
      </c>
      <c r="M409">
        <f t="shared" si="6"/>
        <v>0</v>
      </c>
    </row>
    <row r="410" spans="11:13" x14ac:dyDescent="0.35">
      <c r="K410" t="str">
        <f>IFERROR(VLOOKUP(J410,tbFactorMes,2,FALSE),"")</f>
        <v/>
      </c>
      <c r="L410" t="str">
        <f>IFERROR(VLOOKUP(F410,tbTurnos,3,FALSE),"")</f>
        <v/>
      </c>
      <c r="M410">
        <f t="shared" si="6"/>
        <v>0</v>
      </c>
    </row>
    <row r="411" spans="11:13" x14ac:dyDescent="0.35">
      <c r="K411" t="str">
        <f>IFERROR(VLOOKUP(J411,tbFactorMes,2,FALSE),"")</f>
        <v/>
      </c>
      <c r="L411" t="str">
        <f>IFERROR(VLOOKUP(F411,tbTurnos,3,FALSE),"")</f>
        <v/>
      </c>
      <c r="M411">
        <f t="shared" si="6"/>
        <v>0</v>
      </c>
    </row>
    <row r="412" spans="11:13" x14ac:dyDescent="0.35">
      <c r="K412" t="str">
        <f>IFERROR(VLOOKUP(J412,tbFactorMes,2,FALSE),"")</f>
        <v/>
      </c>
      <c r="L412" t="str">
        <f>IFERROR(VLOOKUP(F412,tbTurnos,3,FALSE),"")</f>
        <v/>
      </c>
      <c r="M412">
        <f t="shared" si="6"/>
        <v>0</v>
      </c>
    </row>
    <row r="413" spans="11:13" x14ac:dyDescent="0.35">
      <c r="K413" t="str">
        <f>IFERROR(VLOOKUP(J413,tbFactorMes,2,FALSE),"")</f>
        <v/>
      </c>
      <c r="L413" t="str">
        <f>IFERROR(VLOOKUP(F413,tbTurnos,3,FALSE),"")</f>
        <v/>
      </c>
      <c r="M413">
        <f t="shared" si="6"/>
        <v>0</v>
      </c>
    </row>
    <row r="414" spans="11:13" x14ac:dyDescent="0.35">
      <c r="K414" t="str">
        <f>IFERROR(VLOOKUP(J414,tbFactorMes,2,FALSE),"")</f>
        <v/>
      </c>
      <c r="L414" t="str">
        <f>IFERROR(VLOOKUP(F414,tbTurnos,3,FALSE),"")</f>
        <v/>
      </c>
      <c r="M414">
        <f t="shared" si="6"/>
        <v>0</v>
      </c>
    </row>
    <row r="415" spans="11:13" x14ac:dyDescent="0.35">
      <c r="K415" t="str">
        <f>IFERROR(VLOOKUP(J415,tbFactorMes,2,FALSE),"")</f>
        <v/>
      </c>
      <c r="L415" t="str">
        <f>IFERROR(VLOOKUP(F415,tbTurnos,3,FALSE),"")</f>
        <v/>
      </c>
      <c r="M415">
        <f t="shared" si="6"/>
        <v>0</v>
      </c>
    </row>
    <row r="416" spans="11:13" x14ac:dyDescent="0.35">
      <c r="K416" t="str">
        <f>IFERROR(VLOOKUP(J416,tbFactorMes,2,FALSE),"")</f>
        <v/>
      </c>
      <c r="L416" t="str">
        <f>IFERROR(VLOOKUP(F416,tbTurnos,3,FALSE),"")</f>
        <v/>
      </c>
      <c r="M416">
        <f t="shared" si="6"/>
        <v>0</v>
      </c>
    </row>
    <row r="417" spans="11:13" x14ac:dyDescent="0.35">
      <c r="K417" t="str">
        <f>IFERROR(VLOOKUP(J417,tbFactorMes,2,FALSE),"")</f>
        <v/>
      </c>
      <c r="L417" t="str">
        <f>IFERROR(VLOOKUP(F417,tbTurnos,3,FALSE),"")</f>
        <v/>
      </c>
      <c r="M417">
        <f t="shared" si="6"/>
        <v>0</v>
      </c>
    </row>
    <row r="418" spans="11:13" x14ac:dyDescent="0.35">
      <c r="K418" t="str">
        <f>IFERROR(VLOOKUP(J418,tbFactorMes,2,FALSE),"")</f>
        <v/>
      </c>
      <c r="L418" t="str">
        <f>IFERROR(VLOOKUP(F418,tbTurnos,3,FALSE),"")</f>
        <v/>
      </c>
      <c r="M418">
        <f t="shared" si="6"/>
        <v>0</v>
      </c>
    </row>
    <row r="419" spans="11:13" x14ac:dyDescent="0.35">
      <c r="K419" t="str">
        <f>IFERROR(VLOOKUP(J419,tbFactorMes,2,FALSE),"")</f>
        <v/>
      </c>
      <c r="L419" t="str">
        <f>IFERROR(VLOOKUP(F419,tbTurnos,3,FALSE),"")</f>
        <v/>
      </c>
      <c r="M419">
        <f t="shared" si="6"/>
        <v>0</v>
      </c>
    </row>
    <row r="420" spans="11:13" x14ac:dyDescent="0.35">
      <c r="K420" t="str">
        <f>IFERROR(VLOOKUP(J420,tbFactorMes,2,FALSE),"")</f>
        <v/>
      </c>
      <c r="L420" t="str">
        <f>IFERROR(VLOOKUP(F420,tbTurnos,3,FALSE),"")</f>
        <v/>
      </c>
      <c r="M420">
        <f t="shared" si="6"/>
        <v>0</v>
      </c>
    </row>
    <row r="421" spans="11:13" x14ac:dyDescent="0.35">
      <c r="K421" t="str">
        <f>IFERROR(VLOOKUP(J421,tbFactorMes,2,FALSE),"")</f>
        <v/>
      </c>
      <c r="L421" t="str">
        <f>IFERROR(VLOOKUP(F421,tbTurnos,3,FALSE),"")</f>
        <v/>
      </c>
      <c r="M421">
        <f t="shared" si="6"/>
        <v>0</v>
      </c>
    </row>
    <row r="422" spans="11:13" x14ac:dyDescent="0.35">
      <c r="K422" t="str">
        <f>IFERROR(VLOOKUP(J422,tbFactorMes,2,FALSE),"")</f>
        <v/>
      </c>
      <c r="L422" t="str">
        <f>IFERROR(VLOOKUP(F422,tbTurnos,3,FALSE),"")</f>
        <v/>
      </c>
      <c r="M422">
        <f t="shared" si="6"/>
        <v>0</v>
      </c>
    </row>
    <row r="423" spans="11:13" x14ac:dyDescent="0.35">
      <c r="K423" t="str">
        <f>IFERROR(VLOOKUP(J423,tbFactorMes,2,FALSE),"")</f>
        <v/>
      </c>
      <c r="L423" t="str">
        <f>IFERROR(VLOOKUP(F423,tbTurnos,3,FALSE),"")</f>
        <v/>
      </c>
      <c r="M423">
        <f t="shared" si="6"/>
        <v>0</v>
      </c>
    </row>
    <row r="424" spans="11:13" x14ac:dyDescent="0.35">
      <c r="K424" t="str">
        <f>IFERROR(VLOOKUP(J424,tbFactorMes,2,FALSE),"")</f>
        <v/>
      </c>
      <c r="L424" t="str">
        <f>IFERROR(VLOOKUP(F424,tbTurnos,3,FALSE),"")</f>
        <v/>
      </c>
      <c r="M424">
        <f t="shared" si="6"/>
        <v>0</v>
      </c>
    </row>
    <row r="425" spans="11:13" x14ac:dyDescent="0.35">
      <c r="K425" t="str">
        <f>IFERROR(VLOOKUP(J425,tbFactorMes,2,FALSE),"")</f>
        <v/>
      </c>
      <c r="L425" t="str">
        <f>IFERROR(VLOOKUP(F425,tbTurnos,3,FALSE),"")</f>
        <v/>
      </c>
      <c r="M425">
        <f t="shared" si="6"/>
        <v>0</v>
      </c>
    </row>
    <row r="426" spans="11:13" x14ac:dyDescent="0.35">
      <c r="K426" t="str">
        <f>IFERROR(VLOOKUP(J426,tbFactorMes,2,FALSE),"")</f>
        <v/>
      </c>
      <c r="L426" t="str">
        <f>IFERROR(VLOOKUP(F426,tbTurnos,3,FALSE),"")</f>
        <v/>
      </c>
      <c r="M426">
        <f t="shared" si="6"/>
        <v>0</v>
      </c>
    </row>
    <row r="427" spans="11:13" x14ac:dyDescent="0.35">
      <c r="K427" t="str">
        <f>IFERROR(VLOOKUP(J427,tbFactorMes,2,FALSE),"")</f>
        <v/>
      </c>
      <c r="L427" t="str">
        <f>IFERROR(VLOOKUP(F427,tbTurnos,3,FALSE),"")</f>
        <v/>
      </c>
      <c r="M427">
        <f t="shared" si="6"/>
        <v>0</v>
      </c>
    </row>
    <row r="428" spans="11:13" x14ac:dyDescent="0.35">
      <c r="K428" t="str">
        <f>IFERROR(VLOOKUP(J428,tbFactorMes,2,FALSE),"")</f>
        <v/>
      </c>
      <c r="L428" t="str">
        <f>IFERROR(VLOOKUP(F428,tbTurnos,3,FALSE),"")</f>
        <v/>
      </c>
      <c r="M428">
        <f t="shared" si="6"/>
        <v>0</v>
      </c>
    </row>
    <row r="429" spans="11:13" x14ac:dyDescent="0.35">
      <c r="K429" t="str">
        <f>IFERROR(VLOOKUP(J429,tbFactorMes,2,FALSE),"")</f>
        <v/>
      </c>
      <c r="L429" t="str">
        <f>IFERROR(VLOOKUP(F429,tbTurnos,3,FALSE),"")</f>
        <v/>
      </c>
      <c r="M429">
        <f t="shared" si="6"/>
        <v>0</v>
      </c>
    </row>
    <row r="430" spans="11:13" x14ac:dyDescent="0.35">
      <c r="K430" t="str">
        <f>IFERROR(VLOOKUP(J430,tbFactorMes,2,FALSE),"")</f>
        <v/>
      </c>
      <c r="L430" t="str">
        <f>IFERROR(VLOOKUP(F430,tbTurnos,3,FALSE),"")</f>
        <v/>
      </c>
      <c r="M430">
        <f t="shared" si="6"/>
        <v>0</v>
      </c>
    </row>
    <row r="431" spans="11:13" x14ac:dyDescent="0.35">
      <c r="K431" t="str">
        <f>IFERROR(VLOOKUP(J431,tbFactorMes,2,FALSE),"")</f>
        <v/>
      </c>
      <c r="L431" t="str">
        <f>IFERROR(VLOOKUP(F431,tbTurnos,3,FALSE),"")</f>
        <v/>
      </c>
      <c r="M431">
        <f t="shared" si="6"/>
        <v>0</v>
      </c>
    </row>
    <row r="432" spans="11:13" x14ac:dyDescent="0.35">
      <c r="K432" t="str">
        <f>IFERROR(VLOOKUP(J432,tbFactorMes,2,FALSE),"")</f>
        <v/>
      </c>
      <c r="L432" t="str">
        <f>IFERROR(VLOOKUP(F432,tbTurnos,3,FALSE),"")</f>
        <v/>
      </c>
      <c r="M432">
        <f t="shared" si="6"/>
        <v>0</v>
      </c>
    </row>
    <row r="433" spans="11:13" x14ac:dyDescent="0.35">
      <c r="K433" t="str">
        <f>IFERROR(VLOOKUP(J433,tbFactorMes,2,FALSE),"")</f>
        <v/>
      </c>
      <c r="L433" t="str">
        <f>IFERROR(VLOOKUP(F433,tbTurnos,3,FALSE),"")</f>
        <v/>
      </c>
      <c r="M433">
        <f t="shared" si="6"/>
        <v>0</v>
      </c>
    </row>
    <row r="434" spans="11:13" x14ac:dyDescent="0.35">
      <c r="K434" t="str">
        <f>IFERROR(VLOOKUP(J434,tbFactorMes,2,FALSE),"")</f>
        <v/>
      </c>
      <c r="L434" t="str">
        <f>IFERROR(VLOOKUP(F434,tbTurnos,3,FALSE),"")</f>
        <v/>
      </c>
      <c r="M434">
        <f t="shared" si="6"/>
        <v>0</v>
      </c>
    </row>
    <row r="435" spans="11:13" x14ac:dyDescent="0.35">
      <c r="K435" t="str">
        <f>IFERROR(VLOOKUP(J435,tbFactorMes,2,FALSE),"")</f>
        <v/>
      </c>
      <c r="L435" t="str">
        <f>IFERROR(VLOOKUP(F435,tbTurnos,3,FALSE),"")</f>
        <v/>
      </c>
      <c r="M435">
        <f t="shared" si="6"/>
        <v>0</v>
      </c>
    </row>
    <row r="436" spans="11:13" x14ac:dyDescent="0.35">
      <c r="K436" t="str">
        <f>IFERROR(VLOOKUP(J436,tbFactorMes,2,FALSE),"")</f>
        <v/>
      </c>
      <c r="L436" t="str">
        <f>IFERROR(VLOOKUP(F436,tbTurnos,3,FALSE),"")</f>
        <v/>
      </c>
      <c r="M436">
        <f t="shared" si="6"/>
        <v>0</v>
      </c>
    </row>
    <row r="437" spans="11:13" x14ac:dyDescent="0.35">
      <c r="K437" t="str">
        <f>IFERROR(VLOOKUP(J437,tbFactorMes,2,FALSE),"")</f>
        <v/>
      </c>
      <c r="L437" t="str">
        <f>IFERROR(VLOOKUP(F437,tbTurnos,3,FALSE),"")</f>
        <v/>
      </c>
      <c r="M437">
        <f t="shared" si="6"/>
        <v>0</v>
      </c>
    </row>
    <row r="438" spans="11:13" x14ac:dyDescent="0.35">
      <c r="K438" t="str">
        <f>IFERROR(VLOOKUP(J438,tbFactorMes,2,FALSE),"")</f>
        <v/>
      </c>
      <c r="L438" t="str">
        <f>IFERROR(VLOOKUP(F438,tbTurnos,3,FALSE),"")</f>
        <v/>
      </c>
      <c r="M438">
        <f t="shared" si="6"/>
        <v>0</v>
      </c>
    </row>
    <row r="439" spans="11:13" x14ac:dyDescent="0.35">
      <c r="K439" t="str">
        <f>IFERROR(VLOOKUP(J439,tbFactorMes,2,FALSE),"")</f>
        <v/>
      </c>
      <c r="L439" t="str">
        <f>IFERROR(VLOOKUP(F439,tbTurnos,3,FALSE),"")</f>
        <v/>
      </c>
      <c r="M439">
        <f t="shared" si="6"/>
        <v>0</v>
      </c>
    </row>
    <row r="440" spans="11:13" x14ac:dyDescent="0.35">
      <c r="K440" t="str">
        <f>IFERROR(VLOOKUP(J440,tbFactorMes,2,FALSE),"")</f>
        <v/>
      </c>
      <c r="L440" t="str">
        <f>IFERROR(VLOOKUP(F440,tbTurnos,3,FALSE),"")</f>
        <v/>
      </c>
      <c r="M440">
        <f t="shared" si="6"/>
        <v>0</v>
      </c>
    </row>
    <row r="441" spans="11:13" x14ac:dyDescent="0.35">
      <c r="K441" t="str">
        <f>IFERROR(VLOOKUP(J441,tbFactorMes,2,FALSE),"")</f>
        <v/>
      </c>
      <c r="L441" t="str">
        <f>IFERROR(VLOOKUP(F441,tbTurnos,3,FALSE),"")</f>
        <v/>
      </c>
      <c r="M441">
        <f t="shared" si="6"/>
        <v>0</v>
      </c>
    </row>
    <row r="442" spans="11:13" x14ac:dyDescent="0.35">
      <c r="K442" t="str">
        <f>IFERROR(VLOOKUP(J442,tbFactorMes,2,FALSE),"")</f>
        <v/>
      </c>
      <c r="L442" t="str">
        <f>IFERROR(VLOOKUP(F442,tbTurnos,3,FALSE),"")</f>
        <v/>
      </c>
      <c r="M442">
        <f t="shared" si="6"/>
        <v>0</v>
      </c>
    </row>
    <row r="443" spans="11:13" x14ac:dyDescent="0.35">
      <c r="K443" t="str">
        <f>IFERROR(VLOOKUP(J443,tbFactorMes,2,FALSE),"")</f>
        <v/>
      </c>
      <c r="L443" t="str">
        <f>IFERROR(VLOOKUP(F443,tbTurnos,3,FALSE),"")</f>
        <v/>
      </c>
      <c r="M443">
        <f t="shared" si="6"/>
        <v>0</v>
      </c>
    </row>
    <row r="444" spans="11:13" x14ac:dyDescent="0.35">
      <c r="K444" t="str">
        <f>IFERROR(VLOOKUP(J444,tbFactorMes,2,FALSE),"")</f>
        <v/>
      </c>
      <c r="L444" t="str">
        <f>IFERROR(VLOOKUP(F444,tbTurnos,3,FALSE),"")</f>
        <v/>
      </c>
      <c r="M444">
        <f t="shared" si="6"/>
        <v>0</v>
      </c>
    </row>
    <row r="445" spans="11:13" x14ac:dyDescent="0.35">
      <c r="K445" t="str">
        <f>IFERROR(VLOOKUP(J445,tbFactorMes,2,FALSE),"")</f>
        <v/>
      </c>
      <c r="L445" t="str">
        <f>IFERROR(VLOOKUP(F445,tbTurnos,3,FALSE),"")</f>
        <v/>
      </c>
      <c r="M445">
        <f t="shared" si="6"/>
        <v>0</v>
      </c>
    </row>
    <row r="446" spans="11:13" x14ac:dyDescent="0.35">
      <c r="K446" t="str">
        <f>IFERROR(VLOOKUP(J446,tbFactorMes,2,FALSE),"")</f>
        <v/>
      </c>
      <c r="L446" t="str">
        <f>IFERROR(VLOOKUP(F446,tbTurnos,3,FALSE),"")</f>
        <v/>
      </c>
      <c r="M446">
        <f t="shared" si="6"/>
        <v>0</v>
      </c>
    </row>
    <row r="447" spans="11:13" x14ac:dyDescent="0.35">
      <c r="K447" t="str">
        <f>IFERROR(VLOOKUP(J447,tbFactorMes,2,FALSE),"")</f>
        <v/>
      </c>
      <c r="L447" t="str">
        <f>IFERROR(VLOOKUP(F447,tbTurnos,3,FALSE),"")</f>
        <v/>
      </c>
      <c r="M447">
        <f t="shared" si="6"/>
        <v>0</v>
      </c>
    </row>
    <row r="448" spans="11:13" x14ac:dyDescent="0.35">
      <c r="K448" t="str">
        <f>IFERROR(VLOOKUP(J448,tbFactorMes,2,FALSE),"")</f>
        <v/>
      </c>
      <c r="L448" t="str">
        <f>IFERROR(VLOOKUP(F448,tbTurnos,3,FALSE),"")</f>
        <v/>
      </c>
      <c r="M448">
        <f t="shared" si="6"/>
        <v>0</v>
      </c>
    </row>
    <row r="449" spans="11:13" x14ac:dyDescent="0.35">
      <c r="K449" t="str">
        <f>IFERROR(VLOOKUP(J449,tbFactorMes,2,FALSE),"")</f>
        <v/>
      </c>
      <c r="L449" t="str">
        <f>IFERROR(VLOOKUP(F449,tbTurnos,3,FALSE),"")</f>
        <v/>
      </c>
      <c r="M449">
        <f t="shared" si="6"/>
        <v>0</v>
      </c>
    </row>
    <row r="450" spans="11:13" x14ac:dyDescent="0.35">
      <c r="K450" t="str">
        <f>IFERROR(VLOOKUP(J450,tbFactorMes,2,FALSE),"")</f>
        <v/>
      </c>
      <c r="L450" t="str">
        <f>IFERROR(VLOOKUP(F450,tbTurnos,3,FALSE),"")</f>
        <v/>
      </c>
      <c r="M450">
        <f t="shared" ref="M450:M500" si="7">IFERROR((I450*L450)/K450,0)</f>
        <v>0</v>
      </c>
    </row>
    <row r="451" spans="11:13" x14ac:dyDescent="0.35">
      <c r="K451" t="str">
        <f>IFERROR(VLOOKUP(J451,tbFactorMes,2,FALSE),"")</f>
        <v/>
      </c>
      <c r="L451" t="str">
        <f>IFERROR(VLOOKUP(F451,tbTurnos,3,FALSE),"")</f>
        <v/>
      </c>
      <c r="M451">
        <f t="shared" si="7"/>
        <v>0</v>
      </c>
    </row>
    <row r="452" spans="11:13" x14ac:dyDescent="0.35">
      <c r="K452" t="str">
        <f>IFERROR(VLOOKUP(J452,tbFactorMes,2,FALSE),"")</f>
        <v/>
      </c>
      <c r="L452" t="str">
        <f>IFERROR(VLOOKUP(F452,tbTurnos,3,FALSE),"")</f>
        <v/>
      </c>
      <c r="M452">
        <f t="shared" si="7"/>
        <v>0</v>
      </c>
    </row>
    <row r="453" spans="11:13" x14ac:dyDescent="0.35">
      <c r="K453" t="str">
        <f>IFERROR(VLOOKUP(J453,tbFactorMes,2,FALSE),"")</f>
        <v/>
      </c>
      <c r="L453" t="str">
        <f>IFERROR(VLOOKUP(F453,tbTurnos,3,FALSE),"")</f>
        <v/>
      </c>
      <c r="M453">
        <f t="shared" si="7"/>
        <v>0</v>
      </c>
    </row>
    <row r="454" spans="11:13" x14ac:dyDescent="0.35">
      <c r="K454" t="str">
        <f>IFERROR(VLOOKUP(J454,tbFactorMes,2,FALSE),"")</f>
        <v/>
      </c>
      <c r="L454" t="str">
        <f>IFERROR(VLOOKUP(F454,tbTurnos,3,FALSE),"")</f>
        <v/>
      </c>
      <c r="M454">
        <f t="shared" si="7"/>
        <v>0</v>
      </c>
    </row>
    <row r="455" spans="11:13" x14ac:dyDescent="0.35">
      <c r="K455" t="str">
        <f>IFERROR(VLOOKUP(J455,tbFactorMes,2,FALSE),"")</f>
        <v/>
      </c>
      <c r="L455" t="str">
        <f>IFERROR(VLOOKUP(F455,tbTurnos,3,FALSE),"")</f>
        <v/>
      </c>
      <c r="M455">
        <f t="shared" si="7"/>
        <v>0</v>
      </c>
    </row>
    <row r="456" spans="11:13" x14ac:dyDescent="0.35">
      <c r="K456" t="str">
        <f>IFERROR(VLOOKUP(J456,tbFactorMes,2,FALSE),"")</f>
        <v/>
      </c>
      <c r="L456" t="str">
        <f>IFERROR(VLOOKUP(F456,tbTurnos,3,FALSE),"")</f>
        <v/>
      </c>
      <c r="M456">
        <f t="shared" si="7"/>
        <v>0</v>
      </c>
    </row>
    <row r="457" spans="11:13" x14ac:dyDescent="0.35">
      <c r="K457" t="str">
        <f>IFERROR(VLOOKUP(J457,tbFactorMes,2,FALSE),"")</f>
        <v/>
      </c>
      <c r="L457" t="str">
        <f>IFERROR(VLOOKUP(F457,tbTurnos,3,FALSE),"")</f>
        <v/>
      </c>
      <c r="M457">
        <f t="shared" si="7"/>
        <v>0</v>
      </c>
    </row>
    <row r="458" spans="11:13" x14ac:dyDescent="0.35">
      <c r="K458" t="str">
        <f>IFERROR(VLOOKUP(J458,tbFactorMes,2,FALSE),"")</f>
        <v/>
      </c>
      <c r="L458" t="str">
        <f>IFERROR(VLOOKUP(F458,tbTurnos,3,FALSE),"")</f>
        <v/>
      </c>
      <c r="M458">
        <f t="shared" si="7"/>
        <v>0</v>
      </c>
    </row>
    <row r="459" spans="11:13" x14ac:dyDescent="0.35">
      <c r="K459" t="str">
        <f>IFERROR(VLOOKUP(J459,tbFactorMes,2,FALSE),"")</f>
        <v/>
      </c>
      <c r="L459" t="str">
        <f>IFERROR(VLOOKUP(F459,tbTurnos,3,FALSE),"")</f>
        <v/>
      </c>
      <c r="M459">
        <f t="shared" si="7"/>
        <v>0</v>
      </c>
    </row>
    <row r="460" spans="11:13" x14ac:dyDescent="0.35">
      <c r="K460" t="str">
        <f>IFERROR(VLOOKUP(J460,tbFactorMes,2,FALSE),"")</f>
        <v/>
      </c>
      <c r="L460" t="str">
        <f>IFERROR(VLOOKUP(F460,tbTurnos,3,FALSE),"")</f>
        <v/>
      </c>
      <c r="M460">
        <f t="shared" si="7"/>
        <v>0</v>
      </c>
    </row>
    <row r="461" spans="11:13" x14ac:dyDescent="0.35">
      <c r="K461" t="str">
        <f>IFERROR(VLOOKUP(J461,tbFactorMes,2,FALSE),"")</f>
        <v/>
      </c>
      <c r="L461" t="str">
        <f>IFERROR(VLOOKUP(F461,tbTurnos,3,FALSE),"")</f>
        <v/>
      </c>
      <c r="M461">
        <f t="shared" si="7"/>
        <v>0</v>
      </c>
    </row>
    <row r="462" spans="11:13" x14ac:dyDescent="0.35">
      <c r="K462" t="str">
        <f>IFERROR(VLOOKUP(J462,tbFactorMes,2,FALSE),"")</f>
        <v/>
      </c>
      <c r="L462" t="str">
        <f>IFERROR(VLOOKUP(F462,tbTurnos,3,FALSE),"")</f>
        <v/>
      </c>
      <c r="M462">
        <f t="shared" si="7"/>
        <v>0</v>
      </c>
    </row>
    <row r="463" spans="11:13" x14ac:dyDescent="0.35">
      <c r="K463" t="str">
        <f>IFERROR(VLOOKUP(J463,tbFactorMes,2,FALSE),"")</f>
        <v/>
      </c>
      <c r="L463" t="str">
        <f>IFERROR(VLOOKUP(F463,tbTurnos,3,FALSE),"")</f>
        <v/>
      </c>
      <c r="M463">
        <f t="shared" si="7"/>
        <v>0</v>
      </c>
    </row>
    <row r="464" spans="11:13" x14ac:dyDescent="0.35">
      <c r="K464" t="str">
        <f>IFERROR(VLOOKUP(J464,tbFactorMes,2,FALSE),"")</f>
        <v/>
      </c>
      <c r="L464" t="str">
        <f>IFERROR(VLOOKUP(F464,tbTurnos,3,FALSE),"")</f>
        <v/>
      </c>
      <c r="M464">
        <f t="shared" si="7"/>
        <v>0</v>
      </c>
    </row>
    <row r="465" spans="11:13" x14ac:dyDescent="0.35">
      <c r="K465" t="str">
        <f>IFERROR(VLOOKUP(J465,tbFactorMes,2,FALSE),"")</f>
        <v/>
      </c>
      <c r="L465" t="str">
        <f>IFERROR(VLOOKUP(F465,tbTurnos,3,FALSE),"")</f>
        <v/>
      </c>
      <c r="M465">
        <f t="shared" si="7"/>
        <v>0</v>
      </c>
    </row>
    <row r="466" spans="11:13" x14ac:dyDescent="0.35">
      <c r="K466" t="str">
        <f>IFERROR(VLOOKUP(J466,tbFactorMes,2,FALSE),"")</f>
        <v/>
      </c>
      <c r="L466" t="str">
        <f>IFERROR(VLOOKUP(F466,tbTurnos,3,FALSE),"")</f>
        <v/>
      </c>
      <c r="M466">
        <f t="shared" si="7"/>
        <v>0</v>
      </c>
    </row>
    <row r="467" spans="11:13" x14ac:dyDescent="0.35">
      <c r="K467" t="str">
        <f>IFERROR(VLOOKUP(J467,tbFactorMes,2,FALSE),"")</f>
        <v/>
      </c>
      <c r="L467" t="str">
        <f>IFERROR(VLOOKUP(F467,tbTurnos,3,FALSE),"")</f>
        <v/>
      </c>
      <c r="M467">
        <f t="shared" si="7"/>
        <v>0</v>
      </c>
    </row>
    <row r="468" spans="11:13" x14ac:dyDescent="0.35">
      <c r="K468" t="str">
        <f>IFERROR(VLOOKUP(J468,tbFactorMes,2,FALSE),"")</f>
        <v/>
      </c>
      <c r="L468" t="str">
        <f>IFERROR(VLOOKUP(F468,tbTurnos,3,FALSE),"")</f>
        <v/>
      </c>
      <c r="M468">
        <f t="shared" si="7"/>
        <v>0</v>
      </c>
    </row>
    <row r="469" spans="11:13" x14ac:dyDescent="0.35">
      <c r="K469" t="str">
        <f>IFERROR(VLOOKUP(J469,tbFactorMes,2,FALSE),"")</f>
        <v/>
      </c>
      <c r="L469" t="str">
        <f>IFERROR(VLOOKUP(F469,tbTurnos,3,FALSE),"")</f>
        <v/>
      </c>
      <c r="M469">
        <f t="shared" si="7"/>
        <v>0</v>
      </c>
    </row>
    <row r="470" spans="11:13" x14ac:dyDescent="0.35">
      <c r="K470" t="str">
        <f>IFERROR(VLOOKUP(J470,tbFactorMes,2,FALSE),"")</f>
        <v/>
      </c>
      <c r="L470" t="str">
        <f>IFERROR(VLOOKUP(F470,tbTurnos,3,FALSE),"")</f>
        <v/>
      </c>
      <c r="M470">
        <f t="shared" si="7"/>
        <v>0</v>
      </c>
    </row>
    <row r="471" spans="11:13" x14ac:dyDescent="0.35">
      <c r="K471" t="str">
        <f>IFERROR(VLOOKUP(J471,tbFactorMes,2,FALSE),"")</f>
        <v/>
      </c>
      <c r="L471" t="str">
        <f>IFERROR(VLOOKUP(F471,tbTurnos,3,FALSE),"")</f>
        <v/>
      </c>
      <c r="M471">
        <f t="shared" si="7"/>
        <v>0</v>
      </c>
    </row>
    <row r="472" spans="11:13" x14ac:dyDescent="0.35">
      <c r="K472" t="str">
        <f>IFERROR(VLOOKUP(J472,tbFactorMes,2,FALSE),"")</f>
        <v/>
      </c>
      <c r="L472" t="str">
        <f>IFERROR(VLOOKUP(F472,tbTurnos,3,FALSE),"")</f>
        <v/>
      </c>
      <c r="M472">
        <f t="shared" si="7"/>
        <v>0</v>
      </c>
    </row>
    <row r="473" spans="11:13" x14ac:dyDescent="0.35">
      <c r="K473" t="str">
        <f>IFERROR(VLOOKUP(J473,tbFactorMes,2,FALSE),"")</f>
        <v/>
      </c>
      <c r="L473" t="str">
        <f>IFERROR(VLOOKUP(F473,tbTurnos,3,FALSE),"")</f>
        <v/>
      </c>
      <c r="M473">
        <f t="shared" si="7"/>
        <v>0</v>
      </c>
    </row>
    <row r="474" spans="11:13" x14ac:dyDescent="0.35">
      <c r="K474" t="str">
        <f>IFERROR(VLOOKUP(J474,tbFactorMes,2,FALSE),"")</f>
        <v/>
      </c>
      <c r="L474" t="str">
        <f>IFERROR(VLOOKUP(F474,tbTurnos,3,FALSE),"")</f>
        <v/>
      </c>
      <c r="M474">
        <f t="shared" si="7"/>
        <v>0</v>
      </c>
    </row>
    <row r="475" spans="11:13" x14ac:dyDescent="0.35">
      <c r="K475" t="str">
        <f>IFERROR(VLOOKUP(J475,tbFactorMes,2,FALSE),"")</f>
        <v/>
      </c>
      <c r="L475" t="str">
        <f>IFERROR(VLOOKUP(F475,tbTurnos,3,FALSE),"")</f>
        <v/>
      </c>
      <c r="M475">
        <f t="shared" si="7"/>
        <v>0</v>
      </c>
    </row>
    <row r="476" spans="11:13" x14ac:dyDescent="0.35">
      <c r="K476" t="str">
        <f>IFERROR(VLOOKUP(J476,tbFactorMes,2,FALSE),"")</f>
        <v/>
      </c>
      <c r="L476" t="str">
        <f>IFERROR(VLOOKUP(F476,tbTurnos,3,FALSE),"")</f>
        <v/>
      </c>
      <c r="M476">
        <f t="shared" si="7"/>
        <v>0</v>
      </c>
    </row>
    <row r="477" spans="11:13" x14ac:dyDescent="0.35">
      <c r="K477" t="str">
        <f>IFERROR(VLOOKUP(J477,tbFactorMes,2,FALSE),"")</f>
        <v/>
      </c>
      <c r="L477" t="str">
        <f>IFERROR(VLOOKUP(F477,tbTurnos,3,FALSE),"")</f>
        <v/>
      </c>
      <c r="M477">
        <f t="shared" si="7"/>
        <v>0</v>
      </c>
    </row>
    <row r="478" spans="11:13" x14ac:dyDescent="0.35">
      <c r="K478" t="str">
        <f>IFERROR(VLOOKUP(J478,tbFactorMes,2,FALSE),"")</f>
        <v/>
      </c>
      <c r="L478" t="str">
        <f>IFERROR(VLOOKUP(F478,tbTurnos,3,FALSE),"")</f>
        <v/>
      </c>
      <c r="M478">
        <f t="shared" si="7"/>
        <v>0</v>
      </c>
    </row>
    <row r="479" spans="11:13" x14ac:dyDescent="0.35">
      <c r="K479" t="str">
        <f>IFERROR(VLOOKUP(J479,tbFactorMes,2,FALSE),"")</f>
        <v/>
      </c>
      <c r="L479" t="str">
        <f>IFERROR(VLOOKUP(F479,tbTurnos,3,FALSE),"")</f>
        <v/>
      </c>
      <c r="M479">
        <f t="shared" si="7"/>
        <v>0</v>
      </c>
    </row>
    <row r="480" spans="11:13" x14ac:dyDescent="0.35">
      <c r="K480" t="str">
        <f>IFERROR(VLOOKUP(J480,tbFactorMes,2,FALSE),"")</f>
        <v/>
      </c>
      <c r="L480" t="str">
        <f>IFERROR(VLOOKUP(F480,tbTurnos,3,FALSE),"")</f>
        <v/>
      </c>
      <c r="M480">
        <f t="shared" si="7"/>
        <v>0</v>
      </c>
    </row>
    <row r="481" spans="11:13" x14ac:dyDescent="0.35">
      <c r="K481" t="str">
        <f>IFERROR(VLOOKUP(J481,tbFactorMes,2,FALSE),"")</f>
        <v/>
      </c>
      <c r="L481" t="str">
        <f>IFERROR(VLOOKUP(F481,tbTurnos,3,FALSE),"")</f>
        <v/>
      </c>
      <c r="M481">
        <f t="shared" si="7"/>
        <v>0</v>
      </c>
    </row>
    <row r="482" spans="11:13" x14ac:dyDescent="0.35">
      <c r="K482" t="str">
        <f>IFERROR(VLOOKUP(J482,tbFactorMes,2,FALSE),"")</f>
        <v/>
      </c>
      <c r="L482" t="str">
        <f>IFERROR(VLOOKUP(F482,tbTurnos,3,FALSE),"")</f>
        <v/>
      </c>
      <c r="M482">
        <f t="shared" si="7"/>
        <v>0</v>
      </c>
    </row>
    <row r="483" spans="11:13" x14ac:dyDescent="0.35">
      <c r="K483" t="str">
        <f>IFERROR(VLOOKUP(J483,tbFactorMes,2,FALSE),"")</f>
        <v/>
      </c>
      <c r="L483" t="str">
        <f>IFERROR(VLOOKUP(F483,tbTurnos,3,FALSE),"")</f>
        <v/>
      </c>
      <c r="M483">
        <f t="shared" si="7"/>
        <v>0</v>
      </c>
    </row>
    <row r="484" spans="11:13" x14ac:dyDescent="0.35">
      <c r="K484" t="str">
        <f>IFERROR(VLOOKUP(J484,tbFactorMes,2,FALSE),"")</f>
        <v/>
      </c>
      <c r="L484" t="str">
        <f>IFERROR(VLOOKUP(F484,tbTurnos,3,FALSE),"")</f>
        <v/>
      </c>
      <c r="M484">
        <f t="shared" si="7"/>
        <v>0</v>
      </c>
    </row>
    <row r="485" spans="11:13" x14ac:dyDescent="0.35">
      <c r="K485" t="str">
        <f>IFERROR(VLOOKUP(J485,tbFactorMes,2,FALSE),"")</f>
        <v/>
      </c>
      <c r="L485" t="str">
        <f>IFERROR(VLOOKUP(F485,tbTurnos,3,FALSE),"")</f>
        <v/>
      </c>
      <c r="M485">
        <f t="shared" si="7"/>
        <v>0</v>
      </c>
    </row>
    <row r="486" spans="11:13" x14ac:dyDescent="0.35">
      <c r="K486" t="str">
        <f>IFERROR(VLOOKUP(J486,tbFactorMes,2,FALSE),"")</f>
        <v/>
      </c>
      <c r="L486" t="str">
        <f>IFERROR(VLOOKUP(F486,tbTurnos,3,FALSE),"")</f>
        <v/>
      </c>
      <c r="M486">
        <f t="shared" si="7"/>
        <v>0</v>
      </c>
    </row>
    <row r="487" spans="11:13" x14ac:dyDescent="0.35">
      <c r="K487" t="str">
        <f>IFERROR(VLOOKUP(J487,tbFactorMes,2,FALSE),"")</f>
        <v/>
      </c>
      <c r="L487" t="str">
        <f>IFERROR(VLOOKUP(F487,tbTurnos,3,FALSE),"")</f>
        <v/>
      </c>
      <c r="M487">
        <f t="shared" si="7"/>
        <v>0</v>
      </c>
    </row>
    <row r="488" spans="11:13" x14ac:dyDescent="0.35">
      <c r="K488" t="str">
        <f>IFERROR(VLOOKUP(J488,tbFactorMes,2,FALSE),"")</f>
        <v/>
      </c>
      <c r="L488" t="str">
        <f>IFERROR(VLOOKUP(F488,tbTurnos,3,FALSE),"")</f>
        <v/>
      </c>
      <c r="M488">
        <f t="shared" si="7"/>
        <v>0</v>
      </c>
    </row>
    <row r="489" spans="11:13" x14ac:dyDescent="0.35">
      <c r="K489" t="str">
        <f>IFERROR(VLOOKUP(J489,tbFactorMes,2,FALSE),"")</f>
        <v/>
      </c>
      <c r="L489" t="str">
        <f>IFERROR(VLOOKUP(F489,tbTurnos,3,FALSE),"")</f>
        <v/>
      </c>
      <c r="M489">
        <f t="shared" si="7"/>
        <v>0</v>
      </c>
    </row>
    <row r="490" spans="11:13" x14ac:dyDescent="0.35">
      <c r="K490" t="str">
        <f>IFERROR(VLOOKUP(J490,tbFactorMes,2,FALSE),"")</f>
        <v/>
      </c>
      <c r="L490" t="str">
        <f>IFERROR(VLOOKUP(F490,tbTurnos,3,FALSE),"")</f>
        <v/>
      </c>
      <c r="M490">
        <f t="shared" si="7"/>
        <v>0</v>
      </c>
    </row>
    <row r="491" spans="11:13" x14ac:dyDescent="0.35">
      <c r="K491" t="str">
        <f>IFERROR(VLOOKUP(J491,tbFactorMes,2,FALSE),"")</f>
        <v/>
      </c>
      <c r="L491" t="str">
        <f>IFERROR(VLOOKUP(F491,tbTurnos,3,FALSE),"")</f>
        <v/>
      </c>
      <c r="M491">
        <f t="shared" si="7"/>
        <v>0</v>
      </c>
    </row>
    <row r="492" spans="11:13" x14ac:dyDescent="0.35">
      <c r="K492" t="str">
        <f>IFERROR(VLOOKUP(J492,tbFactorMes,2,FALSE),"")</f>
        <v/>
      </c>
      <c r="L492" t="str">
        <f>IFERROR(VLOOKUP(F492,tbTurnos,3,FALSE),"")</f>
        <v/>
      </c>
      <c r="M492">
        <f t="shared" si="7"/>
        <v>0</v>
      </c>
    </row>
    <row r="493" spans="11:13" x14ac:dyDescent="0.35">
      <c r="K493" t="str">
        <f>IFERROR(VLOOKUP(J493,tbFactorMes,2,FALSE),"")</f>
        <v/>
      </c>
      <c r="L493" t="str">
        <f>IFERROR(VLOOKUP(F493,tbTurnos,3,FALSE),"")</f>
        <v/>
      </c>
      <c r="M493">
        <f t="shared" si="7"/>
        <v>0</v>
      </c>
    </row>
    <row r="494" spans="11:13" x14ac:dyDescent="0.35">
      <c r="K494" t="str">
        <f>IFERROR(VLOOKUP(J494,tbFactorMes,2,FALSE),"")</f>
        <v/>
      </c>
      <c r="L494" t="str">
        <f>IFERROR(VLOOKUP(F494,tbTurnos,3,FALSE),"")</f>
        <v/>
      </c>
      <c r="M494">
        <f t="shared" si="7"/>
        <v>0</v>
      </c>
    </row>
    <row r="495" spans="11:13" x14ac:dyDescent="0.35">
      <c r="K495" t="str">
        <f>IFERROR(VLOOKUP(J495,tbFactorMes,2,FALSE),"")</f>
        <v/>
      </c>
      <c r="L495" t="str">
        <f>IFERROR(VLOOKUP(F495,tbTurnos,3,FALSE),"")</f>
        <v/>
      </c>
      <c r="M495">
        <f t="shared" si="7"/>
        <v>0</v>
      </c>
    </row>
    <row r="496" spans="11:13" x14ac:dyDescent="0.35">
      <c r="K496" t="str">
        <f>IFERROR(VLOOKUP(J496,tbFactorMes,2,FALSE),"")</f>
        <v/>
      </c>
      <c r="L496" t="str">
        <f>IFERROR(VLOOKUP(F496,tbTurnos,3,FALSE),"")</f>
        <v/>
      </c>
      <c r="M496">
        <f t="shared" si="7"/>
        <v>0</v>
      </c>
    </row>
    <row r="497" spans="11:13" x14ac:dyDescent="0.35">
      <c r="K497" t="str">
        <f>IFERROR(VLOOKUP(J497,tbFactorMes,2,FALSE),"")</f>
        <v/>
      </c>
      <c r="L497" t="str">
        <f>IFERROR(VLOOKUP(F497,tbTurnos,3,FALSE),"")</f>
        <v/>
      </c>
      <c r="M497">
        <f t="shared" si="7"/>
        <v>0</v>
      </c>
    </row>
    <row r="498" spans="11:13" x14ac:dyDescent="0.35">
      <c r="K498" t="str">
        <f>IFERROR(VLOOKUP(J498,tbFactorMes,2,FALSE),"")</f>
        <v/>
      </c>
      <c r="L498" t="str">
        <f>IFERROR(VLOOKUP(F498,tbTurnos,3,FALSE),"")</f>
        <v/>
      </c>
      <c r="M498">
        <f t="shared" si="7"/>
        <v>0</v>
      </c>
    </row>
    <row r="499" spans="11:13" x14ac:dyDescent="0.35">
      <c r="K499" t="str">
        <f>IFERROR(VLOOKUP(J499,tbFactorMes,2,FALSE),"")</f>
        <v/>
      </c>
      <c r="L499" t="str">
        <f>IFERROR(VLOOKUP(F499,tbTurnos,3,FALSE),"")</f>
        <v/>
      </c>
      <c r="M499">
        <f t="shared" si="7"/>
        <v>0</v>
      </c>
    </row>
    <row r="500" spans="11:13" x14ac:dyDescent="0.35">
      <c r="K500" t="str">
        <f>IFERROR(VLOOKUP(J500,tbFactorMes,2,FALSE),"")</f>
        <v/>
      </c>
      <c r="L500" t="str">
        <f>IFERROR(VLOOKUP(F500,tbTurnos,3,FALSE),"")</f>
        <v/>
      </c>
      <c r="M500">
        <f t="shared" si="7"/>
        <v>0</v>
      </c>
    </row>
  </sheetData>
  <dataValidations count="2">
    <dataValidation type="list" allowBlank="1" showInputMessage="1" showErrorMessage="1" sqref="O2:O1048576" xr:uid="{055AEADC-821D-4104-823B-CFF398A7D331}">
      <formula1>"Presencial, Teletrabajo, Mixto"</formula1>
    </dataValidation>
    <dataValidation type="list" allowBlank="1" showInputMessage="1" showErrorMessage="1" sqref="P2:P1048576" xr:uid="{FFEF9BFB-C07B-4731-8542-26138A8BBBAA}">
      <formula1>"0%, 20%, 50%, 80%, 100%"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'96_Clasificacion_Dotacional'!$A$2:$A$12</xm:f>
          </x14:formula1>
          <xm:sqref>B2:B500</xm:sqref>
        </x14:dataValidation>
        <x14:dataValidation type="list" allowBlank="1" xr:uid="{00000000-0002-0000-0100-000001000000}">
          <x14:formula1>
            <xm:f>'99_Listas'!$J$3:$J$4</xm:f>
          </x14:formula1>
          <xm:sqref>C2:C500</xm:sqref>
        </x14:dataValidation>
        <x14:dataValidation type="list" allowBlank="1" xr:uid="{00000000-0002-0000-0100-000002000000}">
          <x14:formula1>
            <xm:f>'99_Listas'!$L$3:$L$7</xm:f>
          </x14:formula1>
          <xm:sqref>D2:D500</xm:sqref>
        </x14:dataValidation>
        <x14:dataValidation type="list" allowBlank="1" xr:uid="{00000000-0002-0000-0100-000003000000}">
          <x14:formula1>
            <xm:f>'99_Listas'!$K$3:$K$4</xm:f>
          </x14:formula1>
          <xm:sqref>E2:E500</xm:sqref>
        </x14:dataValidation>
        <x14:dataValidation type="list" allowBlank="1" xr:uid="{00000000-0002-0000-0100-000004000000}">
          <x14:formula1>
            <xm:f>'99_Listas'!$M$3:$M$22</xm:f>
          </x14:formula1>
          <xm:sqref>F2:F500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9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8.7265625" defaultRowHeight="14.5" x14ac:dyDescent="0.35"/>
  <cols>
    <col min="1" max="1" width="22" customWidth="1"/>
    <col min="2" max="2" width="35" customWidth="1"/>
    <col min="3" max="3" width="14" customWidth="1"/>
    <col min="4" max="4" width="22" customWidth="1"/>
    <col min="5" max="5" width="33" customWidth="1"/>
    <col min="6" max="6" width="19" customWidth="1"/>
    <col min="7" max="7" width="38" customWidth="1"/>
    <col min="8" max="8" width="30" customWidth="1"/>
  </cols>
  <sheetData>
    <row r="1" spans="1:8" ht="22" customHeight="1" x14ac:dyDescent="0.3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x14ac:dyDescent="0.35">
      <c r="F2">
        <f t="shared" ref="F2:F65" si="0">IFERROR(D2*E2,0)</f>
        <v>0</v>
      </c>
    </row>
    <row r="3" spans="1:8" x14ac:dyDescent="0.35">
      <c r="F3">
        <f t="shared" si="0"/>
        <v>0</v>
      </c>
    </row>
    <row r="4" spans="1:8" x14ac:dyDescent="0.35">
      <c r="F4">
        <f t="shared" si="0"/>
        <v>0</v>
      </c>
    </row>
    <row r="5" spans="1:8" x14ac:dyDescent="0.35">
      <c r="F5">
        <f t="shared" si="0"/>
        <v>0</v>
      </c>
    </row>
    <row r="6" spans="1:8" x14ac:dyDescent="0.35">
      <c r="F6">
        <f t="shared" si="0"/>
        <v>0</v>
      </c>
    </row>
    <row r="7" spans="1:8" x14ac:dyDescent="0.35">
      <c r="F7">
        <f t="shared" si="0"/>
        <v>0</v>
      </c>
    </row>
    <row r="8" spans="1:8" x14ac:dyDescent="0.35">
      <c r="F8">
        <f t="shared" si="0"/>
        <v>0</v>
      </c>
    </row>
    <row r="9" spans="1:8" x14ac:dyDescent="0.35">
      <c r="F9">
        <f t="shared" si="0"/>
        <v>0</v>
      </c>
    </row>
    <row r="10" spans="1:8" x14ac:dyDescent="0.35">
      <c r="F10">
        <f t="shared" si="0"/>
        <v>0</v>
      </c>
    </row>
    <row r="11" spans="1:8" x14ac:dyDescent="0.35">
      <c r="F11">
        <f t="shared" si="0"/>
        <v>0</v>
      </c>
    </row>
    <row r="12" spans="1:8" x14ac:dyDescent="0.35">
      <c r="F12">
        <f t="shared" si="0"/>
        <v>0</v>
      </c>
    </row>
    <row r="13" spans="1:8" x14ac:dyDescent="0.35">
      <c r="F13">
        <f t="shared" si="0"/>
        <v>0</v>
      </c>
    </row>
    <row r="14" spans="1:8" x14ac:dyDescent="0.35">
      <c r="F14">
        <f t="shared" si="0"/>
        <v>0</v>
      </c>
    </row>
    <row r="15" spans="1:8" x14ac:dyDescent="0.35">
      <c r="F15">
        <f t="shared" si="0"/>
        <v>0</v>
      </c>
    </row>
    <row r="16" spans="1:8" x14ac:dyDescent="0.35">
      <c r="F16">
        <f t="shared" si="0"/>
        <v>0</v>
      </c>
    </row>
    <row r="17" spans="6:6" x14ac:dyDescent="0.35">
      <c r="F17">
        <f t="shared" si="0"/>
        <v>0</v>
      </c>
    </row>
    <row r="18" spans="6:6" x14ac:dyDescent="0.35">
      <c r="F18">
        <f t="shared" si="0"/>
        <v>0</v>
      </c>
    </row>
    <row r="19" spans="6:6" x14ac:dyDescent="0.35">
      <c r="F19">
        <f t="shared" si="0"/>
        <v>0</v>
      </c>
    </row>
    <row r="20" spans="6:6" x14ac:dyDescent="0.35">
      <c r="F20">
        <f t="shared" si="0"/>
        <v>0</v>
      </c>
    </row>
    <row r="21" spans="6:6" x14ac:dyDescent="0.35">
      <c r="F21">
        <f t="shared" si="0"/>
        <v>0</v>
      </c>
    </row>
    <row r="22" spans="6:6" x14ac:dyDescent="0.35">
      <c r="F22">
        <f t="shared" si="0"/>
        <v>0</v>
      </c>
    </row>
    <row r="23" spans="6:6" x14ac:dyDescent="0.35">
      <c r="F23">
        <f t="shared" si="0"/>
        <v>0</v>
      </c>
    </row>
    <row r="24" spans="6:6" x14ac:dyDescent="0.35">
      <c r="F24">
        <f t="shared" si="0"/>
        <v>0</v>
      </c>
    </row>
    <row r="25" spans="6:6" x14ac:dyDescent="0.35">
      <c r="F25">
        <f t="shared" si="0"/>
        <v>0</v>
      </c>
    </row>
    <row r="26" spans="6:6" x14ac:dyDescent="0.35">
      <c r="F26">
        <f t="shared" si="0"/>
        <v>0</v>
      </c>
    </row>
    <row r="27" spans="6:6" x14ac:dyDescent="0.35">
      <c r="F27">
        <f t="shared" si="0"/>
        <v>0</v>
      </c>
    </row>
    <row r="28" spans="6:6" x14ac:dyDescent="0.35">
      <c r="F28">
        <f t="shared" si="0"/>
        <v>0</v>
      </c>
    </row>
    <row r="29" spans="6:6" x14ac:dyDescent="0.35">
      <c r="F29">
        <f t="shared" si="0"/>
        <v>0</v>
      </c>
    </row>
    <row r="30" spans="6:6" x14ac:dyDescent="0.35">
      <c r="F30">
        <f t="shared" si="0"/>
        <v>0</v>
      </c>
    </row>
    <row r="31" spans="6:6" x14ac:dyDescent="0.35">
      <c r="F31">
        <f t="shared" si="0"/>
        <v>0</v>
      </c>
    </row>
    <row r="32" spans="6:6" x14ac:dyDescent="0.35">
      <c r="F32">
        <f t="shared" si="0"/>
        <v>0</v>
      </c>
    </row>
    <row r="33" spans="6:6" x14ac:dyDescent="0.35">
      <c r="F33">
        <f t="shared" si="0"/>
        <v>0</v>
      </c>
    </row>
    <row r="34" spans="6:6" x14ac:dyDescent="0.35">
      <c r="F34">
        <f t="shared" si="0"/>
        <v>0</v>
      </c>
    </row>
    <row r="35" spans="6:6" x14ac:dyDescent="0.35">
      <c r="F35">
        <f t="shared" si="0"/>
        <v>0</v>
      </c>
    </row>
    <row r="36" spans="6:6" x14ac:dyDescent="0.35">
      <c r="F36">
        <f t="shared" si="0"/>
        <v>0</v>
      </c>
    </row>
    <row r="37" spans="6:6" x14ac:dyDescent="0.35">
      <c r="F37">
        <f t="shared" si="0"/>
        <v>0</v>
      </c>
    </row>
    <row r="38" spans="6:6" x14ac:dyDescent="0.35">
      <c r="F38">
        <f t="shared" si="0"/>
        <v>0</v>
      </c>
    </row>
    <row r="39" spans="6:6" x14ac:dyDescent="0.35">
      <c r="F39">
        <f t="shared" si="0"/>
        <v>0</v>
      </c>
    </row>
    <row r="40" spans="6:6" x14ac:dyDescent="0.35">
      <c r="F40">
        <f t="shared" si="0"/>
        <v>0</v>
      </c>
    </row>
    <row r="41" spans="6:6" x14ac:dyDescent="0.35">
      <c r="F41">
        <f t="shared" si="0"/>
        <v>0</v>
      </c>
    </row>
    <row r="42" spans="6:6" x14ac:dyDescent="0.35">
      <c r="F42">
        <f t="shared" si="0"/>
        <v>0</v>
      </c>
    </row>
    <row r="43" spans="6:6" x14ac:dyDescent="0.35">
      <c r="F43">
        <f t="shared" si="0"/>
        <v>0</v>
      </c>
    </row>
    <row r="44" spans="6:6" x14ac:dyDescent="0.35">
      <c r="F44">
        <f t="shared" si="0"/>
        <v>0</v>
      </c>
    </row>
    <row r="45" spans="6:6" x14ac:dyDescent="0.35">
      <c r="F45">
        <f t="shared" si="0"/>
        <v>0</v>
      </c>
    </row>
    <row r="46" spans="6:6" x14ac:dyDescent="0.35">
      <c r="F46">
        <f t="shared" si="0"/>
        <v>0</v>
      </c>
    </row>
    <row r="47" spans="6:6" x14ac:dyDescent="0.35">
      <c r="F47">
        <f t="shared" si="0"/>
        <v>0</v>
      </c>
    </row>
    <row r="48" spans="6:6" x14ac:dyDescent="0.35">
      <c r="F48">
        <f t="shared" si="0"/>
        <v>0</v>
      </c>
    </row>
    <row r="49" spans="6:6" x14ac:dyDescent="0.35">
      <c r="F49">
        <f t="shared" si="0"/>
        <v>0</v>
      </c>
    </row>
    <row r="50" spans="6:6" x14ac:dyDescent="0.35">
      <c r="F50">
        <f t="shared" si="0"/>
        <v>0</v>
      </c>
    </row>
    <row r="51" spans="6:6" x14ac:dyDescent="0.35">
      <c r="F51">
        <f t="shared" si="0"/>
        <v>0</v>
      </c>
    </row>
    <row r="52" spans="6:6" x14ac:dyDescent="0.35">
      <c r="F52">
        <f t="shared" si="0"/>
        <v>0</v>
      </c>
    </row>
    <row r="53" spans="6:6" x14ac:dyDescent="0.35">
      <c r="F53">
        <f t="shared" si="0"/>
        <v>0</v>
      </c>
    </row>
    <row r="54" spans="6:6" x14ac:dyDescent="0.35">
      <c r="F54">
        <f t="shared" si="0"/>
        <v>0</v>
      </c>
    </row>
    <row r="55" spans="6:6" x14ac:dyDescent="0.35">
      <c r="F55">
        <f t="shared" si="0"/>
        <v>0</v>
      </c>
    </row>
    <row r="56" spans="6:6" x14ac:dyDescent="0.35">
      <c r="F56">
        <f t="shared" si="0"/>
        <v>0</v>
      </c>
    </row>
    <row r="57" spans="6:6" x14ac:dyDescent="0.35">
      <c r="F57">
        <f t="shared" si="0"/>
        <v>0</v>
      </c>
    </row>
    <row r="58" spans="6:6" x14ac:dyDescent="0.35">
      <c r="F58">
        <f t="shared" si="0"/>
        <v>0</v>
      </c>
    </row>
    <row r="59" spans="6:6" x14ac:dyDescent="0.35">
      <c r="F59">
        <f t="shared" si="0"/>
        <v>0</v>
      </c>
    </row>
    <row r="60" spans="6:6" x14ac:dyDescent="0.35">
      <c r="F60">
        <f t="shared" si="0"/>
        <v>0</v>
      </c>
    </row>
    <row r="61" spans="6:6" x14ac:dyDescent="0.35">
      <c r="F61">
        <f t="shared" si="0"/>
        <v>0</v>
      </c>
    </row>
    <row r="62" spans="6:6" x14ac:dyDescent="0.35">
      <c r="F62">
        <f t="shared" si="0"/>
        <v>0</v>
      </c>
    </row>
    <row r="63" spans="6:6" x14ac:dyDescent="0.35">
      <c r="F63">
        <f t="shared" si="0"/>
        <v>0</v>
      </c>
    </row>
    <row r="64" spans="6:6" x14ac:dyDescent="0.35">
      <c r="F64">
        <f t="shared" si="0"/>
        <v>0</v>
      </c>
    </row>
    <row r="65" spans="6:6" x14ac:dyDescent="0.35">
      <c r="F65">
        <f t="shared" si="0"/>
        <v>0</v>
      </c>
    </row>
    <row r="66" spans="6:6" x14ac:dyDescent="0.35">
      <c r="F66">
        <f t="shared" ref="F66:F129" si="1">IFERROR(D66*E66,0)</f>
        <v>0</v>
      </c>
    </row>
    <row r="67" spans="6:6" x14ac:dyDescent="0.35">
      <c r="F67">
        <f t="shared" si="1"/>
        <v>0</v>
      </c>
    </row>
    <row r="68" spans="6:6" x14ac:dyDescent="0.35">
      <c r="F68">
        <f t="shared" si="1"/>
        <v>0</v>
      </c>
    </row>
    <row r="69" spans="6:6" x14ac:dyDescent="0.35">
      <c r="F69">
        <f t="shared" si="1"/>
        <v>0</v>
      </c>
    </row>
    <row r="70" spans="6:6" x14ac:dyDescent="0.35">
      <c r="F70">
        <f t="shared" si="1"/>
        <v>0</v>
      </c>
    </row>
    <row r="71" spans="6:6" x14ac:dyDescent="0.35">
      <c r="F71">
        <f t="shared" si="1"/>
        <v>0</v>
      </c>
    </row>
    <row r="72" spans="6:6" x14ac:dyDescent="0.35">
      <c r="F72">
        <f t="shared" si="1"/>
        <v>0</v>
      </c>
    </row>
    <row r="73" spans="6:6" x14ac:dyDescent="0.35">
      <c r="F73">
        <f t="shared" si="1"/>
        <v>0</v>
      </c>
    </row>
    <row r="74" spans="6:6" x14ac:dyDescent="0.35">
      <c r="F74">
        <f t="shared" si="1"/>
        <v>0</v>
      </c>
    </row>
    <row r="75" spans="6:6" x14ac:dyDescent="0.35">
      <c r="F75">
        <f t="shared" si="1"/>
        <v>0</v>
      </c>
    </row>
    <row r="76" spans="6:6" x14ac:dyDescent="0.35">
      <c r="F76">
        <f t="shared" si="1"/>
        <v>0</v>
      </c>
    </row>
    <row r="77" spans="6:6" x14ac:dyDescent="0.35">
      <c r="F77">
        <f t="shared" si="1"/>
        <v>0</v>
      </c>
    </row>
    <row r="78" spans="6:6" x14ac:dyDescent="0.35">
      <c r="F78">
        <f t="shared" si="1"/>
        <v>0</v>
      </c>
    </row>
    <row r="79" spans="6:6" x14ac:dyDescent="0.35">
      <c r="F79">
        <f t="shared" si="1"/>
        <v>0</v>
      </c>
    </row>
    <row r="80" spans="6:6" x14ac:dyDescent="0.35">
      <c r="F80">
        <f t="shared" si="1"/>
        <v>0</v>
      </c>
    </row>
    <row r="81" spans="6:6" x14ac:dyDescent="0.35">
      <c r="F81">
        <f t="shared" si="1"/>
        <v>0</v>
      </c>
    </row>
    <row r="82" spans="6:6" x14ac:dyDescent="0.35">
      <c r="F82">
        <f t="shared" si="1"/>
        <v>0</v>
      </c>
    </row>
    <row r="83" spans="6:6" x14ac:dyDescent="0.35">
      <c r="F83">
        <f t="shared" si="1"/>
        <v>0</v>
      </c>
    </row>
    <row r="84" spans="6:6" x14ac:dyDescent="0.35">
      <c r="F84">
        <f t="shared" si="1"/>
        <v>0</v>
      </c>
    </row>
    <row r="85" spans="6:6" x14ac:dyDescent="0.35">
      <c r="F85">
        <f t="shared" si="1"/>
        <v>0</v>
      </c>
    </row>
    <row r="86" spans="6:6" x14ac:dyDescent="0.35">
      <c r="F86">
        <f t="shared" si="1"/>
        <v>0</v>
      </c>
    </row>
    <row r="87" spans="6:6" x14ac:dyDescent="0.35">
      <c r="F87">
        <f t="shared" si="1"/>
        <v>0</v>
      </c>
    </row>
    <row r="88" spans="6:6" x14ac:dyDescent="0.35">
      <c r="F88">
        <f t="shared" si="1"/>
        <v>0</v>
      </c>
    </row>
    <row r="89" spans="6:6" x14ac:dyDescent="0.35">
      <c r="F89">
        <f t="shared" si="1"/>
        <v>0</v>
      </c>
    </row>
    <row r="90" spans="6:6" x14ac:dyDescent="0.35">
      <c r="F90">
        <f t="shared" si="1"/>
        <v>0</v>
      </c>
    </row>
    <row r="91" spans="6:6" x14ac:dyDescent="0.35">
      <c r="F91">
        <f t="shared" si="1"/>
        <v>0</v>
      </c>
    </row>
    <row r="92" spans="6:6" x14ac:dyDescent="0.35">
      <c r="F92">
        <f t="shared" si="1"/>
        <v>0</v>
      </c>
    </row>
    <row r="93" spans="6:6" x14ac:dyDescent="0.35">
      <c r="F93">
        <f t="shared" si="1"/>
        <v>0</v>
      </c>
    </row>
    <row r="94" spans="6:6" x14ac:dyDescent="0.35">
      <c r="F94">
        <f t="shared" si="1"/>
        <v>0</v>
      </c>
    </row>
    <row r="95" spans="6:6" x14ac:dyDescent="0.35">
      <c r="F95">
        <f t="shared" si="1"/>
        <v>0</v>
      </c>
    </row>
    <row r="96" spans="6:6" x14ac:dyDescent="0.35">
      <c r="F96">
        <f t="shared" si="1"/>
        <v>0</v>
      </c>
    </row>
    <row r="97" spans="6:6" x14ac:dyDescent="0.35">
      <c r="F97">
        <f t="shared" si="1"/>
        <v>0</v>
      </c>
    </row>
    <row r="98" spans="6:6" x14ac:dyDescent="0.35">
      <c r="F98">
        <f t="shared" si="1"/>
        <v>0</v>
      </c>
    </row>
    <row r="99" spans="6:6" x14ac:dyDescent="0.35">
      <c r="F99">
        <f t="shared" si="1"/>
        <v>0</v>
      </c>
    </row>
    <row r="100" spans="6:6" x14ac:dyDescent="0.35">
      <c r="F100">
        <f t="shared" si="1"/>
        <v>0</v>
      </c>
    </row>
    <row r="101" spans="6:6" x14ac:dyDescent="0.35">
      <c r="F101">
        <f t="shared" si="1"/>
        <v>0</v>
      </c>
    </row>
    <row r="102" spans="6:6" x14ac:dyDescent="0.35">
      <c r="F102">
        <f t="shared" si="1"/>
        <v>0</v>
      </c>
    </row>
    <row r="103" spans="6:6" x14ac:dyDescent="0.35">
      <c r="F103">
        <f t="shared" si="1"/>
        <v>0</v>
      </c>
    </row>
    <row r="104" spans="6:6" x14ac:dyDescent="0.35">
      <c r="F104">
        <f t="shared" si="1"/>
        <v>0</v>
      </c>
    </row>
    <row r="105" spans="6:6" x14ac:dyDescent="0.35">
      <c r="F105">
        <f t="shared" si="1"/>
        <v>0</v>
      </c>
    </row>
    <row r="106" spans="6:6" x14ac:dyDescent="0.35">
      <c r="F106">
        <f t="shared" si="1"/>
        <v>0</v>
      </c>
    </row>
    <row r="107" spans="6:6" x14ac:dyDescent="0.35">
      <c r="F107">
        <f t="shared" si="1"/>
        <v>0</v>
      </c>
    </row>
    <row r="108" spans="6:6" x14ac:dyDescent="0.35">
      <c r="F108">
        <f t="shared" si="1"/>
        <v>0</v>
      </c>
    </row>
    <row r="109" spans="6:6" x14ac:dyDescent="0.35">
      <c r="F109">
        <f t="shared" si="1"/>
        <v>0</v>
      </c>
    </row>
    <row r="110" spans="6:6" x14ac:dyDescent="0.35">
      <c r="F110">
        <f t="shared" si="1"/>
        <v>0</v>
      </c>
    </row>
    <row r="111" spans="6:6" x14ac:dyDescent="0.35">
      <c r="F111">
        <f t="shared" si="1"/>
        <v>0</v>
      </c>
    </row>
    <row r="112" spans="6:6" x14ac:dyDescent="0.35">
      <c r="F112">
        <f t="shared" si="1"/>
        <v>0</v>
      </c>
    </row>
    <row r="113" spans="6:6" x14ac:dyDescent="0.35">
      <c r="F113">
        <f t="shared" si="1"/>
        <v>0</v>
      </c>
    </row>
    <row r="114" spans="6:6" x14ac:dyDescent="0.35">
      <c r="F114">
        <f t="shared" si="1"/>
        <v>0</v>
      </c>
    </row>
    <row r="115" spans="6:6" x14ac:dyDescent="0.35">
      <c r="F115">
        <f t="shared" si="1"/>
        <v>0</v>
      </c>
    </row>
    <row r="116" spans="6:6" x14ac:dyDescent="0.35">
      <c r="F116">
        <f t="shared" si="1"/>
        <v>0</v>
      </c>
    </row>
    <row r="117" spans="6:6" x14ac:dyDescent="0.35">
      <c r="F117">
        <f t="shared" si="1"/>
        <v>0</v>
      </c>
    </row>
    <row r="118" spans="6:6" x14ac:dyDescent="0.35">
      <c r="F118">
        <f t="shared" si="1"/>
        <v>0</v>
      </c>
    </row>
    <row r="119" spans="6:6" x14ac:dyDescent="0.35">
      <c r="F119">
        <f t="shared" si="1"/>
        <v>0</v>
      </c>
    </row>
    <row r="120" spans="6:6" x14ac:dyDescent="0.35">
      <c r="F120">
        <f t="shared" si="1"/>
        <v>0</v>
      </c>
    </row>
    <row r="121" spans="6:6" x14ac:dyDescent="0.35">
      <c r="F121">
        <f t="shared" si="1"/>
        <v>0</v>
      </c>
    </row>
    <row r="122" spans="6:6" x14ac:dyDescent="0.35">
      <c r="F122">
        <f t="shared" si="1"/>
        <v>0</v>
      </c>
    </row>
    <row r="123" spans="6:6" x14ac:dyDescent="0.35">
      <c r="F123">
        <f t="shared" si="1"/>
        <v>0</v>
      </c>
    </row>
    <row r="124" spans="6:6" x14ac:dyDescent="0.35">
      <c r="F124">
        <f t="shared" si="1"/>
        <v>0</v>
      </c>
    </row>
    <row r="125" spans="6:6" x14ac:dyDescent="0.35">
      <c r="F125">
        <f t="shared" si="1"/>
        <v>0</v>
      </c>
    </row>
    <row r="126" spans="6:6" x14ac:dyDescent="0.35">
      <c r="F126">
        <f t="shared" si="1"/>
        <v>0</v>
      </c>
    </row>
    <row r="127" spans="6:6" x14ac:dyDescent="0.35">
      <c r="F127">
        <f t="shared" si="1"/>
        <v>0</v>
      </c>
    </row>
    <row r="128" spans="6:6" x14ac:dyDescent="0.35">
      <c r="F128">
        <f t="shared" si="1"/>
        <v>0</v>
      </c>
    </row>
    <row r="129" spans="6:6" x14ac:dyDescent="0.35">
      <c r="F129">
        <f t="shared" si="1"/>
        <v>0</v>
      </c>
    </row>
    <row r="130" spans="6:6" x14ac:dyDescent="0.35">
      <c r="F130">
        <f t="shared" ref="F130:F193" si="2">IFERROR(D130*E130,0)</f>
        <v>0</v>
      </c>
    </row>
    <row r="131" spans="6:6" x14ac:dyDescent="0.35">
      <c r="F131">
        <f t="shared" si="2"/>
        <v>0</v>
      </c>
    </row>
    <row r="132" spans="6:6" x14ac:dyDescent="0.35">
      <c r="F132">
        <f t="shared" si="2"/>
        <v>0</v>
      </c>
    </row>
    <row r="133" spans="6:6" x14ac:dyDescent="0.35">
      <c r="F133">
        <f t="shared" si="2"/>
        <v>0</v>
      </c>
    </row>
    <row r="134" spans="6:6" x14ac:dyDescent="0.35">
      <c r="F134">
        <f t="shared" si="2"/>
        <v>0</v>
      </c>
    </row>
    <row r="135" spans="6:6" x14ac:dyDescent="0.35">
      <c r="F135">
        <f t="shared" si="2"/>
        <v>0</v>
      </c>
    </row>
    <row r="136" spans="6:6" x14ac:dyDescent="0.35">
      <c r="F136">
        <f t="shared" si="2"/>
        <v>0</v>
      </c>
    </row>
    <row r="137" spans="6:6" x14ac:dyDescent="0.35">
      <c r="F137">
        <f t="shared" si="2"/>
        <v>0</v>
      </c>
    </row>
    <row r="138" spans="6:6" x14ac:dyDescent="0.35">
      <c r="F138">
        <f t="shared" si="2"/>
        <v>0</v>
      </c>
    </row>
    <row r="139" spans="6:6" x14ac:dyDescent="0.35">
      <c r="F139">
        <f t="shared" si="2"/>
        <v>0</v>
      </c>
    </row>
    <row r="140" spans="6:6" x14ac:dyDescent="0.35">
      <c r="F140">
        <f t="shared" si="2"/>
        <v>0</v>
      </c>
    </row>
    <row r="141" spans="6:6" x14ac:dyDescent="0.35">
      <c r="F141">
        <f t="shared" si="2"/>
        <v>0</v>
      </c>
    </row>
    <row r="142" spans="6:6" x14ac:dyDescent="0.35">
      <c r="F142">
        <f t="shared" si="2"/>
        <v>0</v>
      </c>
    </row>
    <row r="143" spans="6:6" x14ac:dyDescent="0.35">
      <c r="F143">
        <f t="shared" si="2"/>
        <v>0</v>
      </c>
    </row>
    <row r="144" spans="6:6" x14ac:dyDescent="0.35">
      <c r="F144">
        <f t="shared" si="2"/>
        <v>0</v>
      </c>
    </row>
    <row r="145" spans="6:6" x14ac:dyDescent="0.35">
      <c r="F145">
        <f t="shared" si="2"/>
        <v>0</v>
      </c>
    </row>
    <row r="146" spans="6:6" x14ac:dyDescent="0.35">
      <c r="F146">
        <f t="shared" si="2"/>
        <v>0</v>
      </c>
    </row>
    <row r="147" spans="6:6" x14ac:dyDescent="0.35">
      <c r="F147">
        <f t="shared" si="2"/>
        <v>0</v>
      </c>
    </row>
    <row r="148" spans="6:6" x14ac:dyDescent="0.35">
      <c r="F148">
        <f t="shared" si="2"/>
        <v>0</v>
      </c>
    </row>
    <row r="149" spans="6:6" x14ac:dyDescent="0.35">
      <c r="F149">
        <f t="shared" si="2"/>
        <v>0</v>
      </c>
    </row>
    <row r="150" spans="6:6" x14ac:dyDescent="0.35">
      <c r="F150">
        <f t="shared" si="2"/>
        <v>0</v>
      </c>
    </row>
    <row r="151" spans="6:6" x14ac:dyDescent="0.35">
      <c r="F151">
        <f t="shared" si="2"/>
        <v>0</v>
      </c>
    </row>
    <row r="152" spans="6:6" x14ac:dyDescent="0.35">
      <c r="F152">
        <f t="shared" si="2"/>
        <v>0</v>
      </c>
    </row>
    <row r="153" spans="6:6" x14ac:dyDescent="0.35">
      <c r="F153">
        <f t="shared" si="2"/>
        <v>0</v>
      </c>
    </row>
    <row r="154" spans="6:6" x14ac:dyDescent="0.35">
      <c r="F154">
        <f t="shared" si="2"/>
        <v>0</v>
      </c>
    </row>
    <row r="155" spans="6:6" x14ac:dyDescent="0.35">
      <c r="F155">
        <f t="shared" si="2"/>
        <v>0</v>
      </c>
    </row>
    <row r="156" spans="6:6" x14ac:dyDescent="0.35">
      <c r="F156">
        <f t="shared" si="2"/>
        <v>0</v>
      </c>
    </row>
    <row r="157" spans="6:6" x14ac:dyDescent="0.35">
      <c r="F157">
        <f t="shared" si="2"/>
        <v>0</v>
      </c>
    </row>
    <row r="158" spans="6:6" x14ac:dyDescent="0.35">
      <c r="F158">
        <f t="shared" si="2"/>
        <v>0</v>
      </c>
    </row>
    <row r="159" spans="6:6" x14ac:dyDescent="0.35">
      <c r="F159">
        <f t="shared" si="2"/>
        <v>0</v>
      </c>
    </row>
    <row r="160" spans="6:6" x14ac:dyDescent="0.35">
      <c r="F160">
        <f t="shared" si="2"/>
        <v>0</v>
      </c>
    </row>
    <row r="161" spans="6:6" x14ac:dyDescent="0.35">
      <c r="F161">
        <f t="shared" si="2"/>
        <v>0</v>
      </c>
    </row>
    <row r="162" spans="6:6" x14ac:dyDescent="0.35">
      <c r="F162">
        <f t="shared" si="2"/>
        <v>0</v>
      </c>
    </row>
    <row r="163" spans="6:6" x14ac:dyDescent="0.35">
      <c r="F163">
        <f t="shared" si="2"/>
        <v>0</v>
      </c>
    </row>
    <row r="164" spans="6:6" x14ac:dyDescent="0.35">
      <c r="F164">
        <f t="shared" si="2"/>
        <v>0</v>
      </c>
    </row>
    <row r="165" spans="6:6" x14ac:dyDescent="0.35">
      <c r="F165">
        <f t="shared" si="2"/>
        <v>0</v>
      </c>
    </row>
    <row r="166" spans="6:6" x14ac:dyDescent="0.35">
      <c r="F166">
        <f t="shared" si="2"/>
        <v>0</v>
      </c>
    </row>
    <row r="167" spans="6:6" x14ac:dyDescent="0.35">
      <c r="F167">
        <f t="shared" si="2"/>
        <v>0</v>
      </c>
    </row>
    <row r="168" spans="6:6" x14ac:dyDescent="0.35">
      <c r="F168">
        <f t="shared" si="2"/>
        <v>0</v>
      </c>
    </row>
    <row r="169" spans="6:6" x14ac:dyDescent="0.35">
      <c r="F169">
        <f t="shared" si="2"/>
        <v>0</v>
      </c>
    </row>
    <row r="170" spans="6:6" x14ac:dyDescent="0.35">
      <c r="F170">
        <f t="shared" si="2"/>
        <v>0</v>
      </c>
    </row>
    <row r="171" spans="6:6" x14ac:dyDescent="0.35">
      <c r="F171">
        <f t="shared" si="2"/>
        <v>0</v>
      </c>
    </row>
    <row r="172" spans="6:6" x14ac:dyDescent="0.35">
      <c r="F172">
        <f t="shared" si="2"/>
        <v>0</v>
      </c>
    </row>
    <row r="173" spans="6:6" x14ac:dyDescent="0.35">
      <c r="F173">
        <f t="shared" si="2"/>
        <v>0</v>
      </c>
    </row>
    <row r="174" spans="6:6" x14ac:dyDescent="0.35">
      <c r="F174">
        <f t="shared" si="2"/>
        <v>0</v>
      </c>
    </row>
    <row r="175" spans="6:6" x14ac:dyDescent="0.35">
      <c r="F175">
        <f t="shared" si="2"/>
        <v>0</v>
      </c>
    </row>
    <row r="176" spans="6:6" x14ac:dyDescent="0.35">
      <c r="F176">
        <f t="shared" si="2"/>
        <v>0</v>
      </c>
    </row>
    <row r="177" spans="6:6" x14ac:dyDescent="0.35">
      <c r="F177">
        <f t="shared" si="2"/>
        <v>0</v>
      </c>
    </row>
    <row r="178" spans="6:6" x14ac:dyDescent="0.35">
      <c r="F178">
        <f t="shared" si="2"/>
        <v>0</v>
      </c>
    </row>
    <row r="179" spans="6:6" x14ac:dyDescent="0.35">
      <c r="F179">
        <f t="shared" si="2"/>
        <v>0</v>
      </c>
    </row>
    <row r="180" spans="6:6" x14ac:dyDescent="0.35">
      <c r="F180">
        <f t="shared" si="2"/>
        <v>0</v>
      </c>
    </row>
    <row r="181" spans="6:6" x14ac:dyDescent="0.35">
      <c r="F181">
        <f t="shared" si="2"/>
        <v>0</v>
      </c>
    </row>
    <row r="182" spans="6:6" x14ac:dyDescent="0.35">
      <c r="F182">
        <f t="shared" si="2"/>
        <v>0</v>
      </c>
    </row>
    <row r="183" spans="6:6" x14ac:dyDescent="0.35">
      <c r="F183">
        <f t="shared" si="2"/>
        <v>0</v>
      </c>
    </row>
    <row r="184" spans="6:6" x14ac:dyDescent="0.35">
      <c r="F184">
        <f t="shared" si="2"/>
        <v>0</v>
      </c>
    </row>
    <row r="185" spans="6:6" x14ac:dyDescent="0.35">
      <c r="F185">
        <f t="shared" si="2"/>
        <v>0</v>
      </c>
    </row>
    <row r="186" spans="6:6" x14ac:dyDescent="0.35">
      <c r="F186">
        <f t="shared" si="2"/>
        <v>0</v>
      </c>
    </row>
    <row r="187" spans="6:6" x14ac:dyDescent="0.35">
      <c r="F187">
        <f t="shared" si="2"/>
        <v>0</v>
      </c>
    </row>
    <row r="188" spans="6:6" x14ac:dyDescent="0.35">
      <c r="F188">
        <f t="shared" si="2"/>
        <v>0</v>
      </c>
    </row>
    <row r="189" spans="6:6" x14ac:dyDescent="0.35">
      <c r="F189">
        <f t="shared" si="2"/>
        <v>0</v>
      </c>
    </row>
    <row r="190" spans="6:6" x14ac:dyDescent="0.35">
      <c r="F190">
        <f t="shared" si="2"/>
        <v>0</v>
      </c>
    </row>
    <row r="191" spans="6:6" x14ac:dyDescent="0.35">
      <c r="F191">
        <f t="shared" si="2"/>
        <v>0</v>
      </c>
    </row>
    <row r="192" spans="6:6" x14ac:dyDescent="0.35">
      <c r="F192">
        <f t="shared" si="2"/>
        <v>0</v>
      </c>
    </row>
    <row r="193" spans="6:6" x14ac:dyDescent="0.35">
      <c r="F193">
        <f t="shared" si="2"/>
        <v>0</v>
      </c>
    </row>
    <row r="194" spans="6:6" x14ac:dyDescent="0.35">
      <c r="F194">
        <f t="shared" ref="F194:F257" si="3">IFERROR(D194*E194,0)</f>
        <v>0</v>
      </c>
    </row>
    <row r="195" spans="6:6" x14ac:dyDescent="0.35">
      <c r="F195">
        <f t="shared" si="3"/>
        <v>0</v>
      </c>
    </row>
    <row r="196" spans="6:6" x14ac:dyDescent="0.35">
      <c r="F196">
        <f t="shared" si="3"/>
        <v>0</v>
      </c>
    </row>
    <row r="197" spans="6:6" x14ac:dyDescent="0.35">
      <c r="F197">
        <f t="shared" si="3"/>
        <v>0</v>
      </c>
    </row>
    <row r="198" spans="6:6" x14ac:dyDescent="0.35">
      <c r="F198">
        <f t="shared" si="3"/>
        <v>0</v>
      </c>
    </row>
    <row r="199" spans="6:6" x14ac:dyDescent="0.35">
      <c r="F199">
        <f t="shared" si="3"/>
        <v>0</v>
      </c>
    </row>
    <row r="200" spans="6:6" x14ac:dyDescent="0.35">
      <c r="F200">
        <f t="shared" si="3"/>
        <v>0</v>
      </c>
    </row>
    <row r="201" spans="6:6" x14ac:dyDescent="0.35">
      <c r="F201">
        <f t="shared" si="3"/>
        <v>0</v>
      </c>
    </row>
    <row r="202" spans="6:6" x14ac:dyDescent="0.35">
      <c r="F202">
        <f t="shared" si="3"/>
        <v>0</v>
      </c>
    </row>
    <row r="203" spans="6:6" x14ac:dyDescent="0.35">
      <c r="F203">
        <f t="shared" si="3"/>
        <v>0</v>
      </c>
    </row>
    <row r="204" spans="6:6" x14ac:dyDescent="0.35">
      <c r="F204">
        <f t="shared" si="3"/>
        <v>0</v>
      </c>
    </row>
    <row r="205" spans="6:6" x14ac:dyDescent="0.35">
      <c r="F205">
        <f t="shared" si="3"/>
        <v>0</v>
      </c>
    </row>
    <row r="206" spans="6:6" x14ac:dyDescent="0.35">
      <c r="F206">
        <f t="shared" si="3"/>
        <v>0</v>
      </c>
    </row>
    <row r="207" spans="6:6" x14ac:dyDescent="0.35">
      <c r="F207">
        <f t="shared" si="3"/>
        <v>0</v>
      </c>
    </row>
    <row r="208" spans="6:6" x14ac:dyDescent="0.35">
      <c r="F208">
        <f t="shared" si="3"/>
        <v>0</v>
      </c>
    </row>
    <row r="209" spans="6:6" x14ac:dyDescent="0.35">
      <c r="F209">
        <f t="shared" si="3"/>
        <v>0</v>
      </c>
    </row>
    <row r="210" spans="6:6" x14ac:dyDescent="0.35">
      <c r="F210">
        <f t="shared" si="3"/>
        <v>0</v>
      </c>
    </row>
    <row r="211" spans="6:6" x14ac:dyDescent="0.35">
      <c r="F211">
        <f t="shared" si="3"/>
        <v>0</v>
      </c>
    </row>
    <row r="212" spans="6:6" x14ac:dyDescent="0.35">
      <c r="F212">
        <f t="shared" si="3"/>
        <v>0</v>
      </c>
    </row>
    <row r="213" spans="6:6" x14ac:dyDescent="0.35">
      <c r="F213">
        <f t="shared" si="3"/>
        <v>0</v>
      </c>
    </row>
    <row r="214" spans="6:6" x14ac:dyDescent="0.35">
      <c r="F214">
        <f t="shared" si="3"/>
        <v>0</v>
      </c>
    </row>
    <row r="215" spans="6:6" x14ac:dyDescent="0.35">
      <c r="F215">
        <f t="shared" si="3"/>
        <v>0</v>
      </c>
    </row>
    <row r="216" spans="6:6" x14ac:dyDescent="0.35">
      <c r="F216">
        <f t="shared" si="3"/>
        <v>0</v>
      </c>
    </row>
    <row r="217" spans="6:6" x14ac:dyDescent="0.35">
      <c r="F217">
        <f t="shared" si="3"/>
        <v>0</v>
      </c>
    </row>
    <row r="218" spans="6:6" x14ac:dyDescent="0.35">
      <c r="F218">
        <f t="shared" si="3"/>
        <v>0</v>
      </c>
    </row>
    <row r="219" spans="6:6" x14ac:dyDescent="0.35">
      <c r="F219">
        <f t="shared" si="3"/>
        <v>0</v>
      </c>
    </row>
    <row r="220" spans="6:6" x14ac:dyDescent="0.35">
      <c r="F220">
        <f t="shared" si="3"/>
        <v>0</v>
      </c>
    </row>
    <row r="221" spans="6:6" x14ac:dyDescent="0.35">
      <c r="F221">
        <f t="shared" si="3"/>
        <v>0</v>
      </c>
    </row>
    <row r="222" spans="6:6" x14ac:dyDescent="0.35">
      <c r="F222">
        <f t="shared" si="3"/>
        <v>0</v>
      </c>
    </row>
    <row r="223" spans="6:6" x14ac:dyDescent="0.35">
      <c r="F223">
        <f t="shared" si="3"/>
        <v>0</v>
      </c>
    </row>
    <row r="224" spans="6:6" x14ac:dyDescent="0.35">
      <c r="F224">
        <f t="shared" si="3"/>
        <v>0</v>
      </c>
    </row>
    <row r="225" spans="6:6" x14ac:dyDescent="0.35">
      <c r="F225">
        <f t="shared" si="3"/>
        <v>0</v>
      </c>
    </row>
    <row r="226" spans="6:6" x14ac:dyDescent="0.35">
      <c r="F226">
        <f t="shared" si="3"/>
        <v>0</v>
      </c>
    </row>
    <row r="227" spans="6:6" x14ac:dyDescent="0.35">
      <c r="F227">
        <f t="shared" si="3"/>
        <v>0</v>
      </c>
    </row>
    <row r="228" spans="6:6" x14ac:dyDescent="0.35">
      <c r="F228">
        <f t="shared" si="3"/>
        <v>0</v>
      </c>
    </row>
    <row r="229" spans="6:6" x14ac:dyDescent="0.35">
      <c r="F229">
        <f t="shared" si="3"/>
        <v>0</v>
      </c>
    </row>
    <row r="230" spans="6:6" x14ac:dyDescent="0.35">
      <c r="F230">
        <f t="shared" si="3"/>
        <v>0</v>
      </c>
    </row>
    <row r="231" spans="6:6" x14ac:dyDescent="0.35">
      <c r="F231">
        <f t="shared" si="3"/>
        <v>0</v>
      </c>
    </row>
    <row r="232" spans="6:6" x14ac:dyDescent="0.35">
      <c r="F232">
        <f t="shared" si="3"/>
        <v>0</v>
      </c>
    </row>
    <row r="233" spans="6:6" x14ac:dyDescent="0.35">
      <c r="F233">
        <f t="shared" si="3"/>
        <v>0</v>
      </c>
    </row>
    <row r="234" spans="6:6" x14ac:dyDescent="0.35">
      <c r="F234">
        <f t="shared" si="3"/>
        <v>0</v>
      </c>
    </row>
    <row r="235" spans="6:6" x14ac:dyDescent="0.35">
      <c r="F235">
        <f t="shared" si="3"/>
        <v>0</v>
      </c>
    </row>
    <row r="236" spans="6:6" x14ac:dyDescent="0.35">
      <c r="F236">
        <f t="shared" si="3"/>
        <v>0</v>
      </c>
    </row>
    <row r="237" spans="6:6" x14ac:dyDescent="0.35">
      <c r="F237">
        <f t="shared" si="3"/>
        <v>0</v>
      </c>
    </row>
    <row r="238" spans="6:6" x14ac:dyDescent="0.35">
      <c r="F238">
        <f t="shared" si="3"/>
        <v>0</v>
      </c>
    </row>
    <row r="239" spans="6:6" x14ac:dyDescent="0.35">
      <c r="F239">
        <f t="shared" si="3"/>
        <v>0</v>
      </c>
    </row>
    <row r="240" spans="6:6" x14ac:dyDescent="0.35">
      <c r="F240">
        <f t="shared" si="3"/>
        <v>0</v>
      </c>
    </row>
    <row r="241" spans="6:6" x14ac:dyDescent="0.35">
      <c r="F241">
        <f t="shared" si="3"/>
        <v>0</v>
      </c>
    </row>
    <row r="242" spans="6:6" x14ac:dyDescent="0.35">
      <c r="F242">
        <f t="shared" si="3"/>
        <v>0</v>
      </c>
    </row>
    <row r="243" spans="6:6" x14ac:dyDescent="0.35">
      <c r="F243">
        <f t="shared" si="3"/>
        <v>0</v>
      </c>
    </row>
    <row r="244" spans="6:6" x14ac:dyDescent="0.35">
      <c r="F244">
        <f t="shared" si="3"/>
        <v>0</v>
      </c>
    </row>
    <row r="245" spans="6:6" x14ac:dyDescent="0.35">
      <c r="F245">
        <f t="shared" si="3"/>
        <v>0</v>
      </c>
    </row>
    <row r="246" spans="6:6" x14ac:dyDescent="0.35">
      <c r="F246">
        <f t="shared" si="3"/>
        <v>0</v>
      </c>
    </row>
    <row r="247" spans="6:6" x14ac:dyDescent="0.35">
      <c r="F247">
        <f t="shared" si="3"/>
        <v>0</v>
      </c>
    </row>
    <row r="248" spans="6:6" x14ac:dyDescent="0.35">
      <c r="F248">
        <f t="shared" si="3"/>
        <v>0</v>
      </c>
    </row>
    <row r="249" spans="6:6" x14ac:dyDescent="0.35">
      <c r="F249">
        <f t="shared" si="3"/>
        <v>0</v>
      </c>
    </row>
    <row r="250" spans="6:6" x14ac:dyDescent="0.35">
      <c r="F250">
        <f t="shared" si="3"/>
        <v>0</v>
      </c>
    </row>
    <row r="251" spans="6:6" x14ac:dyDescent="0.35">
      <c r="F251">
        <f t="shared" si="3"/>
        <v>0</v>
      </c>
    </row>
    <row r="252" spans="6:6" x14ac:dyDescent="0.35">
      <c r="F252">
        <f t="shared" si="3"/>
        <v>0</v>
      </c>
    </row>
    <row r="253" spans="6:6" x14ac:dyDescent="0.35">
      <c r="F253">
        <f t="shared" si="3"/>
        <v>0</v>
      </c>
    </row>
    <row r="254" spans="6:6" x14ac:dyDescent="0.35">
      <c r="F254">
        <f t="shared" si="3"/>
        <v>0</v>
      </c>
    </row>
    <row r="255" spans="6:6" x14ac:dyDescent="0.35">
      <c r="F255">
        <f t="shared" si="3"/>
        <v>0</v>
      </c>
    </row>
    <row r="256" spans="6:6" x14ac:dyDescent="0.35">
      <c r="F256">
        <f t="shared" si="3"/>
        <v>0</v>
      </c>
    </row>
    <row r="257" spans="6:6" x14ac:dyDescent="0.35">
      <c r="F257">
        <f t="shared" si="3"/>
        <v>0</v>
      </c>
    </row>
    <row r="258" spans="6:6" x14ac:dyDescent="0.35">
      <c r="F258">
        <f t="shared" ref="F258:F321" si="4">IFERROR(D258*E258,0)</f>
        <v>0</v>
      </c>
    </row>
    <row r="259" spans="6:6" x14ac:dyDescent="0.35">
      <c r="F259">
        <f t="shared" si="4"/>
        <v>0</v>
      </c>
    </row>
    <row r="260" spans="6:6" x14ac:dyDescent="0.35">
      <c r="F260">
        <f t="shared" si="4"/>
        <v>0</v>
      </c>
    </row>
    <row r="261" spans="6:6" x14ac:dyDescent="0.35">
      <c r="F261">
        <f t="shared" si="4"/>
        <v>0</v>
      </c>
    </row>
    <row r="262" spans="6:6" x14ac:dyDescent="0.35">
      <c r="F262">
        <f t="shared" si="4"/>
        <v>0</v>
      </c>
    </row>
    <row r="263" spans="6:6" x14ac:dyDescent="0.35">
      <c r="F263">
        <f t="shared" si="4"/>
        <v>0</v>
      </c>
    </row>
    <row r="264" spans="6:6" x14ac:dyDescent="0.35">
      <c r="F264">
        <f t="shared" si="4"/>
        <v>0</v>
      </c>
    </row>
    <row r="265" spans="6:6" x14ac:dyDescent="0.35">
      <c r="F265">
        <f t="shared" si="4"/>
        <v>0</v>
      </c>
    </row>
    <row r="266" spans="6:6" x14ac:dyDescent="0.35">
      <c r="F266">
        <f t="shared" si="4"/>
        <v>0</v>
      </c>
    </row>
    <row r="267" spans="6:6" x14ac:dyDescent="0.35">
      <c r="F267">
        <f t="shared" si="4"/>
        <v>0</v>
      </c>
    </row>
    <row r="268" spans="6:6" x14ac:dyDescent="0.35">
      <c r="F268">
        <f t="shared" si="4"/>
        <v>0</v>
      </c>
    </row>
    <row r="269" spans="6:6" x14ac:dyDescent="0.35">
      <c r="F269">
        <f t="shared" si="4"/>
        <v>0</v>
      </c>
    </row>
    <row r="270" spans="6:6" x14ac:dyDescent="0.35">
      <c r="F270">
        <f t="shared" si="4"/>
        <v>0</v>
      </c>
    </row>
    <row r="271" spans="6:6" x14ac:dyDescent="0.35">
      <c r="F271">
        <f t="shared" si="4"/>
        <v>0</v>
      </c>
    </row>
    <row r="272" spans="6:6" x14ac:dyDescent="0.35">
      <c r="F272">
        <f t="shared" si="4"/>
        <v>0</v>
      </c>
    </row>
    <row r="273" spans="6:6" x14ac:dyDescent="0.35">
      <c r="F273">
        <f t="shared" si="4"/>
        <v>0</v>
      </c>
    </row>
    <row r="274" spans="6:6" x14ac:dyDescent="0.35">
      <c r="F274">
        <f t="shared" si="4"/>
        <v>0</v>
      </c>
    </row>
    <row r="275" spans="6:6" x14ac:dyDescent="0.35">
      <c r="F275">
        <f t="shared" si="4"/>
        <v>0</v>
      </c>
    </row>
    <row r="276" spans="6:6" x14ac:dyDescent="0.35">
      <c r="F276">
        <f t="shared" si="4"/>
        <v>0</v>
      </c>
    </row>
    <row r="277" spans="6:6" x14ac:dyDescent="0.35">
      <c r="F277">
        <f t="shared" si="4"/>
        <v>0</v>
      </c>
    </row>
    <row r="278" spans="6:6" x14ac:dyDescent="0.35">
      <c r="F278">
        <f t="shared" si="4"/>
        <v>0</v>
      </c>
    </row>
    <row r="279" spans="6:6" x14ac:dyDescent="0.35">
      <c r="F279">
        <f t="shared" si="4"/>
        <v>0</v>
      </c>
    </row>
    <row r="280" spans="6:6" x14ac:dyDescent="0.35">
      <c r="F280">
        <f t="shared" si="4"/>
        <v>0</v>
      </c>
    </row>
    <row r="281" spans="6:6" x14ac:dyDescent="0.35">
      <c r="F281">
        <f t="shared" si="4"/>
        <v>0</v>
      </c>
    </row>
    <row r="282" spans="6:6" x14ac:dyDescent="0.35">
      <c r="F282">
        <f t="shared" si="4"/>
        <v>0</v>
      </c>
    </row>
    <row r="283" spans="6:6" x14ac:dyDescent="0.35">
      <c r="F283">
        <f t="shared" si="4"/>
        <v>0</v>
      </c>
    </row>
    <row r="284" spans="6:6" x14ac:dyDescent="0.35">
      <c r="F284">
        <f t="shared" si="4"/>
        <v>0</v>
      </c>
    </row>
    <row r="285" spans="6:6" x14ac:dyDescent="0.35">
      <c r="F285">
        <f t="shared" si="4"/>
        <v>0</v>
      </c>
    </row>
    <row r="286" spans="6:6" x14ac:dyDescent="0.35">
      <c r="F286">
        <f t="shared" si="4"/>
        <v>0</v>
      </c>
    </row>
    <row r="287" spans="6:6" x14ac:dyDescent="0.35">
      <c r="F287">
        <f t="shared" si="4"/>
        <v>0</v>
      </c>
    </row>
    <row r="288" spans="6:6" x14ac:dyDescent="0.35">
      <c r="F288">
        <f t="shared" si="4"/>
        <v>0</v>
      </c>
    </row>
    <row r="289" spans="6:6" x14ac:dyDescent="0.35">
      <c r="F289">
        <f t="shared" si="4"/>
        <v>0</v>
      </c>
    </row>
    <row r="290" spans="6:6" x14ac:dyDescent="0.35">
      <c r="F290">
        <f t="shared" si="4"/>
        <v>0</v>
      </c>
    </row>
    <row r="291" spans="6:6" x14ac:dyDescent="0.35">
      <c r="F291">
        <f t="shared" si="4"/>
        <v>0</v>
      </c>
    </row>
    <row r="292" spans="6:6" x14ac:dyDescent="0.35">
      <c r="F292">
        <f t="shared" si="4"/>
        <v>0</v>
      </c>
    </row>
    <row r="293" spans="6:6" x14ac:dyDescent="0.35">
      <c r="F293">
        <f t="shared" si="4"/>
        <v>0</v>
      </c>
    </row>
    <row r="294" spans="6:6" x14ac:dyDescent="0.35">
      <c r="F294">
        <f t="shared" si="4"/>
        <v>0</v>
      </c>
    </row>
    <row r="295" spans="6:6" x14ac:dyDescent="0.35">
      <c r="F295">
        <f t="shared" si="4"/>
        <v>0</v>
      </c>
    </row>
    <row r="296" spans="6:6" x14ac:dyDescent="0.35">
      <c r="F296">
        <f t="shared" si="4"/>
        <v>0</v>
      </c>
    </row>
    <row r="297" spans="6:6" x14ac:dyDescent="0.35">
      <c r="F297">
        <f t="shared" si="4"/>
        <v>0</v>
      </c>
    </row>
    <row r="298" spans="6:6" x14ac:dyDescent="0.35">
      <c r="F298">
        <f t="shared" si="4"/>
        <v>0</v>
      </c>
    </row>
    <row r="299" spans="6:6" x14ac:dyDescent="0.35">
      <c r="F299">
        <f t="shared" si="4"/>
        <v>0</v>
      </c>
    </row>
    <row r="300" spans="6:6" x14ac:dyDescent="0.35">
      <c r="F300">
        <f t="shared" si="4"/>
        <v>0</v>
      </c>
    </row>
    <row r="301" spans="6:6" x14ac:dyDescent="0.35">
      <c r="F301">
        <f t="shared" si="4"/>
        <v>0</v>
      </c>
    </row>
    <row r="302" spans="6:6" x14ac:dyDescent="0.35">
      <c r="F302">
        <f t="shared" si="4"/>
        <v>0</v>
      </c>
    </row>
    <row r="303" spans="6:6" x14ac:dyDescent="0.35">
      <c r="F303">
        <f t="shared" si="4"/>
        <v>0</v>
      </c>
    </row>
    <row r="304" spans="6:6" x14ac:dyDescent="0.35">
      <c r="F304">
        <f t="shared" si="4"/>
        <v>0</v>
      </c>
    </row>
    <row r="305" spans="6:6" x14ac:dyDescent="0.35">
      <c r="F305">
        <f t="shared" si="4"/>
        <v>0</v>
      </c>
    </row>
    <row r="306" spans="6:6" x14ac:dyDescent="0.35">
      <c r="F306">
        <f t="shared" si="4"/>
        <v>0</v>
      </c>
    </row>
    <row r="307" spans="6:6" x14ac:dyDescent="0.35">
      <c r="F307">
        <f t="shared" si="4"/>
        <v>0</v>
      </c>
    </row>
    <row r="308" spans="6:6" x14ac:dyDescent="0.35">
      <c r="F308">
        <f t="shared" si="4"/>
        <v>0</v>
      </c>
    </row>
    <row r="309" spans="6:6" x14ac:dyDescent="0.35">
      <c r="F309">
        <f t="shared" si="4"/>
        <v>0</v>
      </c>
    </row>
    <row r="310" spans="6:6" x14ac:dyDescent="0.35">
      <c r="F310">
        <f t="shared" si="4"/>
        <v>0</v>
      </c>
    </row>
    <row r="311" spans="6:6" x14ac:dyDescent="0.35">
      <c r="F311">
        <f t="shared" si="4"/>
        <v>0</v>
      </c>
    </row>
    <row r="312" spans="6:6" x14ac:dyDescent="0.35">
      <c r="F312">
        <f t="shared" si="4"/>
        <v>0</v>
      </c>
    </row>
    <row r="313" spans="6:6" x14ac:dyDescent="0.35">
      <c r="F313">
        <f t="shared" si="4"/>
        <v>0</v>
      </c>
    </row>
    <row r="314" spans="6:6" x14ac:dyDescent="0.35">
      <c r="F314">
        <f t="shared" si="4"/>
        <v>0</v>
      </c>
    </row>
    <row r="315" spans="6:6" x14ac:dyDescent="0.35">
      <c r="F315">
        <f t="shared" si="4"/>
        <v>0</v>
      </c>
    </row>
    <row r="316" spans="6:6" x14ac:dyDescent="0.35">
      <c r="F316">
        <f t="shared" si="4"/>
        <v>0</v>
      </c>
    </row>
    <row r="317" spans="6:6" x14ac:dyDescent="0.35">
      <c r="F317">
        <f t="shared" si="4"/>
        <v>0</v>
      </c>
    </row>
    <row r="318" spans="6:6" x14ac:dyDescent="0.35">
      <c r="F318">
        <f t="shared" si="4"/>
        <v>0</v>
      </c>
    </row>
    <row r="319" spans="6:6" x14ac:dyDescent="0.35">
      <c r="F319">
        <f t="shared" si="4"/>
        <v>0</v>
      </c>
    </row>
    <row r="320" spans="6:6" x14ac:dyDescent="0.35">
      <c r="F320">
        <f t="shared" si="4"/>
        <v>0</v>
      </c>
    </row>
    <row r="321" spans="6:6" x14ac:dyDescent="0.35">
      <c r="F321">
        <f t="shared" si="4"/>
        <v>0</v>
      </c>
    </row>
    <row r="322" spans="6:6" x14ac:dyDescent="0.35">
      <c r="F322">
        <f t="shared" ref="F322:F385" si="5">IFERROR(D322*E322,0)</f>
        <v>0</v>
      </c>
    </row>
    <row r="323" spans="6:6" x14ac:dyDescent="0.35">
      <c r="F323">
        <f t="shared" si="5"/>
        <v>0</v>
      </c>
    </row>
    <row r="324" spans="6:6" x14ac:dyDescent="0.35">
      <c r="F324">
        <f t="shared" si="5"/>
        <v>0</v>
      </c>
    </row>
    <row r="325" spans="6:6" x14ac:dyDescent="0.35">
      <c r="F325">
        <f t="shared" si="5"/>
        <v>0</v>
      </c>
    </row>
    <row r="326" spans="6:6" x14ac:dyDescent="0.35">
      <c r="F326">
        <f t="shared" si="5"/>
        <v>0</v>
      </c>
    </row>
    <row r="327" spans="6:6" x14ac:dyDescent="0.35">
      <c r="F327">
        <f t="shared" si="5"/>
        <v>0</v>
      </c>
    </row>
    <row r="328" spans="6:6" x14ac:dyDescent="0.35">
      <c r="F328">
        <f t="shared" si="5"/>
        <v>0</v>
      </c>
    </row>
    <row r="329" spans="6:6" x14ac:dyDescent="0.35">
      <c r="F329">
        <f t="shared" si="5"/>
        <v>0</v>
      </c>
    </row>
    <row r="330" spans="6:6" x14ac:dyDescent="0.35">
      <c r="F330">
        <f t="shared" si="5"/>
        <v>0</v>
      </c>
    </row>
    <row r="331" spans="6:6" x14ac:dyDescent="0.35">
      <c r="F331">
        <f t="shared" si="5"/>
        <v>0</v>
      </c>
    </row>
    <row r="332" spans="6:6" x14ac:dyDescent="0.35">
      <c r="F332">
        <f t="shared" si="5"/>
        <v>0</v>
      </c>
    </row>
    <row r="333" spans="6:6" x14ac:dyDescent="0.35">
      <c r="F333">
        <f t="shared" si="5"/>
        <v>0</v>
      </c>
    </row>
    <row r="334" spans="6:6" x14ac:dyDescent="0.35">
      <c r="F334">
        <f t="shared" si="5"/>
        <v>0</v>
      </c>
    </row>
    <row r="335" spans="6:6" x14ac:dyDescent="0.35">
      <c r="F335">
        <f t="shared" si="5"/>
        <v>0</v>
      </c>
    </row>
    <row r="336" spans="6:6" x14ac:dyDescent="0.35">
      <c r="F336">
        <f t="shared" si="5"/>
        <v>0</v>
      </c>
    </row>
    <row r="337" spans="6:6" x14ac:dyDescent="0.35">
      <c r="F337">
        <f t="shared" si="5"/>
        <v>0</v>
      </c>
    </row>
    <row r="338" spans="6:6" x14ac:dyDescent="0.35">
      <c r="F338">
        <f t="shared" si="5"/>
        <v>0</v>
      </c>
    </row>
    <row r="339" spans="6:6" x14ac:dyDescent="0.35">
      <c r="F339">
        <f t="shared" si="5"/>
        <v>0</v>
      </c>
    </row>
    <row r="340" spans="6:6" x14ac:dyDescent="0.35">
      <c r="F340">
        <f t="shared" si="5"/>
        <v>0</v>
      </c>
    </row>
    <row r="341" spans="6:6" x14ac:dyDescent="0.35">
      <c r="F341">
        <f t="shared" si="5"/>
        <v>0</v>
      </c>
    </row>
    <row r="342" spans="6:6" x14ac:dyDescent="0.35">
      <c r="F342">
        <f t="shared" si="5"/>
        <v>0</v>
      </c>
    </row>
    <row r="343" spans="6:6" x14ac:dyDescent="0.35">
      <c r="F343">
        <f t="shared" si="5"/>
        <v>0</v>
      </c>
    </row>
    <row r="344" spans="6:6" x14ac:dyDescent="0.35">
      <c r="F344">
        <f t="shared" si="5"/>
        <v>0</v>
      </c>
    </row>
    <row r="345" spans="6:6" x14ac:dyDescent="0.35">
      <c r="F345">
        <f t="shared" si="5"/>
        <v>0</v>
      </c>
    </row>
    <row r="346" spans="6:6" x14ac:dyDescent="0.35">
      <c r="F346">
        <f t="shared" si="5"/>
        <v>0</v>
      </c>
    </row>
    <row r="347" spans="6:6" x14ac:dyDescent="0.35">
      <c r="F347">
        <f t="shared" si="5"/>
        <v>0</v>
      </c>
    </row>
    <row r="348" spans="6:6" x14ac:dyDescent="0.35">
      <c r="F348">
        <f t="shared" si="5"/>
        <v>0</v>
      </c>
    </row>
    <row r="349" spans="6:6" x14ac:dyDescent="0.35">
      <c r="F349">
        <f t="shared" si="5"/>
        <v>0</v>
      </c>
    </row>
    <row r="350" spans="6:6" x14ac:dyDescent="0.35">
      <c r="F350">
        <f t="shared" si="5"/>
        <v>0</v>
      </c>
    </row>
    <row r="351" spans="6:6" x14ac:dyDescent="0.35">
      <c r="F351">
        <f t="shared" si="5"/>
        <v>0</v>
      </c>
    </row>
    <row r="352" spans="6:6" x14ac:dyDescent="0.35">
      <c r="F352">
        <f t="shared" si="5"/>
        <v>0</v>
      </c>
    </row>
    <row r="353" spans="6:6" x14ac:dyDescent="0.35">
      <c r="F353">
        <f t="shared" si="5"/>
        <v>0</v>
      </c>
    </row>
    <row r="354" spans="6:6" x14ac:dyDescent="0.35">
      <c r="F354">
        <f t="shared" si="5"/>
        <v>0</v>
      </c>
    </row>
    <row r="355" spans="6:6" x14ac:dyDescent="0.35">
      <c r="F355">
        <f t="shared" si="5"/>
        <v>0</v>
      </c>
    </row>
    <row r="356" spans="6:6" x14ac:dyDescent="0.35">
      <c r="F356">
        <f t="shared" si="5"/>
        <v>0</v>
      </c>
    </row>
    <row r="357" spans="6:6" x14ac:dyDescent="0.35">
      <c r="F357">
        <f t="shared" si="5"/>
        <v>0</v>
      </c>
    </row>
    <row r="358" spans="6:6" x14ac:dyDescent="0.35">
      <c r="F358">
        <f t="shared" si="5"/>
        <v>0</v>
      </c>
    </row>
    <row r="359" spans="6:6" x14ac:dyDescent="0.35">
      <c r="F359">
        <f t="shared" si="5"/>
        <v>0</v>
      </c>
    </row>
    <row r="360" spans="6:6" x14ac:dyDescent="0.35">
      <c r="F360">
        <f t="shared" si="5"/>
        <v>0</v>
      </c>
    </row>
    <row r="361" spans="6:6" x14ac:dyDescent="0.35">
      <c r="F361">
        <f t="shared" si="5"/>
        <v>0</v>
      </c>
    </row>
    <row r="362" spans="6:6" x14ac:dyDescent="0.35">
      <c r="F362">
        <f t="shared" si="5"/>
        <v>0</v>
      </c>
    </row>
    <row r="363" spans="6:6" x14ac:dyDescent="0.35">
      <c r="F363">
        <f t="shared" si="5"/>
        <v>0</v>
      </c>
    </row>
    <row r="364" spans="6:6" x14ac:dyDescent="0.35">
      <c r="F364">
        <f t="shared" si="5"/>
        <v>0</v>
      </c>
    </row>
    <row r="365" spans="6:6" x14ac:dyDescent="0.35">
      <c r="F365">
        <f t="shared" si="5"/>
        <v>0</v>
      </c>
    </row>
    <row r="366" spans="6:6" x14ac:dyDescent="0.35">
      <c r="F366">
        <f t="shared" si="5"/>
        <v>0</v>
      </c>
    </row>
    <row r="367" spans="6:6" x14ac:dyDescent="0.35">
      <c r="F367">
        <f t="shared" si="5"/>
        <v>0</v>
      </c>
    </row>
    <row r="368" spans="6:6" x14ac:dyDescent="0.35">
      <c r="F368">
        <f t="shared" si="5"/>
        <v>0</v>
      </c>
    </row>
    <row r="369" spans="6:6" x14ac:dyDescent="0.35">
      <c r="F369">
        <f t="shared" si="5"/>
        <v>0</v>
      </c>
    </row>
    <row r="370" spans="6:6" x14ac:dyDescent="0.35">
      <c r="F370">
        <f t="shared" si="5"/>
        <v>0</v>
      </c>
    </row>
    <row r="371" spans="6:6" x14ac:dyDescent="0.35">
      <c r="F371">
        <f t="shared" si="5"/>
        <v>0</v>
      </c>
    </row>
    <row r="372" spans="6:6" x14ac:dyDescent="0.35">
      <c r="F372">
        <f t="shared" si="5"/>
        <v>0</v>
      </c>
    </row>
    <row r="373" spans="6:6" x14ac:dyDescent="0.35">
      <c r="F373">
        <f t="shared" si="5"/>
        <v>0</v>
      </c>
    </row>
    <row r="374" spans="6:6" x14ac:dyDescent="0.35">
      <c r="F374">
        <f t="shared" si="5"/>
        <v>0</v>
      </c>
    </row>
    <row r="375" spans="6:6" x14ac:dyDescent="0.35">
      <c r="F375">
        <f t="shared" si="5"/>
        <v>0</v>
      </c>
    </row>
    <row r="376" spans="6:6" x14ac:dyDescent="0.35">
      <c r="F376">
        <f t="shared" si="5"/>
        <v>0</v>
      </c>
    </row>
    <row r="377" spans="6:6" x14ac:dyDescent="0.35">
      <c r="F377">
        <f t="shared" si="5"/>
        <v>0</v>
      </c>
    </row>
    <row r="378" spans="6:6" x14ac:dyDescent="0.35">
      <c r="F378">
        <f t="shared" si="5"/>
        <v>0</v>
      </c>
    </row>
    <row r="379" spans="6:6" x14ac:dyDescent="0.35">
      <c r="F379">
        <f t="shared" si="5"/>
        <v>0</v>
      </c>
    </row>
    <row r="380" spans="6:6" x14ac:dyDescent="0.35">
      <c r="F380">
        <f t="shared" si="5"/>
        <v>0</v>
      </c>
    </row>
    <row r="381" spans="6:6" x14ac:dyDescent="0.35">
      <c r="F381">
        <f t="shared" si="5"/>
        <v>0</v>
      </c>
    </row>
    <row r="382" spans="6:6" x14ac:dyDescent="0.35">
      <c r="F382">
        <f t="shared" si="5"/>
        <v>0</v>
      </c>
    </row>
    <row r="383" spans="6:6" x14ac:dyDescent="0.35">
      <c r="F383">
        <f t="shared" si="5"/>
        <v>0</v>
      </c>
    </row>
    <row r="384" spans="6:6" x14ac:dyDescent="0.35">
      <c r="F384">
        <f t="shared" si="5"/>
        <v>0</v>
      </c>
    </row>
    <row r="385" spans="6:6" x14ac:dyDescent="0.35">
      <c r="F385">
        <f t="shared" si="5"/>
        <v>0</v>
      </c>
    </row>
    <row r="386" spans="6:6" x14ac:dyDescent="0.35">
      <c r="F386">
        <f t="shared" ref="F386:F449" si="6">IFERROR(D386*E386,0)</f>
        <v>0</v>
      </c>
    </row>
    <row r="387" spans="6:6" x14ac:dyDescent="0.35">
      <c r="F387">
        <f t="shared" si="6"/>
        <v>0</v>
      </c>
    </row>
    <row r="388" spans="6:6" x14ac:dyDescent="0.35">
      <c r="F388">
        <f t="shared" si="6"/>
        <v>0</v>
      </c>
    </row>
    <row r="389" spans="6:6" x14ac:dyDescent="0.35">
      <c r="F389">
        <f t="shared" si="6"/>
        <v>0</v>
      </c>
    </row>
    <row r="390" spans="6:6" x14ac:dyDescent="0.35">
      <c r="F390">
        <f t="shared" si="6"/>
        <v>0</v>
      </c>
    </row>
    <row r="391" spans="6:6" x14ac:dyDescent="0.35">
      <c r="F391">
        <f t="shared" si="6"/>
        <v>0</v>
      </c>
    </row>
    <row r="392" spans="6:6" x14ac:dyDescent="0.35">
      <c r="F392">
        <f t="shared" si="6"/>
        <v>0</v>
      </c>
    </row>
    <row r="393" spans="6:6" x14ac:dyDescent="0.35">
      <c r="F393">
        <f t="shared" si="6"/>
        <v>0</v>
      </c>
    </row>
    <row r="394" spans="6:6" x14ac:dyDescent="0.35">
      <c r="F394">
        <f t="shared" si="6"/>
        <v>0</v>
      </c>
    </row>
    <row r="395" spans="6:6" x14ac:dyDescent="0.35">
      <c r="F395">
        <f t="shared" si="6"/>
        <v>0</v>
      </c>
    </row>
    <row r="396" spans="6:6" x14ac:dyDescent="0.35">
      <c r="F396">
        <f t="shared" si="6"/>
        <v>0</v>
      </c>
    </row>
    <row r="397" spans="6:6" x14ac:dyDescent="0.35">
      <c r="F397">
        <f t="shared" si="6"/>
        <v>0</v>
      </c>
    </row>
    <row r="398" spans="6:6" x14ac:dyDescent="0.35">
      <c r="F398">
        <f t="shared" si="6"/>
        <v>0</v>
      </c>
    </row>
    <row r="399" spans="6:6" x14ac:dyDescent="0.35">
      <c r="F399">
        <f t="shared" si="6"/>
        <v>0</v>
      </c>
    </row>
    <row r="400" spans="6:6" x14ac:dyDescent="0.35">
      <c r="F400">
        <f t="shared" si="6"/>
        <v>0</v>
      </c>
    </row>
    <row r="401" spans="6:6" x14ac:dyDescent="0.35">
      <c r="F401">
        <f t="shared" si="6"/>
        <v>0</v>
      </c>
    </row>
    <row r="402" spans="6:6" x14ac:dyDescent="0.35">
      <c r="F402">
        <f t="shared" si="6"/>
        <v>0</v>
      </c>
    </row>
    <row r="403" spans="6:6" x14ac:dyDescent="0.35">
      <c r="F403">
        <f t="shared" si="6"/>
        <v>0</v>
      </c>
    </row>
    <row r="404" spans="6:6" x14ac:dyDescent="0.35">
      <c r="F404">
        <f t="shared" si="6"/>
        <v>0</v>
      </c>
    </row>
    <row r="405" spans="6:6" x14ac:dyDescent="0.35">
      <c r="F405">
        <f t="shared" si="6"/>
        <v>0</v>
      </c>
    </row>
    <row r="406" spans="6:6" x14ac:dyDescent="0.35">
      <c r="F406">
        <f t="shared" si="6"/>
        <v>0</v>
      </c>
    </row>
    <row r="407" spans="6:6" x14ac:dyDescent="0.35">
      <c r="F407">
        <f t="shared" si="6"/>
        <v>0</v>
      </c>
    </row>
    <row r="408" spans="6:6" x14ac:dyDescent="0.35">
      <c r="F408">
        <f t="shared" si="6"/>
        <v>0</v>
      </c>
    </row>
    <row r="409" spans="6:6" x14ac:dyDescent="0.35">
      <c r="F409">
        <f t="shared" si="6"/>
        <v>0</v>
      </c>
    </row>
    <row r="410" spans="6:6" x14ac:dyDescent="0.35">
      <c r="F410">
        <f t="shared" si="6"/>
        <v>0</v>
      </c>
    </row>
    <row r="411" spans="6:6" x14ac:dyDescent="0.35">
      <c r="F411">
        <f t="shared" si="6"/>
        <v>0</v>
      </c>
    </row>
    <row r="412" spans="6:6" x14ac:dyDescent="0.35">
      <c r="F412">
        <f t="shared" si="6"/>
        <v>0</v>
      </c>
    </row>
    <row r="413" spans="6:6" x14ac:dyDescent="0.35">
      <c r="F413">
        <f t="shared" si="6"/>
        <v>0</v>
      </c>
    </row>
    <row r="414" spans="6:6" x14ac:dyDescent="0.35">
      <c r="F414">
        <f t="shared" si="6"/>
        <v>0</v>
      </c>
    </row>
    <row r="415" spans="6:6" x14ac:dyDescent="0.35">
      <c r="F415">
        <f t="shared" si="6"/>
        <v>0</v>
      </c>
    </row>
    <row r="416" spans="6:6" x14ac:dyDescent="0.35">
      <c r="F416">
        <f t="shared" si="6"/>
        <v>0</v>
      </c>
    </row>
    <row r="417" spans="6:6" x14ac:dyDescent="0.35">
      <c r="F417">
        <f t="shared" si="6"/>
        <v>0</v>
      </c>
    </row>
    <row r="418" spans="6:6" x14ac:dyDescent="0.35">
      <c r="F418">
        <f t="shared" si="6"/>
        <v>0</v>
      </c>
    </row>
    <row r="419" spans="6:6" x14ac:dyDescent="0.35">
      <c r="F419">
        <f t="shared" si="6"/>
        <v>0</v>
      </c>
    </row>
    <row r="420" spans="6:6" x14ac:dyDescent="0.35">
      <c r="F420">
        <f t="shared" si="6"/>
        <v>0</v>
      </c>
    </row>
    <row r="421" spans="6:6" x14ac:dyDescent="0.35">
      <c r="F421">
        <f t="shared" si="6"/>
        <v>0</v>
      </c>
    </row>
    <row r="422" spans="6:6" x14ac:dyDescent="0.35">
      <c r="F422">
        <f t="shared" si="6"/>
        <v>0</v>
      </c>
    </row>
    <row r="423" spans="6:6" x14ac:dyDescent="0.35">
      <c r="F423">
        <f t="shared" si="6"/>
        <v>0</v>
      </c>
    </row>
    <row r="424" spans="6:6" x14ac:dyDescent="0.35">
      <c r="F424">
        <f t="shared" si="6"/>
        <v>0</v>
      </c>
    </row>
    <row r="425" spans="6:6" x14ac:dyDescent="0.35">
      <c r="F425">
        <f t="shared" si="6"/>
        <v>0</v>
      </c>
    </row>
    <row r="426" spans="6:6" x14ac:dyDescent="0.35">
      <c r="F426">
        <f t="shared" si="6"/>
        <v>0</v>
      </c>
    </row>
    <row r="427" spans="6:6" x14ac:dyDescent="0.35">
      <c r="F427">
        <f t="shared" si="6"/>
        <v>0</v>
      </c>
    </row>
    <row r="428" spans="6:6" x14ac:dyDescent="0.35">
      <c r="F428">
        <f t="shared" si="6"/>
        <v>0</v>
      </c>
    </row>
    <row r="429" spans="6:6" x14ac:dyDescent="0.35">
      <c r="F429">
        <f t="shared" si="6"/>
        <v>0</v>
      </c>
    </row>
    <row r="430" spans="6:6" x14ac:dyDescent="0.35">
      <c r="F430">
        <f t="shared" si="6"/>
        <v>0</v>
      </c>
    </row>
    <row r="431" spans="6:6" x14ac:dyDescent="0.35">
      <c r="F431">
        <f t="shared" si="6"/>
        <v>0</v>
      </c>
    </row>
    <row r="432" spans="6:6" x14ac:dyDescent="0.35">
      <c r="F432">
        <f t="shared" si="6"/>
        <v>0</v>
      </c>
    </row>
    <row r="433" spans="6:6" x14ac:dyDescent="0.35">
      <c r="F433">
        <f t="shared" si="6"/>
        <v>0</v>
      </c>
    </row>
    <row r="434" spans="6:6" x14ac:dyDescent="0.35">
      <c r="F434">
        <f t="shared" si="6"/>
        <v>0</v>
      </c>
    </row>
    <row r="435" spans="6:6" x14ac:dyDescent="0.35">
      <c r="F435">
        <f t="shared" si="6"/>
        <v>0</v>
      </c>
    </row>
    <row r="436" spans="6:6" x14ac:dyDescent="0.35">
      <c r="F436">
        <f t="shared" si="6"/>
        <v>0</v>
      </c>
    </row>
    <row r="437" spans="6:6" x14ac:dyDescent="0.35">
      <c r="F437">
        <f t="shared" si="6"/>
        <v>0</v>
      </c>
    </row>
    <row r="438" spans="6:6" x14ac:dyDescent="0.35">
      <c r="F438">
        <f t="shared" si="6"/>
        <v>0</v>
      </c>
    </row>
    <row r="439" spans="6:6" x14ac:dyDescent="0.35">
      <c r="F439">
        <f t="shared" si="6"/>
        <v>0</v>
      </c>
    </row>
    <row r="440" spans="6:6" x14ac:dyDescent="0.35">
      <c r="F440">
        <f t="shared" si="6"/>
        <v>0</v>
      </c>
    </row>
    <row r="441" spans="6:6" x14ac:dyDescent="0.35">
      <c r="F441">
        <f t="shared" si="6"/>
        <v>0</v>
      </c>
    </row>
    <row r="442" spans="6:6" x14ac:dyDescent="0.35">
      <c r="F442">
        <f t="shared" si="6"/>
        <v>0</v>
      </c>
    </row>
    <row r="443" spans="6:6" x14ac:dyDescent="0.35">
      <c r="F443">
        <f t="shared" si="6"/>
        <v>0</v>
      </c>
    </row>
    <row r="444" spans="6:6" x14ac:dyDescent="0.35">
      <c r="F444">
        <f t="shared" si="6"/>
        <v>0</v>
      </c>
    </row>
    <row r="445" spans="6:6" x14ac:dyDescent="0.35">
      <c r="F445">
        <f t="shared" si="6"/>
        <v>0</v>
      </c>
    </row>
    <row r="446" spans="6:6" x14ac:dyDescent="0.35">
      <c r="F446">
        <f t="shared" si="6"/>
        <v>0</v>
      </c>
    </row>
    <row r="447" spans="6:6" x14ac:dyDescent="0.35">
      <c r="F447">
        <f t="shared" si="6"/>
        <v>0</v>
      </c>
    </row>
    <row r="448" spans="6:6" x14ac:dyDescent="0.35">
      <c r="F448">
        <f t="shared" si="6"/>
        <v>0</v>
      </c>
    </row>
    <row r="449" spans="6:6" x14ac:dyDescent="0.35">
      <c r="F449">
        <f t="shared" si="6"/>
        <v>0</v>
      </c>
    </row>
    <row r="450" spans="6:6" x14ac:dyDescent="0.35">
      <c r="F450">
        <f t="shared" ref="F450:F499" si="7">IFERROR(D450*E450,0)</f>
        <v>0</v>
      </c>
    </row>
    <row r="451" spans="6:6" x14ac:dyDescent="0.35">
      <c r="F451">
        <f t="shared" si="7"/>
        <v>0</v>
      </c>
    </row>
    <row r="452" spans="6:6" x14ac:dyDescent="0.35">
      <c r="F452">
        <f t="shared" si="7"/>
        <v>0</v>
      </c>
    </row>
    <row r="453" spans="6:6" x14ac:dyDescent="0.35">
      <c r="F453">
        <f t="shared" si="7"/>
        <v>0</v>
      </c>
    </row>
    <row r="454" spans="6:6" x14ac:dyDescent="0.35">
      <c r="F454">
        <f t="shared" si="7"/>
        <v>0</v>
      </c>
    </row>
    <row r="455" spans="6:6" x14ac:dyDescent="0.35">
      <c r="F455">
        <f t="shared" si="7"/>
        <v>0</v>
      </c>
    </row>
    <row r="456" spans="6:6" x14ac:dyDescent="0.35">
      <c r="F456">
        <f t="shared" si="7"/>
        <v>0</v>
      </c>
    </row>
    <row r="457" spans="6:6" x14ac:dyDescent="0.35">
      <c r="F457">
        <f t="shared" si="7"/>
        <v>0</v>
      </c>
    </row>
    <row r="458" spans="6:6" x14ac:dyDescent="0.35">
      <c r="F458">
        <f t="shared" si="7"/>
        <v>0</v>
      </c>
    </row>
    <row r="459" spans="6:6" x14ac:dyDescent="0.35">
      <c r="F459">
        <f t="shared" si="7"/>
        <v>0</v>
      </c>
    </row>
    <row r="460" spans="6:6" x14ac:dyDescent="0.35">
      <c r="F460">
        <f t="shared" si="7"/>
        <v>0</v>
      </c>
    </row>
    <row r="461" spans="6:6" x14ac:dyDescent="0.35">
      <c r="F461">
        <f t="shared" si="7"/>
        <v>0</v>
      </c>
    </row>
    <row r="462" spans="6:6" x14ac:dyDescent="0.35">
      <c r="F462">
        <f t="shared" si="7"/>
        <v>0</v>
      </c>
    </row>
    <row r="463" spans="6:6" x14ac:dyDescent="0.35">
      <c r="F463">
        <f t="shared" si="7"/>
        <v>0</v>
      </c>
    </row>
    <row r="464" spans="6:6" x14ac:dyDescent="0.35">
      <c r="F464">
        <f t="shared" si="7"/>
        <v>0</v>
      </c>
    </row>
    <row r="465" spans="6:6" x14ac:dyDescent="0.35">
      <c r="F465">
        <f t="shared" si="7"/>
        <v>0</v>
      </c>
    </row>
    <row r="466" spans="6:6" x14ac:dyDescent="0.35">
      <c r="F466">
        <f t="shared" si="7"/>
        <v>0</v>
      </c>
    </row>
    <row r="467" spans="6:6" x14ac:dyDescent="0.35">
      <c r="F467">
        <f t="shared" si="7"/>
        <v>0</v>
      </c>
    </row>
    <row r="468" spans="6:6" x14ac:dyDescent="0.35">
      <c r="F468">
        <f t="shared" si="7"/>
        <v>0</v>
      </c>
    </row>
    <row r="469" spans="6:6" x14ac:dyDescent="0.35">
      <c r="F469">
        <f t="shared" si="7"/>
        <v>0</v>
      </c>
    </row>
    <row r="470" spans="6:6" x14ac:dyDescent="0.35">
      <c r="F470">
        <f t="shared" si="7"/>
        <v>0</v>
      </c>
    </row>
    <row r="471" spans="6:6" x14ac:dyDescent="0.35">
      <c r="F471">
        <f t="shared" si="7"/>
        <v>0</v>
      </c>
    </row>
    <row r="472" spans="6:6" x14ac:dyDescent="0.35">
      <c r="F472">
        <f t="shared" si="7"/>
        <v>0</v>
      </c>
    </row>
    <row r="473" spans="6:6" x14ac:dyDescent="0.35">
      <c r="F473">
        <f t="shared" si="7"/>
        <v>0</v>
      </c>
    </row>
    <row r="474" spans="6:6" x14ac:dyDescent="0.35">
      <c r="F474">
        <f t="shared" si="7"/>
        <v>0</v>
      </c>
    </row>
    <row r="475" spans="6:6" x14ac:dyDescent="0.35">
      <c r="F475">
        <f t="shared" si="7"/>
        <v>0</v>
      </c>
    </row>
    <row r="476" spans="6:6" x14ac:dyDescent="0.35">
      <c r="F476">
        <f t="shared" si="7"/>
        <v>0</v>
      </c>
    </row>
    <row r="477" spans="6:6" x14ac:dyDescent="0.35">
      <c r="F477">
        <f t="shared" si="7"/>
        <v>0</v>
      </c>
    </row>
    <row r="478" spans="6:6" x14ac:dyDescent="0.35">
      <c r="F478">
        <f t="shared" si="7"/>
        <v>0</v>
      </c>
    </row>
    <row r="479" spans="6:6" x14ac:dyDescent="0.35">
      <c r="F479">
        <f t="shared" si="7"/>
        <v>0</v>
      </c>
    </row>
    <row r="480" spans="6:6" x14ac:dyDescent="0.35">
      <c r="F480">
        <f t="shared" si="7"/>
        <v>0</v>
      </c>
    </row>
    <row r="481" spans="6:6" x14ac:dyDescent="0.35">
      <c r="F481">
        <f t="shared" si="7"/>
        <v>0</v>
      </c>
    </row>
    <row r="482" spans="6:6" x14ac:dyDescent="0.35">
      <c r="F482">
        <f t="shared" si="7"/>
        <v>0</v>
      </c>
    </row>
    <row r="483" spans="6:6" x14ac:dyDescent="0.35">
      <c r="F483">
        <f t="shared" si="7"/>
        <v>0</v>
      </c>
    </row>
    <row r="484" spans="6:6" x14ac:dyDescent="0.35">
      <c r="F484">
        <f t="shared" si="7"/>
        <v>0</v>
      </c>
    </row>
    <row r="485" spans="6:6" x14ac:dyDescent="0.35">
      <c r="F485">
        <f t="shared" si="7"/>
        <v>0</v>
      </c>
    </row>
    <row r="486" spans="6:6" x14ac:dyDescent="0.35">
      <c r="F486">
        <f t="shared" si="7"/>
        <v>0</v>
      </c>
    </row>
    <row r="487" spans="6:6" x14ac:dyDescent="0.35">
      <c r="F487">
        <f t="shared" si="7"/>
        <v>0</v>
      </c>
    </row>
    <row r="488" spans="6:6" x14ac:dyDescent="0.35">
      <c r="F488">
        <f t="shared" si="7"/>
        <v>0</v>
      </c>
    </row>
    <row r="489" spans="6:6" x14ac:dyDescent="0.35">
      <c r="F489">
        <f t="shared" si="7"/>
        <v>0</v>
      </c>
    </row>
    <row r="490" spans="6:6" x14ac:dyDescent="0.35">
      <c r="F490">
        <f t="shared" si="7"/>
        <v>0</v>
      </c>
    </row>
    <row r="491" spans="6:6" x14ac:dyDescent="0.35">
      <c r="F491">
        <f t="shared" si="7"/>
        <v>0</v>
      </c>
    </row>
    <row r="492" spans="6:6" x14ac:dyDescent="0.35">
      <c r="F492">
        <f t="shared" si="7"/>
        <v>0</v>
      </c>
    </row>
    <row r="493" spans="6:6" x14ac:dyDescent="0.35">
      <c r="F493">
        <f t="shared" si="7"/>
        <v>0</v>
      </c>
    </row>
    <row r="494" spans="6:6" x14ac:dyDescent="0.35">
      <c r="F494">
        <f t="shared" si="7"/>
        <v>0</v>
      </c>
    </row>
    <row r="495" spans="6:6" x14ac:dyDescent="0.35">
      <c r="F495">
        <f t="shared" si="7"/>
        <v>0</v>
      </c>
    </row>
    <row r="496" spans="6:6" x14ac:dyDescent="0.35">
      <c r="F496">
        <f t="shared" si="7"/>
        <v>0</v>
      </c>
    </row>
    <row r="497" spans="6:6" x14ac:dyDescent="0.35">
      <c r="F497">
        <f t="shared" si="7"/>
        <v>0</v>
      </c>
    </row>
    <row r="498" spans="6:6" x14ac:dyDescent="0.35">
      <c r="F498">
        <f t="shared" si="7"/>
        <v>0</v>
      </c>
    </row>
    <row r="499" spans="6:6" x14ac:dyDescent="0.35">
      <c r="F499">
        <f t="shared" si="7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J1000"/>
  <sheetViews>
    <sheetView topLeftCell="BC1" workbookViewId="0">
      <pane ySplit="1" topLeftCell="A2" activePane="bottomLeft" state="frozen"/>
      <selection pane="bottomLeft" activeCell="B2" sqref="B2"/>
    </sheetView>
  </sheetViews>
  <sheetFormatPr baseColWidth="10" defaultColWidth="8.7265625" defaultRowHeight="14.5" x14ac:dyDescent="0.35"/>
  <cols>
    <col min="1" max="1" width="14" customWidth="1"/>
    <col min="2" max="2" width="38" customWidth="1"/>
    <col min="3" max="3" width="25" customWidth="1"/>
    <col min="4" max="4" width="19" customWidth="1"/>
    <col min="5" max="5" width="23" customWidth="1"/>
    <col min="6" max="7" width="14" customWidth="1"/>
    <col min="8" max="8" width="23" customWidth="1"/>
    <col min="9" max="9" width="18" customWidth="1"/>
    <col min="10" max="10" width="17" customWidth="1"/>
    <col min="11" max="12" width="24" customWidth="1"/>
    <col min="13" max="13" width="18" customWidth="1"/>
    <col min="14" max="14" width="20" customWidth="1"/>
    <col min="15" max="15" width="14" customWidth="1"/>
    <col min="16" max="16" width="24" customWidth="1"/>
    <col min="17" max="17" width="18" customWidth="1"/>
    <col min="18" max="18" width="20" customWidth="1"/>
    <col min="19" max="19" width="14" customWidth="1"/>
    <col min="20" max="20" width="24" customWidth="1"/>
    <col min="21" max="21" width="18" customWidth="1"/>
    <col min="22" max="22" width="20" customWidth="1"/>
    <col min="23" max="23" width="14" customWidth="1"/>
    <col min="24" max="24" width="24" customWidth="1"/>
    <col min="25" max="25" width="18" customWidth="1"/>
    <col min="26" max="26" width="20" customWidth="1"/>
    <col min="27" max="27" width="14" customWidth="1"/>
    <col min="28" max="28" width="24" customWidth="1"/>
    <col min="29" max="29" width="18" customWidth="1"/>
    <col min="30" max="30" width="20" customWidth="1"/>
    <col min="31" max="31" width="14" customWidth="1"/>
    <col min="32" max="32" width="24" customWidth="1"/>
    <col min="33" max="33" width="18" customWidth="1"/>
    <col min="34" max="34" width="20" customWidth="1"/>
    <col min="35" max="35" width="14" customWidth="1"/>
    <col min="36" max="36" width="24" customWidth="1"/>
    <col min="37" max="37" width="18" customWidth="1"/>
    <col min="38" max="38" width="20" customWidth="1"/>
    <col min="39" max="39" width="14" customWidth="1"/>
    <col min="40" max="40" width="24" customWidth="1"/>
    <col min="41" max="41" width="18" customWidth="1"/>
    <col min="42" max="42" width="20" customWidth="1"/>
    <col min="43" max="43" width="14" customWidth="1"/>
    <col min="44" max="44" width="24" customWidth="1"/>
    <col min="45" max="45" width="18" customWidth="1"/>
    <col min="46" max="46" width="20" customWidth="1"/>
    <col min="47" max="47" width="14" customWidth="1"/>
    <col min="48" max="48" width="24" customWidth="1"/>
    <col min="49" max="49" width="18" customWidth="1"/>
    <col min="50" max="50" width="20" customWidth="1"/>
    <col min="51" max="51" width="14" customWidth="1"/>
    <col min="52" max="52" width="24" customWidth="1"/>
    <col min="53" max="53" width="18" customWidth="1"/>
    <col min="54" max="54" width="20" customWidth="1"/>
    <col min="55" max="55" width="14" customWidth="1"/>
    <col min="56" max="56" width="24" customWidth="1"/>
    <col min="57" max="57" width="18" customWidth="1"/>
    <col min="58" max="58" width="20" customWidth="1"/>
    <col min="59" max="59" width="14" customWidth="1"/>
    <col min="60" max="60" width="28" customWidth="1"/>
    <col min="61" max="61" width="23" customWidth="1"/>
    <col min="62" max="62" width="19" customWidth="1"/>
  </cols>
  <sheetData>
    <row r="1" spans="1:62" ht="22" customHeight="1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87</v>
      </c>
      <c r="BA1" s="1" t="s">
        <v>88</v>
      </c>
      <c r="BB1" s="1" t="s">
        <v>89</v>
      </c>
      <c r="BC1" s="1" t="s">
        <v>90</v>
      </c>
      <c r="BD1" s="1" t="s">
        <v>91</v>
      </c>
      <c r="BE1" s="1" t="s">
        <v>92</v>
      </c>
      <c r="BF1" s="1" t="s">
        <v>93</v>
      </c>
      <c r="BG1" s="1" t="s">
        <v>94</v>
      </c>
      <c r="BH1" s="1" t="s">
        <v>95</v>
      </c>
      <c r="BI1" s="1" t="s">
        <v>96</v>
      </c>
      <c r="BJ1" s="1" t="s">
        <v>97</v>
      </c>
    </row>
    <row r="2" spans="1:62" x14ac:dyDescent="0.35">
      <c r="K2" t="str">
        <f>IFERROR(VLOOKUP(F2,tbTurnos,3,FALSE),"")</f>
        <v/>
      </c>
      <c r="N2" t="str">
        <f>IFERROR(VLOOKUP(M2,tbFactorMes[],2,FALSE),"")</f>
        <v/>
      </c>
      <c r="O2">
        <f>IFERROR((L2*$K2)/N2,0)*$J2</f>
        <v>0</v>
      </c>
      <c r="R2" t="str">
        <f>IFERROR(VLOOKUP(Q2,tbFactorMes,2,FALSE),"")</f>
        <v/>
      </c>
      <c r="S2">
        <f>IFERROR((P2*$K2)/R2,0)*$J2</f>
        <v>0</v>
      </c>
      <c r="V2" t="str">
        <f>IFERROR(VLOOKUP(U2,tbFactorMes,2,FALSE),"")</f>
        <v/>
      </c>
      <c r="W2">
        <f t="shared" ref="W2:W65" si="0">IFERROR((T2*$K2)/V2,0)*$J2</f>
        <v>0</v>
      </c>
      <c r="Z2" t="str">
        <f>IFERROR(VLOOKUP(Y2,tbFactorMes,2,FALSE),"")</f>
        <v/>
      </c>
      <c r="AA2">
        <f t="shared" ref="AA2:AA65" si="1">IFERROR((X2*$K2)/Z2,0)*$J2</f>
        <v>0</v>
      </c>
      <c r="AD2" t="str">
        <f>IFERROR(VLOOKUP(AC2,tbFactorMes,2,FALSE),"")</f>
        <v/>
      </c>
      <c r="AE2">
        <f t="shared" ref="AE2:AE65" si="2">IFERROR((AB2*$K2)/AD2,0)*$J2</f>
        <v>0</v>
      </c>
      <c r="AH2" t="str">
        <f>IFERROR(VLOOKUP(AG2,tbFactorMes,2,FALSE),"")</f>
        <v/>
      </c>
      <c r="AI2">
        <f t="shared" ref="AI2:AI65" si="3">IFERROR((AF2*$K2)/AH2,0)*$J2</f>
        <v>0</v>
      </c>
      <c r="AL2" t="str">
        <f>IFERROR(VLOOKUP(AK2,tbFactorMes,2,FALSE),"")</f>
        <v/>
      </c>
      <c r="AM2">
        <f t="shared" ref="AM2:AM65" si="4">IFERROR((AJ2*$K2)/AL2,0)*$J2</f>
        <v>0</v>
      </c>
      <c r="AP2" t="str">
        <f>IFERROR(VLOOKUP(AO2,tbFactorMes,2,FALSE),"")</f>
        <v/>
      </c>
      <c r="AQ2">
        <f t="shared" ref="AQ2:AQ65" si="5">IFERROR((AN2*$K2)/AP2,0)*$J2</f>
        <v>0</v>
      </c>
      <c r="AT2" t="str">
        <f>IFERROR(VLOOKUP(AS2,tbFactorMes,2,FALSE),"")</f>
        <v/>
      </c>
      <c r="AU2">
        <f t="shared" ref="AU2:AU65" si="6">IFERROR((AR2*$K2)/AT2,0)*$J2</f>
        <v>0</v>
      </c>
      <c r="AX2" t="str">
        <f>IFERROR(VLOOKUP(AW2,tbFactorMes,2,FALSE),"")</f>
        <v/>
      </c>
      <c r="AY2">
        <f t="shared" ref="AY2:AY65" si="7">IFERROR((AV2*$K2)/AX2,0)*$J2</f>
        <v>0</v>
      </c>
      <c r="BB2" t="str">
        <f>IFERROR(VLOOKUP(BA2,tbFactorMes,2,FALSE),"")</f>
        <v/>
      </c>
      <c r="BC2">
        <f t="shared" ref="BC2:BC65" si="8">IFERROR((AZ2*$K2)/BB2,0)*$J2</f>
        <v>0</v>
      </c>
      <c r="BF2" t="str">
        <f>IFERROR(VLOOKUP(BE2,tbFactorMes,2,FALSE),"")</f>
        <v/>
      </c>
      <c r="BG2">
        <f t="shared" ref="BG2:BG65" si="9">IFERROR((BD2*$K2)/BF2,0)*$J2</f>
        <v>0</v>
      </c>
      <c r="BH2">
        <f t="shared" ref="BH2:BH65" si="10">IFERROR(SUM(O2,S2,W2,AA2,AE2,AI2,AM2,AQ2,AU2,AY2,BC2,BG2),0)</f>
        <v>0</v>
      </c>
      <c r="BI2">
        <f t="shared" ref="BI2:BI65" si="11">IFERROR(BH2*(1-$I2),0)</f>
        <v>0</v>
      </c>
    </row>
    <row r="3" spans="1:62" x14ac:dyDescent="0.35">
      <c r="K3" t="str">
        <f>IFERROR(VLOOKUP(F3,tbTurnos,3,FALSE),"")</f>
        <v/>
      </c>
      <c r="N3" t="str">
        <f>IFERROR(VLOOKUP(M3,tbFactorMes,2,FALSE),"")</f>
        <v/>
      </c>
      <c r="O3">
        <f t="shared" ref="O3:O65" si="12">IFERROR((L3*$K3)/N3,0)*$J3</f>
        <v>0</v>
      </c>
      <c r="R3" t="str">
        <f>IFERROR(VLOOKUP(Q3,tbFactorMes,2,FALSE),"")</f>
        <v/>
      </c>
      <c r="S3">
        <f t="shared" ref="S3:S65" si="13">IFERROR((P3*$K3)/R3,0)*$J3</f>
        <v>0</v>
      </c>
      <c r="V3" t="str">
        <f>IFERROR(VLOOKUP(U3,tbFactorMes,2,FALSE),"")</f>
        <v/>
      </c>
      <c r="W3">
        <f t="shared" si="0"/>
        <v>0</v>
      </c>
      <c r="Z3" t="str">
        <f>IFERROR(VLOOKUP(Y3,tbFactorMes,2,FALSE),"")</f>
        <v/>
      </c>
      <c r="AA3">
        <f t="shared" si="1"/>
        <v>0</v>
      </c>
      <c r="AD3" t="str">
        <f>IFERROR(VLOOKUP(AC3,tbFactorMes,2,FALSE),"")</f>
        <v/>
      </c>
      <c r="AE3">
        <f t="shared" si="2"/>
        <v>0</v>
      </c>
      <c r="AH3" t="str">
        <f>IFERROR(VLOOKUP(AG3,tbFactorMes,2,FALSE),"")</f>
        <v/>
      </c>
      <c r="AI3">
        <f t="shared" si="3"/>
        <v>0</v>
      </c>
      <c r="AL3" t="str">
        <f>IFERROR(VLOOKUP(AK3,tbFactorMes,2,FALSE),"")</f>
        <v/>
      </c>
      <c r="AM3">
        <f t="shared" si="4"/>
        <v>0</v>
      </c>
      <c r="AP3" t="str">
        <f>IFERROR(VLOOKUP(AO3,tbFactorMes,2,FALSE),"")</f>
        <v/>
      </c>
      <c r="AQ3">
        <f t="shared" si="5"/>
        <v>0</v>
      </c>
      <c r="AT3" t="str">
        <f>IFERROR(VLOOKUP(AS3,tbFactorMes,2,FALSE),"")</f>
        <v/>
      </c>
      <c r="AU3">
        <f t="shared" si="6"/>
        <v>0</v>
      </c>
      <c r="AX3" t="str">
        <f>IFERROR(VLOOKUP(AW3,tbFactorMes,2,FALSE),"")</f>
        <v/>
      </c>
      <c r="AY3">
        <f t="shared" si="7"/>
        <v>0</v>
      </c>
      <c r="BB3" t="str">
        <f>IFERROR(VLOOKUP(BA3,tbFactorMes,2,FALSE),"")</f>
        <v/>
      </c>
      <c r="BC3">
        <f t="shared" si="8"/>
        <v>0</v>
      </c>
      <c r="BF3" t="str">
        <f>IFERROR(VLOOKUP(BE3,tbFactorMes,2,FALSE),"")</f>
        <v/>
      </c>
      <c r="BG3">
        <f t="shared" si="9"/>
        <v>0</v>
      </c>
      <c r="BH3">
        <f t="shared" si="10"/>
        <v>0</v>
      </c>
      <c r="BI3">
        <f t="shared" si="11"/>
        <v>0</v>
      </c>
    </row>
    <row r="4" spans="1:62" x14ac:dyDescent="0.35">
      <c r="K4" t="str">
        <f>IFERROR(VLOOKUP(F4,tbTurnos,3,FALSE),"")</f>
        <v/>
      </c>
      <c r="N4" t="str">
        <f>IFERROR(VLOOKUP(M4,tbFactorMes,2,FALSE),"")</f>
        <v/>
      </c>
      <c r="O4">
        <f t="shared" si="12"/>
        <v>0</v>
      </c>
      <c r="R4" t="str">
        <f>IFERROR(VLOOKUP(Q4,tbFactorMes,2,FALSE),"")</f>
        <v/>
      </c>
      <c r="S4">
        <f t="shared" si="13"/>
        <v>0</v>
      </c>
      <c r="V4" t="str">
        <f>IFERROR(VLOOKUP(U4,tbFactorMes,2,FALSE),"")</f>
        <v/>
      </c>
      <c r="W4">
        <f t="shared" si="0"/>
        <v>0</v>
      </c>
      <c r="Z4" t="str">
        <f>IFERROR(VLOOKUP(Y4,tbFactorMes,2,FALSE),"")</f>
        <v/>
      </c>
      <c r="AA4">
        <f t="shared" si="1"/>
        <v>0</v>
      </c>
      <c r="AD4" t="str">
        <f>IFERROR(VLOOKUP(AC4,tbFactorMes,2,FALSE),"")</f>
        <v/>
      </c>
      <c r="AE4">
        <f t="shared" si="2"/>
        <v>0</v>
      </c>
      <c r="AH4" t="str">
        <f>IFERROR(VLOOKUP(AG4,tbFactorMes,2,FALSE),"")</f>
        <v/>
      </c>
      <c r="AI4">
        <f t="shared" si="3"/>
        <v>0</v>
      </c>
      <c r="AL4" t="str">
        <f>IFERROR(VLOOKUP(AK4,tbFactorMes,2,FALSE),"")</f>
        <v/>
      </c>
      <c r="AM4">
        <f t="shared" si="4"/>
        <v>0</v>
      </c>
      <c r="AP4" t="str">
        <f>IFERROR(VLOOKUP(AO4,tbFactorMes,2,FALSE),"")</f>
        <v/>
      </c>
      <c r="AQ4">
        <f t="shared" si="5"/>
        <v>0</v>
      </c>
      <c r="AT4" t="str">
        <f>IFERROR(VLOOKUP(AS4,tbFactorMes,2,FALSE),"")</f>
        <v/>
      </c>
      <c r="AU4">
        <f t="shared" si="6"/>
        <v>0</v>
      </c>
      <c r="AX4" t="str">
        <f>IFERROR(VLOOKUP(AW4,tbFactorMes,2,FALSE),"")</f>
        <v/>
      </c>
      <c r="AY4">
        <f t="shared" si="7"/>
        <v>0</v>
      </c>
      <c r="BB4" t="str">
        <f>IFERROR(VLOOKUP(BA4,tbFactorMes,2,FALSE),"")</f>
        <v/>
      </c>
      <c r="BC4">
        <f t="shared" si="8"/>
        <v>0</v>
      </c>
      <c r="BF4" t="str">
        <f>IFERROR(VLOOKUP(BE4,tbFactorMes,2,FALSE),"")</f>
        <v/>
      </c>
      <c r="BG4">
        <f t="shared" si="9"/>
        <v>0</v>
      </c>
      <c r="BH4">
        <f t="shared" si="10"/>
        <v>0</v>
      </c>
      <c r="BI4">
        <f t="shared" si="11"/>
        <v>0</v>
      </c>
    </row>
    <row r="5" spans="1:62" x14ac:dyDescent="0.35">
      <c r="K5" t="str">
        <f>IFERROR(VLOOKUP(F5,tbTurnos,3,FALSE),"")</f>
        <v/>
      </c>
      <c r="N5" t="str">
        <f>IFERROR(VLOOKUP(M5,tbFactorMes,2,FALSE),"")</f>
        <v/>
      </c>
      <c r="O5">
        <f t="shared" si="12"/>
        <v>0</v>
      </c>
      <c r="R5" t="str">
        <f>IFERROR(VLOOKUP(Q5,tbFactorMes,2,FALSE),"")</f>
        <v/>
      </c>
      <c r="S5">
        <f t="shared" si="13"/>
        <v>0</v>
      </c>
      <c r="V5" t="str">
        <f>IFERROR(VLOOKUP(U5,tbFactorMes,2,FALSE),"")</f>
        <v/>
      </c>
      <c r="W5">
        <f t="shared" si="0"/>
        <v>0</v>
      </c>
      <c r="Z5" t="str">
        <f>IFERROR(VLOOKUP(Y5,tbFactorMes,2,FALSE),"")</f>
        <v/>
      </c>
      <c r="AA5">
        <f t="shared" si="1"/>
        <v>0</v>
      </c>
      <c r="AD5" t="str">
        <f>IFERROR(VLOOKUP(AC5,tbFactorMes,2,FALSE),"")</f>
        <v/>
      </c>
      <c r="AE5">
        <f t="shared" si="2"/>
        <v>0</v>
      </c>
      <c r="AH5" t="str">
        <f>IFERROR(VLOOKUP(AG5,tbFactorMes,2,FALSE),"")</f>
        <v/>
      </c>
      <c r="AI5">
        <f t="shared" si="3"/>
        <v>0</v>
      </c>
      <c r="AL5" t="str">
        <f>IFERROR(VLOOKUP(AK5,tbFactorMes,2,FALSE),"")</f>
        <v/>
      </c>
      <c r="AM5">
        <f t="shared" si="4"/>
        <v>0</v>
      </c>
      <c r="AP5" t="str">
        <f>IFERROR(VLOOKUP(AO5,tbFactorMes,2,FALSE),"")</f>
        <v/>
      </c>
      <c r="AQ5">
        <f t="shared" si="5"/>
        <v>0</v>
      </c>
      <c r="AT5" t="str">
        <f>IFERROR(VLOOKUP(AS5,tbFactorMes,2,FALSE),"")</f>
        <v/>
      </c>
      <c r="AU5">
        <f t="shared" si="6"/>
        <v>0</v>
      </c>
      <c r="AX5" t="str">
        <f>IFERROR(VLOOKUP(AW5,tbFactorMes,2,FALSE),"")</f>
        <v/>
      </c>
      <c r="AY5">
        <f t="shared" si="7"/>
        <v>0</v>
      </c>
      <c r="BB5" t="str">
        <f>IFERROR(VLOOKUP(BA5,tbFactorMes,2,FALSE),"")</f>
        <v/>
      </c>
      <c r="BC5">
        <f t="shared" si="8"/>
        <v>0</v>
      </c>
      <c r="BF5" t="str">
        <f>IFERROR(VLOOKUP(BE5,tbFactorMes,2,FALSE),"")</f>
        <v/>
      </c>
      <c r="BG5">
        <f t="shared" si="9"/>
        <v>0</v>
      </c>
      <c r="BH5">
        <f t="shared" si="10"/>
        <v>0</v>
      </c>
      <c r="BI5">
        <f t="shared" si="11"/>
        <v>0</v>
      </c>
    </row>
    <row r="6" spans="1:62" x14ac:dyDescent="0.35">
      <c r="K6" t="str">
        <f>IFERROR(VLOOKUP(F6,tbTurnos,3,FALSE),"")</f>
        <v/>
      </c>
      <c r="N6" t="str">
        <f>IFERROR(VLOOKUP(M6,tbFactorMes[],2,FALSE),"")</f>
        <v/>
      </c>
      <c r="O6">
        <f t="shared" si="12"/>
        <v>0</v>
      </c>
      <c r="R6" t="str">
        <f>IFERROR(VLOOKUP(Q6,tbFactorMes,2,FALSE),"")</f>
        <v/>
      </c>
      <c r="S6">
        <f t="shared" si="13"/>
        <v>0</v>
      </c>
      <c r="V6" t="str">
        <f>IFERROR(VLOOKUP(U6,tbFactorMes,2,FALSE),"")</f>
        <v/>
      </c>
      <c r="W6">
        <f t="shared" si="0"/>
        <v>0</v>
      </c>
      <c r="Z6" t="str">
        <f>IFERROR(VLOOKUP(Y6,tbFactorMes,2,FALSE),"")</f>
        <v/>
      </c>
      <c r="AA6">
        <f t="shared" si="1"/>
        <v>0</v>
      </c>
      <c r="AD6" t="str">
        <f>IFERROR(VLOOKUP(AC6,tbFactorMes,2,FALSE),"")</f>
        <v/>
      </c>
      <c r="AE6">
        <f t="shared" si="2"/>
        <v>0</v>
      </c>
      <c r="AH6" t="str">
        <f>IFERROR(VLOOKUP(AG6,tbFactorMes,2,FALSE),"")</f>
        <v/>
      </c>
      <c r="AI6">
        <f t="shared" si="3"/>
        <v>0</v>
      </c>
      <c r="AL6" t="str">
        <f>IFERROR(VLOOKUP(AK6,tbFactorMes,2,FALSE),"")</f>
        <v/>
      </c>
      <c r="AM6">
        <f t="shared" si="4"/>
        <v>0</v>
      </c>
      <c r="AP6" t="str">
        <f>IFERROR(VLOOKUP(AO6,tbFactorMes,2,FALSE),"")</f>
        <v/>
      </c>
      <c r="AQ6">
        <f t="shared" si="5"/>
        <v>0</v>
      </c>
      <c r="AT6" t="str">
        <f>IFERROR(VLOOKUP(AS6,tbFactorMes,2,FALSE),"")</f>
        <v/>
      </c>
      <c r="AU6">
        <f t="shared" si="6"/>
        <v>0</v>
      </c>
      <c r="AX6" t="str">
        <f>IFERROR(VLOOKUP(AW6,tbFactorMes,2,FALSE),"")</f>
        <v/>
      </c>
      <c r="AY6">
        <f t="shared" si="7"/>
        <v>0</v>
      </c>
      <c r="BB6" t="str">
        <f>IFERROR(VLOOKUP(BA6,tbFactorMes,2,FALSE),"")</f>
        <v/>
      </c>
      <c r="BC6">
        <f t="shared" si="8"/>
        <v>0</v>
      </c>
      <c r="BF6" t="str">
        <f>IFERROR(VLOOKUP(BE6,tbFactorMes,2,FALSE),"")</f>
        <v/>
      </c>
      <c r="BG6">
        <f t="shared" si="9"/>
        <v>0</v>
      </c>
      <c r="BH6">
        <f t="shared" si="10"/>
        <v>0</v>
      </c>
      <c r="BI6">
        <f t="shared" si="11"/>
        <v>0</v>
      </c>
    </row>
    <row r="7" spans="1:62" x14ac:dyDescent="0.35">
      <c r="K7" t="str">
        <f>IFERROR(VLOOKUP(F7,tbTurnos,3,FALSE),"")</f>
        <v/>
      </c>
      <c r="N7" t="str">
        <f>IFERROR(VLOOKUP(M7,tbFactorMes[],2,FALSE),"")</f>
        <v/>
      </c>
      <c r="O7">
        <f t="shared" si="12"/>
        <v>0</v>
      </c>
      <c r="R7" t="str">
        <f>IFERROR(VLOOKUP(Q7,tbFactorMes,2,FALSE),"")</f>
        <v/>
      </c>
      <c r="S7">
        <f t="shared" si="13"/>
        <v>0</v>
      </c>
      <c r="V7" t="str">
        <f>IFERROR(VLOOKUP(U7,tbFactorMes,2,FALSE),"")</f>
        <v/>
      </c>
      <c r="W7">
        <f t="shared" si="0"/>
        <v>0</v>
      </c>
      <c r="Z7" t="str">
        <f>IFERROR(VLOOKUP(Y7,tbFactorMes,2,FALSE),"")</f>
        <v/>
      </c>
      <c r="AA7">
        <f t="shared" si="1"/>
        <v>0</v>
      </c>
      <c r="AD7" t="str">
        <f>IFERROR(VLOOKUP(AC7,tbFactorMes,2,FALSE),"")</f>
        <v/>
      </c>
      <c r="AE7">
        <f t="shared" si="2"/>
        <v>0</v>
      </c>
      <c r="AH7" t="str">
        <f>IFERROR(VLOOKUP(AG7,tbFactorMes,2,FALSE),"")</f>
        <v/>
      </c>
      <c r="AI7">
        <f t="shared" si="3"/>
        <v>0</v>
      </c>
      <c r="AL7" t="str">
        <f>IFERROR(VLOOKUP(AK7,tbFactorMes,2,FALSE),"")</f>
        <v/>
      </c>
      <c r="AM7">
        <f t="shared" si="4"/>
        <v>0</v>
      </c>
      <c r="AP7" t="str">
        <f>IFERROR(VLOOKUP(AO7,tbFactorMes,2,FALSE),"")</f>
        <v/>
      </c>
      <c r="AQ7">
        <f t="shared" si="5"/>
        <v>0</v>
      </c>
      <c r="AT7" t="str">
        <f>IFERROR(VLOOKUP(AS7,tbFactorMes,2,FALSE),"")</f>
        <v/>
      </c>
      <c r="AU7">
        <f t="shared" si="6"/>
        <v>0</v>
      </c>
      <c r="AX7" t="str">
        <f>IFERROR(VLOOKUP(AW7,tbFactorMes,2,FALSE),"")</f>
        <v/>
      </c>
      <c r="AY7">
        <f t="shared" si="7"/>
        <v>0</v>
      </c>
      <c r="BB7" t="str">
        <f>IFERROR(VLOOKUP(BA7,tbFactorMes,2,FALSE),"")</f>
        <v/>
      </c>
      <c r="BC7">
        <f t="shared" si="8"/>
        <v>0</v>
      </c>
      <c r="BF7" t="str">
        <f>IFERROR(VLOOKUP(BE7,tbFactorMes,2,FALSE),"")</f>
        <v/>
      </c>
      <c r="BG7">
        <f t="shared" si="9"/>
        <v>0</v>
      </c>
      <c r="BH7">
        <f t="shared" si="10"/>
        <v>0</v>
      </c>
      <c r="BI7">
        <f t="shared" si="11"/>
        <v>0</v>
      </c>
    </row>
    <row r="8" spans="1:62" x14ac:dyDescent="0.35">
      <c r="K8" t="str">
        <f>IFERROR(VLOOKUP(F8,tbTurnos,3,FALSE),"")</f>
        <v/>
      </c>
      <c r="N8" t="str">
        <f>IFERROR(VLOOKUP(M8,tbFactorMes[],2,FALSE),"")</f>
        <v/>
      </c>
      <c r="O8">
        <f t="shared" si="12"/>
        <v>0</v>
      </c>
      <c r="R8" t="str">
        <f>IFERROR(VLOOKUP(Q8,tbFactorMes,2,FALSE),"")</f>
        <v/>
      </c>
      <c r="S8">
        <f t="shared" si="13"/>
        <v>0</v>
      </c>
      <c r="V8" t="str">
        <f>IFERROR(VLOOKUP(U8,tbFactorMes,2,FALSE),"")</f>
        <v/>
      </c>
      <c r="W8">
        <f t="shared" si="0"/>
        <v>0</v>
      </c>
      <c r="Z8" t="str">
        <f>IFERROR(VLOOKUP(Y8,tbFactorMes,2,FALSE),"")</f>
        <v/>
      </c>
      <c r="AA8">
        <f t="shared" si="1"/>
        <v>0</v>
      </c>
      <c r="AD8" t="str">
        <f>IFERROR(VLOOKUP(AC8,tbFactorMes,2,FALSE),"")</f>
        <v/>
      </c>
      <c r="AE8">
        <f t="shared" si="2"/>
        <v>0</v>
      </c>
      <c r="AH8" t="str">
        <f>IFERROR(VLOOKUP(AG8,tbFactorMes,2,FALSE),"")</f>
        <v/>
      </c>
      <c r="AI8">
        <f t="shared" si="3"/>
        <v>0</v>
      </c>
      <c r="AL8" t="str">
        <f>IFERROR(VLOOKUP(AK8,tbFactorMes,2,FALSE),"")</f>
        <v/>
      </c>
      <c r="AM8">
        <f t="shared" si="4"/>
        <v>0</v>
      </c>
      <c r="AP8" t="str">
        <f>IFERROR(VLOOKUP(AO8,tbFactorMes,2,FALSE),"")</f>
        <v/>
      </c>
      <c r="AQ8">
        <f t="shared" si="5"/>
        <v>0</v>
      </c>
      <c r="AT8" t="str">
        <f>IFERROR(VLOOKUP(AS8,tbFactorMes,2,FALSE),"")</f>
        <v/>
      </c>
      <c r="AU8">
        <f t="shared" si="6"/>
        <v>0</v>
      </c>
      <c r="AX8" t="str">
        <f>IFERROR(VLOOKUP(AW8,tbFactorMes,2,FALSE),"")</f>
        <v/>
      </c>
      <c r="AY8">
        <f t="shared" si="7"/>
        <v>0</v>
      </c>
      <c r="BB8" t="str">
        <f>IFERROR(VLOOKUP(BA8,tbFactorMes,2,FALSE),"")</f>
        <v/>
      </c>
      <c r="BC8">
        <f t="shared" si="8"/>
        <v>0</v>
      </c>
      <c r="BF8" t="str">
        <f>IFERROR(VLOOKUP(BE8,tbFactorMes,2,FALSE),"")</f>
        <v/>
      </c>
      <c r="BG8">
        <f t="shared" si="9"/>
        <v>0</v>
      </c>
      <c r="BH8">
        <f t="shared" si="10"/>
        <v>0</v>
      </c>
      <c r="BI8">
        <f t="shared" si="11"/>
        <v>0</v>
      </c>
    </row>
    <row r="9" spans="1:62" x14ac:dyDescent="0.35">
      <c r="K9" t="str">
        <f>IFERROR(VLOOKUP(F9,tbTurnos,3,FALSE),"")</f>
        <v/>
      </c>
      <c r="N9" t="str">
        <f>IFERROR(VLOOKUP(M9,tbFactorMes[],2,FALSE),"")</f>
        <v/>
      </c>
      <c r="O9">
        <f t="shared" si="12"/>
        <v>0</v>
      </c>
      <c r="R9" t="str">
        <f>IFERROR(VLOOKUP(Q9,tbFactorMes,2,FALSE),"")</f>
        <v/>
      </c>
      <c r="S9">
        <f t="shared" si="13"/>
        <v>0</v>
      </c>
      <c r="V9" t="str">
        <f>IFERROR(VLOOKUP(U9,tbFactorMes,2,FALSE),"")</f>
        <v/>
      </c>
      <c r="W9">
        <f t="shared" si="0"/>
        <v>0</v>
      </c>
      <c r="Z9" t="str">
        <f>IFERROR(VLOOKUP(Y9,tbFactorMes,2,FALSE),"")</f>
        <v/>
      </c>
      <c r="AA9">
        <f t="shared" si="1"/>
        <v>0</v>
      </c>
      <c r="AD9" t="str">
        <f>IFERROR(VLOOKUP(AC9,tbFactorMes,2,FALSE),"")</f>
        <v/>
      </c>
      <c r="AE9">
        <f t="shared" si="2"/>
        <v>0</v>
      </c>
      <c r="AH9" t="str">
        <f>IFERROR(VLOOKUP(AG9,tbFactorMes,2,FALSE),"")</f>
        <v/>
      </c>
      <c r="AI9">
        <f t="shared" si="3"/>
        <v>0</v>
      </c>
      <c r="AL9" t="str">
        <f>IFERROR(VLOOKUP(AK9,tbFactorMes,2,FALSE),"")</f>
        <v/>
      </c>
      <c r="AM9">
        <f t="shared" si="4"/>
        <v>0</v>
      </c>
      <c r="AP9" t="str">
        <f>IFERROR(VLOOKUP(AO9,tbFactorMes,2,FALSE),"")</f>
        <v/>
      </c>
      <c r="AQ9">
        <f t="shared" si="5"/>
        <v>0</v>
      </c>
      <c r="AT9" t="str">
        <f>IFERROR(VLOOKUP(AS9,tbFactorMes,2,FALSE),"")</f>
        <v/>
      </c>
      <c r="AU9">
        <f t="shared" si="6"/>
        <v>0</v>
      </c>
      <c r="AX9" t="str">
        <f>IFERROR(VLOOKUP(AW9,tbFactorMes,2,FALSE),"")</f>
        <v/>
      </c>
      <c r="AY9">
        <f t="shared" si="7"/>
        <v>0</v>
      </c>
      <c r="BB9" t="str">
        <f>IFERROR(VLOOKUP(BA9,tbFactorMes,2,FALSE),"")</f>
        <v/>
      </c>
      <c r="BC9">
        <f t="shared" si="8"/>
        <v>0</v>
      </c>
      <c r="BF9" t="str">
        <f>IFERROR(VLOOKUP(BE9,tbFactorMes,2,FALSE),"")</f>
        <v/>
      </c>
      <c r="BG9">
        <f t="shared" si="9"/>
        <v>0</v>
      </c>
      <c r="BH9">
        <f t="shared" si="10"/>
        <v>0</v>
      </c>
      <c r="BI9">
        <f t="shared" si="11"/>
        <v>0</v>
      </c>
    </row>
    <row r="10" spans="1:62" x14ac:dyDescent="0.35">
      <c r="K10" t="str">
        <f>IFERROR(VLOOKUP(F10,tbTurnos,3,FALSE),"")</f>
        <v/>
      </c>
      <c r="N10" t="str">
        <f>IFERROR(VLOOKUP(M10,tbFactorMes[],2,FALSE),"")</f>
        <v/>
      </c>
      <c r="O10">
        <f t="shared" si="12"/>
        <v>0</v>
      </c>
      <c r="R10" t="str">
        <f>IFERROR(VLOOKUP(Q10,tbFactorMes,2,FALSE),"")</f>
        <v/>
      </c>
      <c r="S10">
        <f t="shared" si="13"/>
        <v>0</v>
      </c>
      <c r="V10" t="str">
        <f>IFERROR(VLOOKUP(U10,tbFactorMes,2,FALSE),"")</f>
        <v/>
      </c>
      <c r="W10">
        <f t="shared" si="0"/>
        <v>0</v>
      </c>
      <c r="Z10" t="str">
        <f>IFERROR(VLOOKUP(Y10,tbFactorMes,2,FALSE),"")</f>
        <v/>
      </c>
      <c r="AA10">
        <f t="shared" si="1"/>
        <v>0</v>
      </c>
      <c r="AD10" t="str">
        <f>IFERROR(VLOOKUP(AC10,tbFactorMes,2,FALSE),"")</f>
        <v/>
      </c>
      <c r="AE10">
        <f t="shared" si="2"/>
        <v>0</v>
      </c>
      <c r="AH10" t="str">
        <f>IFERROR(VLOOKUP(AG10,tbFactorMes,2,FALSE),"")</f>
        <v/>
      </c>
      <c r="AI10">
        <f t="shared" si="3"/>
        <v>0</v>
      </c>
      <c r="AL10" t="str">
        <f>IFERROR(VLOOKUP(AK10,tbFactorMes,2,FALSE),"")</f>
        <v/>
      </c>
      <c r="AM10">
        <f t="shared" si="4"/>
        <v>0</v>
      </c>
      <c r="AP10" t="str">
        <f>IFERROR(VLOOKUP(AO10,tbFactorMes,2,FALSE),"")</f>
        <v/>
      </c>
      <c r="AQ10">
        <f t="shared" si="5"/>
        <v>0</v>
      </c>
      <c r="AT10" t="str">
        <f>IFERROR(VLOOKUP(AS10,tbFactorMes,2,FALSE),"")</f>
        <v/>
      </c>
      <c r="AU10">
        <f t="shared" si="6"/>
        <v>0</v>
      </c>
      <c r="AX10" t="str">
        <f>IFERROR(VLOOKUP(AW10,tbFactorMes,2,FALSE),"")</f>
        <v/>
      </c>
      <c r="AY10">
        <f t="shared" si="7"/>
        <v>0</v>
      </c>
      <c r="BB10" t="str">
        <f>IFERROR(VLOOKUP(BA10,tbFactorMes,2,FALSE),"")</f>
        <v/>
      </c>
      <c r="BC10">
        <f t="shared" si="8"/>
        <v>0</v>
      </c>
      <c r="BF10" t="str">
        <f>IFERROR(VLOOKUP(BE10,tbFactorMes,2,FALSE),"")</f>
        <v/>
      </c>
      <c r="BG10">
        <f t="shared" si="9"/>
        <v>0</v>
      </c>
      <c r="BH10">
        <f t="shared" si="10"/>
        <v>0</v>
      </c>
      <c r="BI10">
        <f t="shared" si="11"/>
        <v>0</v>
      </c>
    </row>
    <row r="11" spans="1:62" x14ac:dyDescent="0.35">
      <c r="K11" t="str">
        <f>IFERROR(VLOOKUP(F11,tbTurnos,3,FALSE),"")</f>
        <v/>
      </c>
      <c r="N11" t="str">
        <f>IFERROR(VLOOKUP(M11,tbFactorMes[],2,FALSE),"")</f>
        <v/>
      </c>
      <c r="O11">
        <f t="shared" si="12"/>
        <v>0</v>
      </c>
      <c r="R11" t="str">
        <f>IFERROR(VLOOKUP(Q11,tbFactorMes,2,FALSE),"")</f>
        <v/>
      </c>
      <c r="S11">
        <f t="shared" si="13"/>
        <v>0</v>
      </c>
      <c r="V11" t="str">
        <f>IFERROR(VLOOKUP(U11,tbFactorMes,2,FALSE),"")</f>
        <v/>
      </c>
      <c r="W11">
        <f t="shared" si="0"/>
        <v>0</v>
      </c>
      <c r="Z11" t="str">
        <f>IFERROR(VLOOKUP(Y11,tbFactorMes,2,FALSE),"")</f>
        <v/>
      </c>
      <c r="AA11">
        <f t="shared" si="1"/>
        <v>0</v>
      </c>
      <c r="AD11" t="str">
        <f>IFERROR(VLOOKUP(AC11,tbFactorMes,2,FALSE),"")</f>
        <v/>
      </c>
      <c r="AE11">
        <f t="shared" si="2"/>
        <v>0</v>
      </c>
      <c r="AH11" t="str">
        <f>IFERROR(VLOOKUP(AG11,tbFactorMes,2,FALSE),"")</f>
        <v/>
      </c>
      <c r="AI11">
        <f t="shared" si="3"/>
        <v>0</v>
      </c>
      <c r="AL11" t="str">
        <f>IFERROR(VLOOKUP(AK11,tbFactorMes,2,FALSE),"")</f>
        <v/>
      </c>
      <c r="AM11">
        <f t="shared" si="4"/>
        <v>0</v>
      </c>
      <c r="AP11" t="str">
        <f>IFERROR(VLOOKUP(AO11,tbFactorMes,2,FALSE),"")</f>
        <v/>
      </c>
      <c r="AQ11">
        <f t="shared" si="5"/>
        <v>0</v>
      </c>
      <c r="AT11" t="str">
        <f>IFERROR(VLOOKUP(AS11,tbFactorMes,2,FALSE),"")</f>
        <v/>
      </c>
      <c r="AU11">
        <f t="shared" si="6"/>
        <v>0</v>
      </c>
      <c r="AX11" t="str">
        <f>IFERROR(VLOOKUP(AW11,tbFactorMes,2,FALSE),"")</f>
        <v/>
      </c>
      <c r="AY11">
        <f t="shared" si="7"/>
        <v>0</v>
      </c>
      <c r="BB11" t="str">
        <f>IFERROR(VLOOKUP(BA11,tbFactorMes,2,FALSE),"")</f>
        <v/>
      </c>
      <c r="BC11">
        <f t="shared" si="8"/>
        <v>0</v>
      </c>
      <c r="BF11" t="str">
        <f>IFERROR(VLOOKUP(BE11,tbFactorMes,2,FALSE),"")</f>
        <v/>
      </c>
      <c r="BG11">
        <f t="shared" si="9"/>
        <v>0</v>
      </c>
      <c r="BH11">
        <f t="shared" si="10"/>
        <v>0</v>
      </c>
      <c r="BI11">
        <f t="shared" si="11"/>
        <v>0</v>
      </c>
    </row>
    <row r="12" spans="1:62" x14ac:dyDescent="0.35">
      <c r="K12" t="str">
        <f>IFERROR(VLOOKUP(F12,tbTurnos,3,FALSE),"")</f>
        <v/>
      </c>
      <c r="N12" t="str">
        <f>IFERROR(VLOOKUP(M12,tbFactorMes[],2,FALSE),"")</f>
        <v/>
      </c>
      <c r="O12">
        <f t="shared" si="12"/>
        <v>0</v>
      </c>
      <c r="R12" t="str">
        <f>IFERROR(VLOOKUP(Q12,tbFactorMes,2,FALSE),"")</f>
        <v/>
      </c>
      <c r="S12">
        <f t="shared" si="13"/>
        <v>0</v>
      </c>
      <c r="V12" t="str">
        <f>IFERROR(VLOOKUP(U12,tbFactorMes,2,FALSE),"")</f>
        <v/>
      </c>
      <c r="W12">
        <f t="shared" si="0"/>
        <v>0</v>
      </c>
      <c r="Z12" t="str">
        <f>IFERROR(VLOOKUP(Y12,tbFactorMes,2,FALSE),"")</f>
        <v/>
      </c>
      <c r="AA12">
        <f t="shared" si="1"/>
        <v>0</v>
      </c>
      <c r="AD12" t="str">
        <f>IFERROR(VLOOKUP(AC12,tbFactorMes,2,FALSE),"")</f>
        <v/>
      </c>
      <c r="AE12">
        <f t="shared" si="2"/>
        <v>0</v>
      </c>
      <c r="AH12" t="str">
        <f>IFERROR(VLOOKUP(AG12,tbFactorMes,2,FALSE),"")</f>
        <v/>
      </c>
      <c r="AI12">
        <f t="shared" si="3"/>
        <v>0</v>
      </c>
      <c r="AL12" t="str">
        <f>IFERROR(VLOOKUP(AK12,tbFactorMes,2,FALSE),"")</f>
        <v/>
      </c>
      <c r="AM12">
        <f t="shared" si="4"/>
        <v>0</v>
      </c>
      <c r="AP12" t="str">
        <f>IFERROR(VLOOKUP(AO12,tbFactorMes,2,FALSE),"")</f>
        <v/>
      </c>
      <c r="AQ12">
        <f t="shared" si="5"/>
        <v>0</v>
      </c>
      <c r="AT12" t="str">
        <f>IFERROR(VLOOKUP(AS12,tbFactorMes,2,FALSE),"")</f>
        <v/>
      </c>
      <c r="AU12">
        <f t="shared" si="6"/>
        <v>0</v>
      </c>
      <c r="AX12" t="str">
        <f>IFERROR(VLOOKUP(AW12,tbFactorMes,2,FALSE),"")</f>
        <v/>
      </c>
      <c r="AY12">
        <f t="shared" si="7"/>
        <v>0</v>
      </c>
      <c r="BB12" t="str">
        <f>IFERROR(VLOOKUP(BA12,tbFactorMes,2,FALSE),"")</f>
        <v/>
      </c>
      <c r="BC12">
        <f t="shared" si="8"/>
        <v>0</v>
      </c>
      <c r="BF12" t="str">
        <f>IFERROR(VLOOKUP(BE12,tbFactorMes,2,FALSE),"")</f>
        <v/>
      </c>
      <c r="BG12">
        <f t="shared" si="9"/>
        <v>0</v>
      </c>
      <c r="BH12">
        <f t="shared" si="10"/>
        <v>0</v>
      </c>
      <c r="BI12">
        <f t="shared" si="11"/>
        <v>0</v>
      </c>
    </row>
    <row r="13" spans="1:62" x14ac:dyDescent="0.35">
      <c r="K13" t="str">
        <f>IFERROR(VLOOKUP(F13,tbTurnos,3,FALSE),"")</f>
        <v/>
      </c>
      <c r="N13" t="str">
        <f>IFERROR(VLOOKUP(M13,tbFactorMes[],2,FALSE),"")</f>
        <v/>
      </c>
      <c r="O13">
        <f t="shared" si="12"/>
        <v>0</v>
      </c>
      <c r="R13" t="str">
        <f>IFERROR(VLOOKUP(Q13,tbFactorMes,2,FALSE),"")</f>
        <v/>
      </c>
      <c r="S13">
        <f t="shared" si="13"/>
        <v>0</v>
      </c>
      <c r="V13" t="str">
        <f>IFERROR(VLOOKUP(U13,tbFactorMes,2,FALSE),"")</f>
        <v/>
      </c>
      <c r="W13">
        <f t="shared" si="0"/>
        <v>0</v>
      </c>
      <c r="Z13" t="str">
        <f>IFERROR(VLOOKUP(Y13,tbFactorMes,2,FALSE),"")</f>
        <v/>
      </c>
      <c r="AA13">
        <f t="shared" si="1"/>
        <v>0</v>
      </c>
      <c r="AD13" t="str">
        <f>IFERROR(VLOOKUP(AC13,tbFactorMes,2,FALSE),"")</f>
        <v/>
      </c>
      <c r="AE13">
        <f t="shared" si="2"/>
        <v>0</v>
      </c>
      <c r="AH13" t="str">
        <f>IFERROR(VLOOKUP(AG13,tbFactorMes,2,FALSE),"")</f>
        <v/>
      </c>
      <c r="AI13">
        <f t="shared" si="3"/>
        <v>0</v>
      </c>
      <c r="AL13" t="str">
        <f>IFERROR(VLOOKUP(AK13,tbFactorMes,2,FALSE),"")</f>
        <v/>
      </c>
      <c r="AM13">
        <f t="shared" si="4"/>
        <v>0</v>
      </c>
      <c r="AP13" t="str">
        <f>IFERROR(VLOOKUP(AO13,tbFactorMes,2,FALSE),"")</f>
        <v/>
      </c>
      <c r="AQ13">
        <f t="shared" si="5"/>
        <v>0</v>
      </c>
      <c r="AT13" t="str">
        <f>IFERROR(VLOOKUP(AS13,tbFactorMes,2,FALSE),"")</f>
        <v/>
      </c>
      <c r="AU13">
        <f t="shared" si="6"/>
        <v>0</v>
      </c>
      <c r="AX13" t="str">
        <f>IFERROR(VLOOKUP(AW13,tbFactorMes,2,FALSE),"")</f>
        <v/>
      </c>
      <c r="AY13">
        <f t="shared" si="7"/>
        <v>0</v>
      </c>
      <c r="BB13" t="str">
        <f>IFERROR(VLOOKUP(BA13,tbFactorMes,2,FALSE),"")</f>
        <v/>
      </c>
      <c r="BC13">
        <f t="shared" si="8"/>
        <v>0</v>
      </c>
      <c r="BF13" t="str">
        <f>IFERROR(VLOOKUP(BE13,tbFactorMes,2,FALSE),"")</f>
        <v/>
      </c>
      <c r="BG13">
        <f t="shared" si="9"/>
        <v>0</v>
      </c>
      <c r="BH13">
        <f t="shared" si="10"/>
        <v>0</v>
      </c>
      <c r="BI13">
        <f t="shared" si="11"/>
        <v>0</v>
      </c>
    </row>
    <row r="14" spans="1:62" x14ac:dyDescent="0.35">
      <c r="K14" t="str">
        <f>IFERROR(VLOOKUP(F14,tbTurnos,3,FALSE),"")</f>
        <v/>
      </c>
      <c r="N14" t="str">
        <f>IFERROR(VLOOKUP(M14,tbFactorMes[],2,FALSE),"")</f>
        <v/>
      </c>
      <c r="O14">
        <f t="shared" si="12"/>
        <v>0</v>
      </c>
      <c r="R14" t="str">
        <f>IFERROR(VLOOKUP(Q14,tbFactorMes,2,FALSE),"")</f>
        <v/>
      </c>
      <c r="S14">
        <f t="shared" si="13"/>
        <v>0</v>
      </c>
      <c r="V14" t="str">
        <f>IFERROR(VLOOKUP(U14,tbFactorMes,2,FALSE),"")</f>
        <v/>
      </c>
      <c r="W14">
        <f t="shared" si="0"/>
        <v>0</v>
      </c>
      <c r="Z14" t="str">
        <f>IFERROR(VLOOKUP(Y14,tbFactorMes,2,FALSE),"")</f>
        <v/>
      </c>
      <c r="AA14">
        <f t="shared" si="1"/>
        <v>0</v>
      </c>
      <c r="AD14" t="str">
        <f>IFERROR(VLOOKUP(AC14,tbFactorMes,2,FALSE),"")</f>
        <v/>
      </c>
      <c r="AE14">
        <f t="shared" si="2"/>
        <v>0</v>
      </c>
      <c r="AH14" t="str">
        <f>IFERROR(VLOOKUP(AG14,tbFactorMes,2,FALSE),"")</f>
        <v/>
      </c>
      <c r="AI14">
        <f t="shared" si="3"/>
        <v>0</v>
      </c>
      <c r="AL14" t="str">
        <f>IFERROR(VLOOKUP(AK14,tbFactorMes,2,FALSE),"")</f>
        <v/>
      </c>
      <c r="AM14">
        <f t="shared" si="4"/>
        <v>0</v>
      </c>
      <c r="AP14" t="str">
        <f>IFERROR(VLOOKUP(AO14,tbFactorMes,2,FALSE),"")</f>
        <v/>
      </c>
      <c r="AQ14">
        <f t="shared" si="5"/>
        <v>0</v>
      </c>
      <c r="AT14" t="str">
        <f>IFERROR(VLOOKUP(AS14,tbFactorMes,2,FALSE),"")</f>
        <v/>
      </c>
      <c r="AU14">
        <f t="shared" si="6"/>
        <v>0</v>
      </c>
      <c r="AX14" t="str">
        <f>IFERROR(VLOOKUP(AW14,tbFactorMes,2,FALSE),"")</f>
        <v/>
      </c>
      <c r="AY14">
        <f t="shared" si="7"/>
        <v>0</v>
      </c>
      <c r="BB14" t="str">
        <f>IFERROR(VLOOKUP(BA14,tbFactorMes,2,FALSE),"")</f>
        <v/>
      </c>
      <c r="BC14">
        <f t="shared" si="8"/>
        <v>0</v>
      </c>
      <c r="BF14" t="str">
        <f>IFERROR(VLOOKUP(BE14,tbFactorMes,2,FALSE),"")</f>
        <v/>
      </c>
      <c r="BG14">
        <f t="shared" si="9"/>
        <v>0</v>
      </c>
      <c r="BH14">
        <f t="shared" si="10"/>
        <v>0</v>
      </c>
      <c r="BI14">
        <f t="shared" si="11"/>
        <v>0</v>
      </c>
    </row>
    <row r="15" spans="1:62" x14ac:dyDescent="0.35">
      <c r="K15" t="str">
        <f>IFERROR(VLOOKUP(F15,tbTurnos,3,FALSE),"")</f>
        <v/>
      </c>
      <c r="N15" t="str">
        <f>IFERROR(VLOOKUP(M15,tbFactorMes[],2,FALSE),"")</f>
        <v/>
      </c>
      <c r="O15">
        <f t="shared" si="12"/>
        <v>0</v>
      </c>
      <c r="R15" t="str">
        <f>IFERROR(VLOOKUP(Q15,tbFactorMes,2,FALSE),"")</f>
        <v/>
      </c>
      <c r="S15">
        <f t="shared" si="13"/>
        <v>0</v>
      </c>
      <c r="V15" t="str">
        <f>IFERROR(VLOOKUP(U15,tbFactorMes,2,FALSE),"")</f>
        <v/>
      </c>
      <c r="W15">
        <f t="shared" si="0"/>
        <v>0</v>
      </c>
      <c r="Z15" t="str">
        <f>IFERROR(VLOOKUP(Y15,tbFactorMes,2,FALSE),"")</f>
        <v/>
      </c>
      <c r="AA15">
        <f t="shared" si="1"/>
        <v>0</v>
      </c>
      <c r="AD15" t="str">
        <f>IFERROR(VLOOKUP(AC15,tbFactorMes,2,FALSE),"")</f>
        <v/>
      </c>
      <c r="AE15">
        <f t="shared" si="2"/>
        <v>0</v>
      </c>
      <c r="AH15" t="str">
        <f>IFERROR(VLOOKUP(AG15,tbFactorMes,2,FALSE),"")</f>
        <v/>
      </c>
      <c r="AI15">
        <f t="shared" si="3"/>
        <v>0</v>
      </c>
      <c r="AL15" t="str">
        <f>IFERROR(VLOOKUP(AK15,tbFactorMes,2,FALSE),"")</f>
        <v/>
      </c>
      <c r="AM15">
        <f t="shared" si="4"/>
        <v>0</v>
      </c>
      <c r="AP15" t="str">
        <f>IFERROR(VLOOKUP(AO15,tbFactorMes,2,FALSE),"")</f>
        <v/>
      </c>
      <c r="AQ15">
        <f t="shared" si="5"/>
        <v>0</v>
      </c>
      <c r="AT15" t="str">
        <f>IFERROR(VLOOKUP(AS15,tbFactorMes,2,FALSE),"")</f>
        <v/>
      </c>
      <c r="AU15">
        <f t="shared" si="6"/>
        <v>0</v>
      </c>
      <c r="AX15" t="str">
        <f>IFERROR(VLOOKUP(AW15,tbFactorMes,2,FALSE),"")</f>
        <v/>
      </c>
      <c r="AY15">
        <f t="shared" si="7"/>
        <v>0</v>
      </c>
      <c r="BB15" t="str">
        <f>IFERROR(VLOOKUP(BA15,tbFactorMes,2,FALSE),"")</f>
        <v/>
      </c>
      <c r="BC15">
        <f t="shared" si="8"/>
        <v>0</v>
      </c>
      <c r="BF15" t="str">
        <f>IFERROR(VLOOKUP(BE15,tbFactorMes,2,FALSE),"")</f>
        <v/>
      </c>
      <c r="BG15">
        <f t="shared" si="9"/>
        <v>0</v>
      </c>
      <c r="BH15">
        <f t="shared" si="10"/>
        <v>0</v>
      </c>
      <c r="BI15">
        <f t="shared" si="11"/>
        <v>0</v>
      </c>
    </row>
    <row r="16" spans="1:62" x14ac:dyDescent="0.35">
      <c r="K16" t="str">
        <f>IFERROR(VLOOKUP(F16,tbTurnos,3,FALSE),"")</f>
        <v/>
      </c>
      <c r="N16" t="str">
        <f>IFERROR(VLOOKUP(M16,tbFactorMes[],2,FALSE),"")</f>
        <v/>
      </c>
      <c r="O16">
        <f t="shared" si="12"/>
        <v>0</v>
      </c>
      <c r="R16" t="str">
        <f>IFERROR(VLOOKUP(Q16,tbFactorMes,2,FALSE),"")</f>
        <v/>
      </c>
      <c r="S16">
        <f t="shared" si="13"/>
        <v>0</v>
      </c>
      <c r="V16" t="str">
        <f>IFERROR(VLOOKUP(U16,tbFactorMes,2,FALSE),"")</f>
        <v/>
      </c>
      <c r="W16">
        <f t="shared" si="0"/>
        <v>0</v>
      </c>
      <c r="Z16" t="str">
        <f>IFERROR(VLOOKUP(Y16,tbFactorMes,2,FALSE),"")</f>
        <v/>
      </c>
      <c r="AA16">
        <f t="shared" si="1"/>
        <v>0</v>
      </c>
      <c r="AD16" t="str">
        <f>IFERROR(VLOOKUP(AC16,tbFactorMes,2,FALSE),"")</f>
        <v/>
      </c>
      <c r="AE16">
        <f t="shared" si="2"/>
        <v>0</v>
      </c>
      <c r="AH16" t="str">
        <f>IFERROR(VLOOKUP(AG16,tbFactorMes,2,FALSE),"")</f>
        <v/>
      </c>
      <c r="AI16">
        <f t="shared" si="3"/>
        <v>0</v>
      </c>
      <c r="AL16" t="str">
        <f>IFERROR(VLOOKUP(AK16,tbFactorMes,2,FALSE),"")</f>
        <v/>
      </c>
      <c r="AM16">
        <f t="shared" si="4"/>
        <v>0</v>
      </c>
      <c r="AP16" t="str">
        <f>IFERROR(VLOOKUP(AO16,tbFactorMes,2,FALSE),"")</f>
        <v/>
      </c>
      <c r="AQ16">
        <f t="shared" si="5"/>
        <v>0</v>
      </c>
      <c r="AT16" t="str">
        <f>IFERROR(VLOOKUP(AS16,tbFactorMes,2,FALSE),"")</f>
        <v/>
      </c>
      <c r="AU16">
        <f t="shared" si="6"/>
        <v>0</v>
      </c>
      <c r="AX16" t="str">
        <f>IFERROR(VLOOKUP(AW16,tbFactorMes,2,FALSE),"")</f>
        <v/>
      </c>
      <c r="AY16">
        <f t="shared" si="7"/>
        <v>0</v>
      </c>
      <c r="BB16" t="str">
        <f>IFERROR(VLOOKUP(BA16,tbFactorMes,2,FALSE),"")</f>
        <v/>
      </c>
      <c r="BC16">
        <f t="shared" si="8"/>
        <v>0</v>
      </c>
      <c r="BF16" t="str">
        <f>IFERROR(VLOOKUP(BE16,tbFactorMes,2,FALSE),"")</f>
        <v/>
      </c>
      <c r="BG16">
        <f t="shared" si="9"/>
        <v>0</v>
      </c>
      <c r="BH16">
        <f t="shared" si="10"/>
        <v>0</v>
      </c>
      <c r="BI16">
        <f t="shared" si="11"/>
        <v>0</v>
      </c>
    </row>
    <row r="17" spans="11:61" x14ac:dyDescent="0.35">
      <c r="K17" t="str">
        <f>IFERROR(VLOOKUP(F17,tbTurnos,3,FALSE),"")</f>
        <v/>
      </c>
      <c r="N17" t="str">
        <f>IFERROR(VLOOKUP(M17,tbFactorMes[],2,FALSE),"")</f>
        <v/>
      </c>
      <c r="O17">
        <f t="shared" si="12"/>
        <v>0</v>
      </c>
      <c r="R17" t="str">
        <f>IFERROR(VLOOKUP(Q17,tbFactorMes,2,FALSE),"")</f>
        <v/>
      </c>
      <c r="S17">
        <f t="shared" si="13"/>
        <v>0</v>
      </c>
      <c r="V17" t="str">
        <f>IFERROR(VLOOKUP(U17,tbFactorMes,2,FALSE),"")</f>
        <v/>
      </c>
      <c r="W17">
        <f t="shared" si="0"/>
        <v>0</v>
      </c>
      <c r="Z17" t="str">
        <f>IFERROR(VLOOKUP(Y17,tbFactorMes,2,FALSE),"")</f>
        <v/>
      </c>
      <c r="AA17">
        <f t="shared" si="1"/>
        <v>0</v>
      </c>
      <c r="AD17" t="str">
        <f>IFERROR(VLOOKUP(AC17,tbFactorMes,2,FALSE),"")</f>
        <v/>
      </c>
      <c r="AE17">
        <f t="shared" si="2"/>
        <v>0</v>
      </c>
      <c r="AH17" t="str">
        <f>IFERROR(VLOOKUP(AG17,tbFactorMes,2,FALSE),"")</f>
        <v/>
      </c>
      <c r="AI17">
        <f t="shared" si="3"/>
        <v>0</v>
      </c>
      <c r="AL17" t="str">
        <f>IFERROR(VLOOKUP(AK17,tbFactorMes,2,FALSE),"")</f>
        <v/>
      </c>
      <c r="AM17">
        <f t="shared" si="4"/>
        <v>0</v>
      </c>
      <c r="AP17" t="str">
        <f>IFERROR(VLOOKUP(AO17,tbFactorMes,2,FALSE),"")</f>
        <v/>
      </c>
      <c r="AQ17">
        <f t="shared" si="5"/>
        <v>0</v>
      </c>
      <c r="AT17" t="str">
        <f>IFERROR(VLOOKUP(AS17,tbFactorMes,2,FALSE),"")</f>
        <v/>
      </c>
      <c r="AU17">
        <f t="shared" si="6"/>
        <v>0</v>
      </c>
      <c r="AX17" t="str">
        <f>IFERROR(VLOOKUP(AW17,tbFactorMes,2,FALSE),"")</f>
        <v/>
      </c>
      <c r="AY17">
        <f t="shared" si="7"/>
        <v>0</v>
      </c>
      <c r="BB17" t="str">
        <f>IFERROR(VLOOKUP(BA17,tbFactorMes,2,FALSE),"")</f>
        <v/>
      </c>
      <c r="BC17">
        <f t="shared" si="8"/>
        <v>0</v>
      </c>
      <c r="BF17" t="str">
        <f>IFERROR(VLOOKUP(BE17,tbFactorMes,2,FALSE),"")</f>
        <v/>
      </c>
      <c r="BG17">
        <f t="shared" si="9"/>
        <v>0</v>
      </c>
      <c r="BH17">
        <f t="shared" si="10"/>
        <v>0</v>
      </c>
      <c r="BI17">
        <f t="shared" si="11"/>
        <v>0</v>
      </c>
    </row>
    <row r="18" spans="11:61" x14ac:dyDescent="0.35">
      <c r="K18" t="str">
        <f>IFERROR(VLOOKUP(F18,tbTurnos,3,FALSE),"")</f>
        <v/>
      </c>
      <c r="N18" t="str">
        <f>IFERROR(VLOOKUP(M18,tbFactorMes[],2,FALSE),"")</f>
        <v/>
      </c>
      <c r="O18">
        <f t="shared" si="12"/>
        <v>0</v>
      </c>
      <c r="R18" t="str">
        <f>IFERROR(VLOOKUP(Q18,tbFactorMes,2,FALSE),"")</f>
        <v/>
      </c>
      <c r="S18">
        <f t="shared" si="13"/>
        <v>0</v>
      </c>
      <c r="V18" t="str">
        <f>IFERROR(VLOOKUP(U18,tbFactorMes,2,FALSE),"")</f>
        <v/>
      </c>
      <c r="W18">
        <f t="shared" si="0"/>
        <v>0</v>
      </c>
      <c r="Z18" t="str">
        <f>IFERROR(VLOOKUP(Y18,tbFactorMes,2,FALSE),"")</f>
        <v/>
      </c>
      <c r="AA18">
        <f t="shared" si="1"/>
        <v>0</v>
      </c>
      <c r="AD18" t="str">
        <f>IFERROR(VLOOKUP(AC18,tbFactorMes,2,FALSE),"")</f>
        <v/>
      </c>
      <c r="AE18">
        <f t="shared" si="2"/>
        <v>0</v>
      </c>
      <c r="AH18" t="str">
        <f>IFERROR(VLOOKUP(AG18,tbFactorMes,2,FALSE),"")</f>
        <v/>
      </c>
      <c r="AI18">
        <f t="shared" si="3"/>
        <v>0</v>
      </c>
      <c r="AL18" t="str">
        <f>IFERROR(VLOOKUP(AK18,tbFactorMes,2,FALSE),"")</f>
        <v/>
      </c>
      <c r="AM18">
        <f t="shared" si="4"/>
        <v>0</v>
      </c>
      <c r="AP18" t="str">
        <f>IFERROR(VLOOKUP(AO18,tbFactorMes,2,FALSE),"")</f>
        <v/>
      </c>
      <c r="AQ18">
        <f t="shared" si="5"/>
        <v>0</v>
      </c>
      <c r="AT18" t="str">
        <f>IFERROR(VLOOKUP(AS18,tbFactorMes,2,FALSE),"")</f>
        <v/>
      </c>
      <c r="AU18">
        <f t="shared" si="6"/>
        <v>0</v>
      </c>
      <c r="AX18" t="str">
        <f>IFERROR(VLOOKUP(AW18,tbFactorMes,2,FALSE),"")</f>
        <v/>
      </c>
      <c r="AY18">
        <f t="shared" si="7"/>
        <v>0</v>
      </c>
      <c r="BB18" t="str">
        <f>IFERROR(VLOOKUP(BA18,tbFactorMes,2,FALSE),"")</f>
        <v/>
      </c>
      <c r="BC18">
        <f t="shared" si="8"/>
        <v>0</v>
      </c>
      <c r="BF18" t="str">
        <f>IFERROR(VLOOKUP(BE18,tbFactorMes,2,FALSE),"")</f>
        <v/>
      </c>
      <c r="BG18">
        <f t="shared" si="9"/>
        <v>0</v>
      </c>
      <c r="BH18">
        <f t="shared" si="10"/>
        <v>0</v>
      </c>
      <c r="BI18">
        <f t="shared" si="11"/>
        <v>0</v>
      </c>
    </row>
    <row r="19" spans="11:61" x14ac:dyDescent="0.35">
      <c r="K19" t="str">
        <f>IFERROR(VLOOKUP(F19,tbTurnos,3,FALSE),"")</f>
        <v/>
      </c>
      <c r="N19" t="str">
        <f>IFERROR(VLOOKUP(M19,tbFactorMes[],2,FALSE),"")</f>
        <v/>
      </c>
      <c r="O19">
        <f t="shared" si="12"/>
        <v>0</v>
      </c>
      <c r="R19" t="str">
        <f>IFERROR(VLOOKUP(Q19,tbFactorMes,2,FALSE),"")</f>
        <v/>
      </c>
      <c r="S19">
        <f t="shared" si="13"/>
        <v>0</v>
      </c>
      <c r="V19" t="str">
        <f>IFERROR(VLOOKUP(U19,tbFactorMes,2,FALSE),"")</f>
        <v/>
      </c>
      <c r="W19">
        <f t="shared" si="0"/>
        <v>0</v>
      </c>
      <c r="Z19" t="str">
        <f>IFERROR(VLOOKUP(Y19,tbFactorMes,2,FALSE),"")</f>
        <v/>
      </c>
      <c r="AA19">
        <f t="shared" si="1"/>
        <v>0</v>
      </c>
      <c r="AD19" t="str">
        <f>IFERROR(VLOOKUP(AC19,tbFactorMes,2,FALSE),"")</f>
        <v/>
      </c>
      <c r="AE19">
        <f t="shared" si="2"/>
        <v>0</v>
      </c>
      <c r="AH19" t="str">
        <f>IFERROR(VLOOKUP(AG19,tbFactorMes,2,FALSE),"")</f>
        <v/>
      </c>
      <c r="AI19">
        <f t="shared" si="3"/>
        <v>0</v>
      </c>
      <c r="AL19" t="str">
        <f>IFERROR(VLOOKUP(AK19,tbFactorMes,2,FALSE),"")</f>
        <v/>
      </c>
      <c r="AM19">
        <f t="shared" si="4"/>
        <v>0</v>
      </c>
      <c r="AP19" t="str">
        <f>IFERROR(VLOOKUP(AO19,tbFactorMes,2,FALSE),"")</f>
        <v/>
      </c>
      <c r="AQ19">
        <f t="shared" si="5"/>
        <v>0</v>
      </c>
      <c r="AT19" t="str">
        <f>IFERROR(VLOOKUP(AS19,tbFactorMes,2,FALSE),"")</f>
        <v/>
      </c>
      <c r="AU19">
        <f t="shared" si="6"/>
        <v>0</v>
      </c>
      <c r="AX19" t="str">
        <f>IFERROR(VLOOKUP(AW19,tbFactorMes,2,FALSE),"")</f>
        <v/>
      </c>
      <c r="AY19">
        <f t="shared" si="7"/>
        <v>0</v>
      </c>
      <c r="BB19" t="str">
        <f>IFERROR(VLOOKUP(BA19,tbFactorMes,2,FALSE),"")</f>
        <v/>
      </c>
      <c r="BC19">
        <f t="shared" si="8"/>
        <v>0</v>
      </c>
      <c r="BF19" t="str">
        <f>IFERROR(VLOOKUP(BE19,tbFactorMes,2,FALSE),"")</f>
        <v/>
      </c>
      <c r="BG19">
        <f t="shared" si="9"/>
        <v>0</v>
      </c>
      <c r="BH19">
        <f t="shared" si="10"/>
        <v>0</v>
      </c>
      <c r="BI19">
        <f t="shared" si="11"/>
        <v>0</v>
      </c>
    </row>
    <row r="20" spans="11:61" x14ac:dyDescent="0.35">
      <c r="K20" t="str">
        <f>IFERROR(VLOOKUP(F20,tbTurnos,3,FALSE),"")</f>
        <v/>
      </c>
      <c r="N20" t="str">
        <f>IFERROR(VLOOKUP(M20,tbFactorMes[],2,FALSE),"")</f>
        <v/>
      </c>
      <c r="O20">
        <f t="shared" si="12"/>
        <v>0</v>
      </c>
      <c r="R20" t="str">
        <f>IFERROR(VLOOKUP(Q20,tbFactorMes,2,FALSE),"")</f>
        <v/>
      </c>
      <c r="S20">
        <f t="shared" si="13"/>
        <v>0</v>
      </c>
      <c r="V20" t="str">
        <f>IFERROR(VLOOKUP(U20,tbFactorMes,2,FALSE),"")</f>
        <v/>
      </c>
      <c r="W20">
        <f t="shared" si="0"/>
        <v>0</v>
      </c>
      <c r="Z20" t="str">
        <f>IFERROR(VLOOKUP(Y20,tbFactorMes,2,FALSE),"")</f>
        <v/>
      </c>
      <c r="AA20">
        <f t="shared" si="1"/>
        <v>0</v>
      </c>
      <c r="AD20" t="str">
        <f>IFERROR(VLOOKUP(AC20,tbFactorMes,2,FALSE),"")</f>
        <v/>
      </c>
      <c r="AE20">
        <f t="shared" si="2"/>
        <v>0</v>
      </c>
      <c r="AH20" t="str">
        <f>IFERROR(VLOOKUP(AG20,tbFactorMes,2,FALSE),"")</f>
        <v/>
      </c>
      <c r="AI20">
        <f t="shared" si="3"/>
        <v>0</v>
      </c>
      <c r="AL20" t="str">
        <f>IFERROR(VLOOKUP(AK20,tbFactorMes,2,FALSE),"")</f>
        <v/>
      </c>
      <c r="AM20">
        <f t="shared" si="4"/>
        <v>0</v>
      </c>
      <c r="AP20" t="str">
        <f>IFERROR(VLOOKUP(AO20,tbFactorMes,2,FALSE),"")</f>
        <v/>
      </c>
      <c r="AQ20">
        <f t="shared" si="5"/>
        <v>0</v>
      </c>
      <c r="AT20" t="str">
        <f>IFERROR(VLOOKUP(AS20,tbFactorMes,2,FALSE),"")</f>
        <v/>
      </c>
      <c r="AU20">
        <f t="shared" si="6"/>
        <v>0</v>
      </c>
      <c r="AX20" t="str">
        <f>IFERROR(VLOOKUP(AW20,tbFactorMes,2,FALSE),"")</f>
        <v/>
      </c>
      <c r="AY20">
        <f t="shared" si="7"/>
        <v>0</v>
      </c>
      <c r="BB20" t="str">
        <f>IFERROR(VLOOKUP(BA20,tbFactorMes,2,FALSE),"")</f>
        <v/>
      </c>
      <c r="BC20">
        <f t="shared" si="8"/>
        <v>0</v>
      </c>
      <c r="BF20" t="str">
        <f>IFERROR(VLOOKUP(BE20,tbFactorMes,2,FALSE),"")</f>
        <v/>
      </c>
      <c r="BG20">
        <f t="shared" si="9"/>
        <v>0</v>
      </c>
      <c r="BH20">
        <f t="shared" si="10"/>
        <v>0</v>
      </c>
      <c r="BI20">
        <f t="shared" si="11"/>
        <v>0</v>
      </c>
    </row>
    <row r="21" spans="11:61" x14ac:dyDescent="0.35">
      <c r="K21" t="str">
        <f>IFERROR(VLOOKUP(F21,tbTurnos,3,FALSE),"")</f>
        <v/>
      </c>
      <c r="N21" t="str">
        <f>IFERROR(VLOOKUP(M21,tbFactorMes[],2,FALSE),"")</f>
        <v/>
      </c>
      <c r="O21">
        <f t="shared" si="12"/>
        <v>0</v>
      </c>
      <c r="R21" t="str">
        <f>IFERROR(VLOOKUP(Q21,tbFactorMes,2,FALSE),"")</f>
        <v/>
      </c>
      <c r="S21">
        <f t="shared" si="13"/>
        <v>0</v>
      </c>
      <c r="V21" t="str">
        <f>IFERROR(VLOOKUP(U21,tbFactorMes,2,FALSE),"")</f>
        <v/>
      </c>
      <c r="W21">
        <f t="shared" si="0"/>
        <v>0</v>
      </c>
      <c r="Z21" t="str">
        <f>IFERROR(VLOOKUP(Y21,tbFactorMes,2,FALSE),"")</f>
        <v/>
      </c>
      <c r="AA21">
        <f t="shared" si="1"/>
        <v>0</v>
      </c>
      <c r="AD21" t="str">
        <f>IFERROR(VLOOKUP(AC21,tbFactorMes,2,FALSE),"")</f>
        <v/>
      </c>
      <c r="AE21">
        <f t="shared" si="2"/>
        <v>0</v>
      </c>
      <c r="AH21" t="str">
        <f>IFERROR(VLOOKUP(AG21,tbFactorMes,2,FALSE),"")</f>
        <v/>
      </c>
      <c r="AI21">
        <f t="shared" si="3"/>
        <v>0</v>
      </c>
      <c r="AL21" t="str">
        <f>IFERROR(VLOOKUP(AK21,tbFactorMes,2,FALSE),"")</f>
        <v/>
      </c>
      <c r="AM21">
        <f t="shared" si="4"/>
        <v>0</v>
      </c>
      <c r="AP21" t="str">
        <f>IFERROR(VLOOKUP(AO21,tbFactorMes,2,FALSE),"")</f>
        <v/>
      </c>
      <c r="AQ21">
        <f t="shared" si="5"/>
        <v>0</v>
      </c>
      <c r="AT21" t="str">
        <f>IFERROR(VLOOKUP(AS21,tbFactorMes,2,FALSE),"")</f>
        <v/>
      </c>
      <c r="AU21">
        <f t="shared" si="6"/>
        <v>0</v>
      </c>
      <c r="AX21" t="str">
        <f>IFERROR(VLOOKUP(AW21,tbFactorMes,2,FALSE),"")</f>
        <v/>
      </c>
      <c r="AY21">
        <f t="shared" si="7"/>
        <v>0</v>
      </c>
      <c r="BB21" t="str">
        <f>IFERROR(VLOOKUP(BA21,tbFactorMes,2,FALSE),"")</f>
        <v/>
      </c>
      <c r="BC21">
        <f t="shared" si="8"/>
        <v>0</v>
      </c>
      <c r="BF21" t="str">
        <f>IFERROR(VLOOKUP(BE21,tbFactorMes,2,FALSE),"")</f>
        <v/>
      </c>
      <c r="BG21">
        <f t="shared" si="9"/>
        <v>0</v>
      </c>
      <c r="BH21">
        <f t="shared" si="10"/>
        <v>0</v>
      </c>
      <c r="BI21">
        <f t="shared" si="11"/>
        <v>0</v>
      </c>
    </row>
    <row r="22" spans="11:61" x14ac:dyDescent="0.35">
      <c r="K22" t="str">
        <f>IFERROR(VLOOKUP(F22,tbTurnos,3,FALSE),"")</f>
        <v/>
      </c>
      <c r="N22" t="str">
        <f>IFERROR(VLOOKUP(M22,tbFactorMes,2,FALSE),"")</f>
        <v/>
      </c>
      <c r="O22">
        <f t="shared" si="12"/>
        <v>0</v>
      </c>
      <c r="R22" t="str">
        <f>IFERROR(VLOOKUP(Q22,tbFactorMes,2,FALSE),"")</f>
        <v/>
      </c>
      <c r="S22">
        <f t="shared" si="13"/>
        <v>0</v>
      </c>
      <c r="V22" t="str">
        <f>IFERROR(VLOOKUP(U22,tbFactorMes,2,FALSE),"")</f>
        <v/>
      </c>
      <c r="W22">
        <f t="shared" si="0"/>
        <v>0</v>
      </c>
      <c r="Z22" t="str">
        <f>IFERROR(VLOOKUP(Y22,tbFactorMes,2,FALSE),"")</f>
        <v/>
      </c>
      <c r="AA22">
        <f t="shared" si="1"/>
        <v>0</v>
      </c>
      <c r="AD22" t="str">
        <f>IFERROR(VLOOKUP(AC22,tbFactorMes,2,FALSE),"")</f>
        <v/>
      </c>
      <c r="AE22">
        <f t="shared" si="2"/>
        <v>0</v>
      </c>
      <c r="AH22" t="str">
        <f>IFERROR(VLOOKUP(AG22,tbFactorMes,2,FALSE),"")</f>
        <v/>
      </c>
      <c r="AI22">
        <f t="shared" si="3"/>
        <v>0</v>
      </c>
      <c r="AL22" t="str">
        <f>IFERROR(VLOOKUP(AK22,tbFactorMes,2,FALSE),"")</f>
        <v/>
      </c>
      <c r="AM22">
        <f t="shared" si="4"/>
        <v>0</v>
      </c>
      <c r="AP22" t="str">
        <f>IFERROR(VLOOKUP(AO22,tbFactorMes,2,FALSE),"")</f>
        <v/>
      </c>
      <c r="AQ22">
        <f t="shared" si="5"/>
        <v>0</v>
      </c>
      <c r="AT22" t="str">
        <f>IFERROR(VLOOKUP(AS22,tbFactorMes,2,FALSE),"")</f>
        <v/>
      </c>
      <c r="AU22">
        <f t="shared" si="6"/>
        <v>0</v>
      </c>
      <c r="AX22" t="str">
        <f>IFERROR(VLOOKUP(AW22,tbFactorMes,2,FALSE),"")</f>
        <v/>
      </c>
      <c r="AY22">
        <f t="shared" si="7"/>
        <v>0</v>
      </c>
      <c r="BB22" t="str">
        <f>IFERROR(VLOOKUP(BA22,tbFactorMes,2,FALSE),"")</f>
        <v/>
      </c>
      <c r="BC22">
        <f t="shared" si="8"/>
        <v>0</v>
      </c>
      <c r="BF22" t="str">
        <f>IFERROR(VLOOKUP(BE22,tbFactorMes,2,FALSE),"")</f>
        <v/>
      </c>
      <c r="BG22">
        <f t="shared" si="9"/>
        <v>0</v>
      </c>
      <c r="BH22">
        <f t="shared" si="10"/>
        <v>0</v>
      </c>
      <c r="BI22">
        <f t="shared" si="11"/>
        <v>0</v>
      </c>
    </row>
    <row r="23" spans="11:61" x14ac:dyDescent="0.35">
      <c r="K23" t="str">
        <f>IFERROR(VLOOKUP(F23,tbTurnos,3,FALSE),"")</f>
        <v/>
      </c>
      <c r="N23" t="str">
        <f>IFERROR(VLOOKUP(M23,tbFactorMes,2,FALSE),"")</f>
        <v/>
      </c>
      <c r="O23">
        <f t="shared" si="12"/>
        <v>0</v>
      </c>
      <c r="R23" t="str">
        <f>IFERROR(VLOOKUP(Q23,tbFactorMes,2,FALSE),"")</f>
        <v/>
      </c>
      <c r="S23">
        <f t="shared" si="13"/>
        <v>0</v>
      </c>
      <c r="V23" t="str">
        <f>IFERROR(VLOOKUP(U23,tbFactorMes,2,FALSE),"")</f>
        <v/>
      </c>
      <c r="W23">
        <f t="shared" si="0"/>
        <v>0</v>
      </c>
      <c r="Z23" t="str">
        <f>IFERROR(VLOOKUP(Y23,tbFactorMes,2,FALSE),"")</f>
        <v/>
      </c>
      <c r="AA23">
        <f t="shared" si="1"/>
        <v>0</v>
      </c>
      <c r="AD23" t="str">
        <f>IFERROR(VLOOKUP(AC23,tbFactorMes,2,FALSE),"")</f>
        <v/>
      </c>
      <c r="AE23">
        <f t="shared" si="2"/>
        <v>0</v>
      </c>
      <c r="AH23" t="str">
        <f>IFERROR(VLOOKUP(AG23,tbFactorMes,2,FALSE),"")</f>
        <v/>
      </c>
      <c r="AI23">
        <f t="shared" si="3"/>
        <v>0</v>
      </c>
      <c r="AL23" t="str">
        <f>IFERROR(VLOOKUP(AK23,tbFactorMes,2,FALSE),"")</f>
        <v/>
      </c>
      <c r="AM23">
        <f t="shared" si="4"/>
        <v>0</v>
      </c>
      <c r="AP23" t="str">
        <f>IFERROR(VLOOKUP(AO23,tbFactorMes,2,FALSE),"")</f>
        <v/>
      </c>
      <c r="AQ23">
        <f t="shared" si="5"/>
        <v>0</v>
      </c>
      <c r="AT23" t="str">
        <f>IFERROR(VLOOKUP(AS23,tbFactorMes,2,FALSE),"")</f>
        <v/>
      </c>
      <c r="AU23">
        <f t="shared" si="6"/>
        <v>0</v>
      </c>
      <c r="AX23" t="str">
        <f>IFERROR(VLOOKUP(AW23,tbFactorMes,2,FALSE),"")</f>
        <v/>
      </c>
      <c r="AY23">
        <f t="shared" si="7"/>
        <v>0</v>
      </c>
      <c r="BB23" t="str">
        <f>IFERROR(VLOOKUP(BA23,tbFactorMes,2,FALSE),"")</f>
        <v/>
      </c>
      <c r="BC23">
        <f t="shared" si="8"/>
        <v>0</v>
      </c>
      <c r="BF23" t="str">
        <f>IFERROR(VLOOKUP(BE23,tbFactorMes,2,FALSE),"")</f>
        <v/>
      </c>
      <c r="BG23">
        <f t="shared" si="9"/>
        <v>0</v>
      </c>
      <c r="BH23">
        <f t="shared" si="10"/>
        <v>0</v>
      </c>
      <c r="BI23">
        <f t="shared" si="11"/>
        <v>0</v>
      </c>
    </row>
    <row r="24" spans="11:61" x14ac:dyDescent="0.35">
      <c r="K24" t="str">
        <f>IFERROR(VLOOKUP(F24,tbTurnos,3,FALSE),"")</f>
        <v/>
      </c>
      <c r="N24" t="str">
        <f>IFERROR(VLOOKUP(M24,tbFactorMes,2,FALSE),"")</f>
        <v/>
      </c>
      <c r="O24">
        <f t="shared" si="12"/>
        <v>0</v>
      </c>
      <c r="R24" t="str">
        <f>IFERROR(VLOOKUP(Q24,tbFactorMes,2,FALSE),"")</f>
        <v/>
      </c>
      <c r="S24">
        <f t="shared" si="13"/>
        <v>0</v>
      </c>
      <c r="V24" t="str">
        <f>IFERROR(VLOOKUP(U24,tbFactorMes,2,FALSE),"")</f>
        <v/>
      </c>
      <c r="W24">
        <f t="shared" si="0"/>
        <v>0</v>
      </c>
      <c r="Z24" t="str">
        <f>IFERROR(VLOOKUP(Y24,tbFactorMes,2,FALSE),"")</f>
        <v/>
      </c>
      <c r="AA24">
        <f t="shared" si="1"/>
        <v>0</v>
      </c>
      <c r="AD24" t="str">
        <f>IFERROR(VLOOKUP(AC24,tbFactorMes,2,FALSE),"")</f>
        <v/>
      </c>
      <c r="AE24">
        <f t="shared" si="2"/>
        <v>0</v>
      </c>
      <c r="AH24" t="str">
        <f>IFERROR(VLOOKUP(AG24,tbFactorMes,2,FALSE),"")</f>
        <v/>
      </c>
      <c r="AI24">
        <f t="shared" si="3"/>
        <v>0</v>
      </c>
      <c r="AL24" t="str">
        <f>IFERROR(VLOOKUP(AK24,tbFactorMes,2,FALSE),"")</f>
        <v/>
      </c>
      <c r="AM24">
        <f t="shared" si="4"/>
        <v>0</v>
      </c>
      <c r="AP24" t="str">
        <f>IFERROR(VLOOKUP(AO24,tbFactorMes,2,FALSE),"")</f>
        <v/>
      </c>
      <c r="AQ24">
        <f t="shared" si="5"/>
        <v>0</v>
      </c>
      <c r="AT24" t="str">
        <f>IFERROR(VLOOKUP(AS24,tbFactorMes,2,FALSE),"")</f>
        <v/>
      </c>
      <c r="AU24">
        <f t="shared" si="6"/>
        <v>0</v>
      </c>
      <c r="AX24" t="str">
        <f>IFERROR(VLOOKUP(AW24,tbFactorMes,2,FALSE),"")</f>
        <v/>
      </c>
      <c r="AY24">
        <f t="shared" si="7"/>
        <v>0</v>
      </c>
      <c r="BB24" t="str">
        <f>IFERROR(VLOOKUP(BA24,tbFactorMes,2,FALSE),"")</f>
        <v/>
      </c>
      <c r="BC24">
        <f t="shared" si="8"/>
        <v>0</v>
      </c>
      <c r="BF24" t="str">
        <f>IFERROR(VLOOKUP(BE24,tbFactorMes,2,FALSE),"")</f>
        <v/>
      </c>
      <c r="BG24">
        <f t="shared" si="9"/>
        <v>0</v>
      </c>
      <c r="BH24">
        <f t="shared" si="10"/>
        <v>0</v>
      </c>
      <c r="BI24">
        <f t="shared" si="11"/>
        <v>0</v>
      </c>
    </row>
    <row r="25" spans="11:61" x14ac:dyDescent="0.35">
      <c r="K25" t="str">
        <f>IFERROR(VLOOKUP(F25,tbTurnos,3,FALSE),"")</f>
        <v/>
      </c>
      <c r="N25" t="str">
        <f>IFERROR(VLOOKUP(M25,tbFactorMes,2,FALSE),"")</f>
        <v/>
      </c>
      <c r="O25">
        <f t="shared" si="12"/>
        <v>0</v>
      </c>
      <c r="R25" t="str">
        <f>IFERROR(VLOOKUP(Q25,tbFactorMes,2,FALSE),"")</f>
        <v/>
      </c>
      <c r="S25">
        <f t="shared" si="13"/>
        <v>0</v>
      </c>
      <c r="V25" t="str">
        <f>IFERROR(VLOOKUP(U25,tbFactorMes,2,FALSE),"")</f>
        <v/>
      </c>
      <c r="W25">
        <f t="shared" si="0"/>
        <v>0</v>
      </c>
      <c r="Z25" t="str">
        <f>IFERROR(VLOOKUP(Y25,tbFactorMes,2,FALSE),"")</f>
        <v/>
      </c>
      <c r="AA25">
        <f t="shared" si="1"/>
        <v>0</v>
      </c>
      <c r="AD25" t="str">
        <f>IFERROR(VLOOKUP(AC25,tbFactorMes,2,FALSE),"")</f>
        <v/>
      </c>
      <c r="AE25">
        <f t="shared" si="2"/>
        <v>0</v>
      </c>
      <c r="AH25" t="str">
        <f>IFERROR(VLOOKUP(AG25,tbFactorMes,2,FALSE),"")</f>
        <v/>
      </c>
      <c r="AI25">
        <f t="shared" si="3"/>
        <v>0</v>
      </c>
      <c r="AL25" t="str">
        <f>IFERROR(VLOOKUP(AK25,tbFactorMes,2,FALSE),"")</f>
        <v/>
      </c>
      <c r="AM25">
        <f t="shared" si="4"/>
        <v>0</v>
      </c>
      <c r="AP25" t="str">
        <f>IFERROR(VLOOKUP(AO25,tbFactorMes,2,FALSE),"")</f>
        <v/>
      </c>
      <c r="AQ25">
        <f t="shared" si="5"/>
        <v>0</v>
      </c>
      <c r="AT25" t="str">
        <f>IFERROR(VLOOKUP(AS25,tbFactorMes,2,FALSE),"")</f>
        <v/>
      </c>
      <c r="AU25">
        <f t="shared" si="6"/>
        <v>0</v>
      </c>
      <c r="AX25" t="str">
        <f>IFERROR(VLOOKUP(AW25,tbFactorMes,2,FALSE),"")</f>
        <v/>
      </c>
      <c r="AY25">
        <f t="shared" si="7"/>
        <v>0</v>
      </c>
      <c r="BB25" t="str">
        <f>IFERROR(VLOOKUP(BA25,tbFactorMes,2,FALSE),"")</f>
        <v/>
      </c>
      <c r="BC25">
        <f t="shared" si="8"/>
        <v>0</v>
      </c>
      <c r="BF25" t="str">
        <f>IFERROR(VLOOKUP(BE25,tbFactorMes,2,FALSE),"")</f>
        <v/>
      </c>
      <c r="BG25">
        <f t="shared" si="9"/>
        <v>0</v>
      </c>
      <c r="BH25">
        <f t="shared" si="10"/>
        <v>0</v>
      </c>
      <c r="BI25">
        <f t="shared" si="11"/>
        <v>0</v>
      </c>
    </row>
    <row r="26" spans="11:61" x14ac:dyDescent="0.35">
      <c r="K26" t="str">
        <f>IFERROR(VLOOKUP(F26,tbTurnos,3,FALSE),"")</f>
        <v/>
      </c>
      <c r="N26" t="str">
        <f>IFERROR(VLOOKUP(M26,tbFactorMes,2,FALSE),"")</f>
        <v/>
      </c>
      <c r="O26">
        <f t="shared" si="12"/>
        <v>0</v>
      </c>
      <c r="R26" t="str">
        <f>IFERROR(VLOOKUP(Q26,tbFactorMes,2,FALSE),"")</f>
        <v/>
      </c>
      <c r="S26">
        <f t="shared" si="13"/>
        <v>0</v>
      </c>
      <c r="V26" t="str">
        <f>IFERROR(VLOOKUP(U26,tbFactorMes,2,FALSE),"")</f>
        <v/>
      </c>
      <c r="W26">
        <f t="shared" si="0"/>
        <v>0</v>
      </c>
      <c r="Z26" t="str">
        <f>IFERROR(VLOOKUP(Y26,tbFactorMes,2,FALSE),"")</f>
        <v/>
      </c>
      <c r="AA26">
        <f t="shared" si="1"/>
        <v>0</v>
      </c>
      <c r="AD26" t="str">
        <f>IFERROR(VLOOKUP(AC26,tbFactorMes,2,FALSE),"")</f>
        <v/>
      </c>
      <c r="AE26">
        <f t="shared" si="2"/>
        <v>0</v>
      </c>
      <c r="AH26" t="str">
        <f>IFERROR(VLOOKUP(AG26,tbFactorMes,2,FALSE),"")</f>
        <v/>
      </c>
      <c r="AI26">
        <f t="shared" si="3"/>
        <v>0</v>
      </c>
      <c r="AL26" t="str">
        <f>IFERROR(VLOOKUP(AK26,tbFactorMes,2,FALSE),"")</f>
        <v/>
      </c>
      <c r="AM26">
        <f t="shared" si="4"/>
        <v>0</v>
      </c>
      <c r="AP26" t="str">
        <f>IFERROR(VLOOKUP(AO26,tbFactorMes,2,FALSE),"")</f>
        <v/>
      </c>
      <c r="AQ26">
        <f t="shared" si="5"/>
        <v>0</v>
      </c>
      <c r="AT26" t="str">
        <f>IFERROR(VLOOKUP(AS26,tbFactorMes,2,FALSE),"")</f>
        <v/>
      </c>
      <c r="AU26">
        <f t="shared" si="6"/>
        <v>0</v>
      </c>
      <c r="AX26" t="str">
        <f>IFERROR(VLOOKUP(AW26,tbFactorMes,2,FALSE),"")</f>
        <v/>
      </c>
      <c r="AY26">
        <f t="shared" si="7"/>
        <v>0</v>
      </c>
      <c r="BB26" t="str">
        <f>IFERROR(VLOOKUP(BA26,tbFactorMes,2,FALSE),"")</f>
        <v/>
      </c>
      <c r="BC26">
        <f t="shared" si="8"/>
        <v>0</v>
      </c>
      <c r="BF26" t="str">
        <f>IFERROR(VLOOKUP(BE26,tbFactorMes,2,FALSE),"")</f>
        <v/>
      </c>
      <c r="BG26">
        <f t="shared" si="9"/>
        <v>0</v>
      </c>
      <c r="BH26">
        <f t="shared" si="10"/>
        <v>0</v>
      </c>
      <c r="BI26">
        <f t="shared" si="11"/>
        <v>0</v>
      </c>
    </row>
    <row r="27" spans="11:61" x14ac:dyDescent="0.35">
      <c r="K27" t="str">
        <f>IFERROR(VLOOKUP(F27,tbTurnos,3,FALSE),"")</f>
        <v/>
      </c>
      <c r="N27" t="str">
        <f>IFERROR(VLOOKUP(M27,tbFactorMes,2,FALSE),"")</f>
        <v/>
      </c>
      <c r="O27">
        <f t="shared" si="12"/>
        <v>0</v>
      </c>
      <c r="R27" t="str">
        <f>IFERROR(VLOOKUP(Q27,tbFactorMes,2,FALSE),"")</f>
        <v/>
      </c>
      <c r="S27">
        <f t="shared" si="13"/>
        <v>0</v>
      </c>
      <c r="V27" t="str">
        <f>IFERROR(VLOOKUP(U27,tbFactorMes,2,FALSE),"")</f>
        <v/>
      </c>
      <c r="W27">
        <f t="shared" si="0"/>
        <v>0</v>
      </c>
      <c r="Z27" t="str">
        <f>IFERROR(VLOOKUP(Y27,tbFactorMes,2,FALSE),"")</f>
        <v/>
      </c>
      <c r="AA27">
        <f t="shared" si="1"/>
        <v>0</v>
      </c>
      <c r="AD27" t="str">
        <f>IFERROR(VLOOKUP(AC27,tbFactorMes,2,FALSE),"")</f>
        <v/>
      </c>
      <c r="AE27">
        <f t="shared" si="2"/>
        <v>0</v>
      </c>
      <c r="AH27" t="str">
        <f>IFERROR(VLOOKUP(AG27,tbFactorMes,2,FALSE),"")</f>
        <v/>
      </c>
      <c r="AI27">
        <f t="shared" si="3"/>
        <v>0</v>
      </c>
      <c r="AL27" t="str">
        <f>IFERROR(VLOOKUP(AK27,tbFactorMes,2,FALSE),"")</f>
        <v/>
      </c>
      <c r="AM27">
        <f t="shared" si="4"/>
        <v>0</v>
      </c>
      <c r="AP27" t="str">
        <f>IFERROR(VLOOKUP(AO27,tbFactorMes,2,FALSE),"")</f>
        <v/>
      </c>
      <c r="AQ27">
        <f t="shared" si="5"/>
        <v>0</v>
      </c>
      <c r="AT27" t="str">
        <f>IFERROR(VLOOKUP(AS27,tbFactorMes,2,FALSE),"")</f>
        <v/>
      </c>
      <c r="AU27">
        <f t="shared" si="6"/>
        <v>0</v>
      </c>
      <c r="AX27" t="str">
        <f>IFERROR(VLOOKUP(AW27,tbFactorMes,2,FALSE),"")</f>
        <v/>
      </c>
      <c r="AY27">
        <f t="shared" si="7"/>
        <v>0</v>
      </c>
      <c r="BB27" t="str">
        <f>IFERROR(VLOOKUP(BA27,tbFactorMes,2,FALSE),"")</f>
        <v/>
      </c>
      <c r="BC27">
        <f t="shared" si="8"/>
        <v>0</v>
      </c>
      <c r="BF27" t="str">
        <f>IFERROR(VLOOKUP(BE27,tbFactorMes,2,FALSE),"")</f>
        <v/>
      </c>
      <c r="BG27">
        <f t="shared" si="9"/>
        <v>0</v>
      </c>
      <c r="BH27">
        <f t="shared" si="10"/>
        <v>0</v>
      </c>
      <c r="BI27">
        <f t="shared" si="11"/>
        <v>0</v>
      </c>
    </row>
    <row r="28" spans="11:61" x14ac:dyDescent="0.35">
      <c r="K28" t="str">
        <f>IFERROR(VLOOKUP(F28,tbTurnos,3,FALSE),"")</f>
        <v/>
      </c>
      <c r="N28" t="str">
        <f>IFERROR(VLOOKUP(M28,tbFactorMes,2,FALSE),"")</f>
        <v/>
      </c>
      <c r="O28">
        <f t="shared" si="12"/>
        <v>0</v>
      </c>
      <c r="R28" t="str">
        <f>IFERROR(VLOOKUP(Q28,tbFactorMes,2,FALSE),"")</f>
        <v/>
      </c>
      <c r="S28">
        <f t="shared" si="13"/>
        <v>0</v>
      </c>
      <c r="V28" t="str">
        <f>IFERROR(VLOOKUP(U28,tbFactorMes,2,FALSE),"")</f>
        <v/>
      </c>
      <c r="W28">
        <f t="shared" si="0"/>
        <v>0</v>
      </c>
      <c r="Z28" t="str">
        <f>IFERROR(VLOOKUP(Y28,tbFactorMes,2,FALSE),"")</f>
        <v/>
      </c>
      <c r="AA28">
        <f t="shared" si="1"/>
        <v>0</v>
      </c>
      <c r="AD28" t="str">
        <f>IFERROR(VLOOKUP(AC28,tbFactorMes,2,FALSE),"")</f>
        <v/>
      </c>
      <c r="AE28">
        <f t="shared" si="2"/>
        <v>0</v>
      </c>
      <c r="AH28" t="str">
        <f>IFERROR(VLOOKUP(AG28,tbFactorMes,2,FALSE),"")</f>
        <v/>
      </c>
      <c r="AI28">
        <f t="shared" si="3"/>
        <v>0</v>
      </c>
      <c r="AL28" t="str">
        <f>IFERROR(VLOOKUP(AK28,tbFactorMes,2,FALSE),"")</f>
        <v/>
      </c>
      <c r="AM28">
        <f t="shared" si="4"/>
        <v>0</v>
      </c>
      <c r="AP28" t="str">
        <f>IFERROR(VLOOKUP(AO28,tbFactorMes,2,FALSE),"")</f>
        <v/>
      </c>
      <c r="AQ28">
        <f t="shared" si="5"/>
        <v>0</v>
      </c>
      <c r="AT28" t="str">
        <f>IFERROR(VLOOKUP(AS28,tbFactorMes,2,FALSE),"")</f>
        <v/>
      </c>
      <c r="AU28">
        <f t="shared" si="6"/>
        <v>0</v>
      </c>
      <c r="AX28" t="str">
        <f>IFERROR(VLOOKUP(AW28,tbFactorMes,2,FALSE),"")</f>
        <v/>
      </c>
      <c r="AY28">
        <f t="shared" si="7"/>
        <v>0</v>
      </c>
      <c r="BB28" t="str">
        <f>IFERROR(VLOOKUP(BA28,tbFactorMes,2,FALSE),"")</f>
        <v/>
      </c>
      <c r="BC28">
        <f t="shared" si="8"/>
        <v>0</v>
      </c>
      <c r="BF28" t="str">
        <f>IFERROR(VLOOKUP(BE28,tbFactorMes,2,FALSE),"")</f>
        <v/>
      </c>
      <c r="BG28">
        <f t="shared" si="9"/>
        <v>0</v>
      </c>
      <c r="BH28">
        <f t="shared" si="10"/>
        <v>0</v>
      </c>
      <c r="BI28">
        <f t="shared" si="11"/>
        <v>0</v>
      </c>
    </row>
    <row r="29" spans="11:61" x14ac:dyDescent="0.35">
      <c r="K29" t="str">
        <f>IFERROR(VLOOKUP(F29,tbTurnos,3,FALSE),"")</f>
        <v/>
      </c>
      <c r="N29" t="str">
        <f>IFERROR(VLOOKUP(M29,tbFactorMes,2,FALSE),"")</f>
        <v/>
      </c>
      <c r="O29">
        <f t="shared" si="12"/>
        <v>0</v>
      </c>
      <c r="R29" t="str">
        <f>IFERROR(VLOOKUP(Q29,tbFactorMes,2,FALSE),"")</f>
        <v/>
      </c>
      <c r="S29">
        <f t="shared" si="13"/>
        <v>0</v>
      </c>
      <c r="V29" t="str">
        <f>IFERROR(VLOOKUP(U29,tbFactorMes,2,FALSE),"")</f>
        <v/>
      </c>
      <c r="W29">
        <f t="shared" si="0"/>
        <v>0</v>
      </c>
      <c r="Z29" t="str">
        <f>IFERROR(VLOOKUP(Y29,tbFactorMes,2,FALSE),"")</f>
        <v/>
      </c>
      <c r="AA29">
        <f t="shared" si="1"/>
        <v>0</v>
      </c>
      <c r="AD29" t="str">
        <f>IFERROR(VLOOKUP(AC29,tbFactorMes,2,FALSE),"")</f>
        <v/>
      </c>
      <c r="AE29">
        <f t="shared" si="2"/>
        <v>0</v>
      </c>
      <c r="AH29" t="str">
        <f>IFERROR(VLOOKUP(AG29,tbFactorMes,2,FALSE),"")</f>
        <v/>
      </c>
      <c r="AI29">
        <f t="shared" si="3"/>
        <v>0</v>
      </c>
      <c r="AL29" t="str">
        <f>IFERROR(VLOOKUP(AK29,tbFactorMes,2,FALSE),"")</f>
        <v/>
      </c>
      <c r="AM29">
        <f t="shared" si="4"/>
        <v>0</v>
      </c>
      <c r="AP29" t="str">
        <f>IFERROR(VLOOKUP(AO29,tbFactorMes,2,FALSE),"")</f>
        <v/>
      </c>
      <c r="AQ29">
        <f t="shared" si="5"/>
        <v>0</v>
      </c>
      <c r="AT29" t="str">
        <f>IFERROR(VLOOKUP(AS29,tbFactorMes,2,FALSE),"")</f>
        <v/>
      </c>
      <c r="AU29">
        <f t="shared" si="6"/>
        <v>0</v>
      </c>
      <c r="AX29" t="str">
        <f>IFERROR(VLOOKUP(AW29,tbFactorMes,2,FALSE),"")</f>
        <v/>
      </c>
      <c r="AY29">
        <f t="shared" si="7"/>
        <v>0</v>
      </c>
      <c r="BB29" t="str">
        <f>IFERROR(VLOOKUP(BA29,tbFactorMes,2,FALSE),"")</f>
        <v/>
      </c>
      <c r="BC29">
        <f t="shared" si="8"/>
        <v>0</v>
      </c>
      <c r="BF29" t="str">
        <f>IFERROR(VLOOKUP(BE29,tbFactorMes,2,FALSE),"")</f>
        <v/>
      </c>
      <c r="BG29">
        <f t="shared" si="9"/>
        <v>0</v>
      </c>
      <c r="BH29">
        <f t="shared" si="10"/>
        <v>0</v>
      </c>
      <c r="BI29">
        <f t="shared" si="11"/>
        <v>0</v>
      </c>
    </row>
    <row r="30" spans="11:61" x14ac:dyDescent="0.35">
      <c r="K30" t="str">
        <f>IFERROR(VLOOKUP(F30,tbTurnos,3,FALSE),"")</f>
        <v/>
      </c>
      <c r="N30" t="str">
        <f>IFERROR(VLOOKUP(M30,tbFactorMes,2,FALSE),"")</f>
        <v/>
      </c>
      <c r="O30">
        <f t="shared" si="12"/>
        <v>0</v>
      </c>
      <c r="R30" t="str">
        <f>IFERROR(VLOOKUP(Q30,tbFactorMes,2,FALSE),"")</f>
        <v/>
      </c>
      <c r="S30">
        <f t="shared" si="13"/>
        <v>0</v>
      </c>
      <c r="V30" t="str">
        <f>IFERROR(VLOOKUP(U30,tbFactorMes,2,FALSE),"")</f>
        <v/>
      </c>
      <c r="W30">
        <f t="shared" si="0"/>
        <v>0</v>
      </c>
      <c r="Z30" t="str">
        <f>IFERROR(VLOOKUP(Y30,tbFactorMes,2,FALSE),"")</f>
        <v/>
      </c>
      <c r="AA30">
        <f t="shared" si="1"/>
        <v>0</v>
      </c>
      <c r="AD30" t="str">
        <f>IFERROR(VLOOKUP(AC30,tbFactorMes,2,FALSE),"")</f>
        <v/>
      </c>
      <c r="AE30">
        <f t="shared" si="2"/>
        <v>0</v>
      </c>
      <c r="AH30" t="str">
        <f>IFERROR(VLOOKUP(AG30,tbFactorMes,2,FALSE),"")</f>
        <v/>
      </c>
      <c r="AI30">
        <f t="shared" si="3"/>
        <v>0</v>
      </c>
      <c r="AL30" t="str">
        <f>IFERROR(VLOOKUP(AK30,tbFactorMes,2,FALSE),"")</f>
        <v/>
      </c>
      <c r="AM30">
        <f t="shared" si="4"/>
        <v>0</v>
      </c>
      <c r="AP30" t="str">
        <f>IFERROR(VLOOKUP(AO30,tbFactorMes,2,FALSE),"")</f>
        <v/>
      </c>
      <c r="AQ30">
        <f t="shared" si="5"/>
        <v>0</v>
      </c>
      <c r="AT30" t="str">
        <f>IFERROR(VLOOKUP(AS30,tbFactorMes,2,FALSE),"")</f>
        <v/>
      </c>
      <c r="AU30">
        <f t="shared" si="6"/>
        <v>0</v>
      </c>
      <c r="AX30" t="str">
        <f>IFERROR(VLOOKUP(AW30,tbFactorMes,2,FALSE),"")</f>
        <v/>
      </c>
      <c r="AY30">
        <f t="shared" si="7"/>
        <v>0</v>
      </c>
      <c r="BB30" t="str">
        <f>IFERROR(VLOOKUP(BA30,tbFactorMes,2,FALSE),"")</f>
        <v/>
      </c>
      <c r="BC30">
        <f t="shared" si="8"/>
        <v>0</v>
      </c>
      <c r="BF30" t="str">
        <f>IFERROR(VLOOKUP(BE30,tbFactorMes,2,FALSE),"")</f>
        <v/>
      </c>
      <c r="BG30">
        <f t="shared" si="9"/>
        <v>0</v>
      </c>
      <c r="BH30">
        <f t="shared" si="10"/>
        <v>0</v>
      </c>
      <c r="BI30">
        <f t="shared" si="11"/>
        <v>0</v>
      </c>
    </row>
    <row r="31" spans="11:61" x14ac:dyDescent="0.35">
      <c r="K31" t="str">
        <f>IFERROR(VLOOKUP(F31,tbTurnos,3,FALSE),"")</f>
        <v/>
      </c>
      <c r="N31" t="str">
        <f>IFERROR(VLOOKUP(M31,tbFactorMes,2,FALSE),"")</f>
        <v/>
      </c>
      <c r="O31">
        <f t="shared" si="12"/>
        <v>0</v>
      </c>
      <c r="R31" t="str">
        <f>IFERROR(VLOOKUP(Q31,tbFactorMes,2,FALSE),"")</f>
        <v/>
      </c>
      <c r="S31">
        <f t="shared" si="13"/>
        <v>0</v>
      </c>
      <c r="V31" t="str">
        <f>IFERROR(VLOOKUP(U31,tbFactorMes,2,FALSE),"")</f>
        <v/>
      </c>
      <c r="W31">
        <f t="shared" si="0"/>
        <v>0</v>
      </c>
      <c r="Z31" t="str">
        <f>IFERROR(VLOOKUP(Y31,tbFactorMes,2,FALSE),"")</f>
        <v/>
      </c>
      <c r="AA31">
        <f t="shared" si="1"/>
        <v>0</v>
      </c>
      <c r="AD31" t="str">
        <f>IFERROR(VLOOKUP(AC31,tbFactorMes,2,FALSE),"")</f>
        <v/>
      </c>
      <c r="AE31">
        <f t="shared" si="2"/>
        <v>0</v>
      </c>
      <c r="AH31" t="str">
        <f>IFERROR(VLOOKUP(AG31,tbFactorMes,2,FALSE),"")</f>
        <v/>
      </c>
      <c r="AI31">
        <f t="shared" si="3"/>
        <v>0</v>
      </c>
      <c r="AL31" t="str">
        <f>IFERROR(VLOOKUP(AK31,tbFactorMes,2,FALSE),"")</f>
        <v/>
      </c>
      <c r="AM31">
        <f t="shared" si="4"/>
        <v>0</v>
      </c>
      <c r="AP31" t="str">
        <f>IFERROR(VLOOKUP(AO31,tbFactorMes,2,FALSE),"")</f>
        <v/>
      </c>
      <c r="AQ31">
        <f t="shared" si="5"/>
        <v>0</v>
      </c>
      <c r="AT31" t="str">
        <f>IFERROR(VLOOKUP(AS31,tbFactorMes,2,FALSE),"")</f>
        <v/>
      </c>
      <c r="AU31">
        <f t="shared" si="6"/>
        <v>0</v>
      </c>
      <c r="AX31" t="str">
        <f>IFERROR(VLOOKUP(AW31,tbFactorMes,2,FALSE),"")</f>
        <v/>
      </c>
      <c r="AY31">
        <f t="shared" si="7"/>
        <v>0</v>
      </c>
      <c r="BB31" t="str">
        <f>IFERROR(VLOOKUP(BA31,tbFactorMes,2,FALSE),"")</f>
        <v/>
      </c>
      <c r="BC31">
        <f t="shared" si="8"/>
        <v>0</v>
      </c>
      <c r="BF31" t="str">
        <f>IFERROR(VLOOKUP(BE31,tbFactorMes,2,FALSE),"")</f>
        <v/>
      </c>
      <c r="BG31">
        <f t="shared" si="9"/>
        <v>0</v>
      </c>
      <c r="BH31">
        <f t="shared" si="10"/>
        <v>0</v>
      </c>
      <c r="BI31">
        <f t="shared" si="11"/>
        <v>0</v>
      </c>
    </row>
    <row r="32" spans="11:61" x14ac:dyDescent="0.35">
      <c r="K32" t="str">
        <f>IFERROR(VLOOKUP(F32,tbTurnos,3,FALSE),"")</f>
        <v/>
      </c>
      <c r="N32" t="str">
        <f>IFERROR(VLOOKUP(M32,tbFactorMes,2,FALSE),"")</f>
        <v/>
      </c>
      <c r="O32">
        <f t="shared" si="12"/>
        <v>0</v>
      </c>
      <c r="R32" t="str">
        <f>IFERROR(VLOOKUP(Q32,tbFactorMes,2,FALSE),"")</f>
        <v/>
      </c>
      <c r="S32">
        <f t="shared" si="13"/>
        <v>0</v>
      </c>
      <c r="V32" t="str">
        <f>IFERROR(VLOOKUP(U32,tbFactorMes,2,FALSE),"")</f>
        <v/>
      </c>
      <c r="W32">
        <f t="shared" si="0"/>
        <v>0</v>
      </c>
      <c r="Z32" t="str">
        <f>IFERROR(VLOOKUP(Y32,tbFactorMes,2,FALSE),"")</f>
        <v/>
      </c>
      <c r="AA32">
        <f t="shared" si="1"/>
        <v>0</v>
      </c>
      <c r="AD32" t="str">
        <f>IFERROR(VLOOKUP(AC32,tbFactorMes,2,FALSE),"")</f>
        <v/>
      </c>
      <c r="AE32">
        <f t="shared" si="2"/>
        <v>0</v>
      </c>
      <c r="AH32" t="str">
        <f>IFERROR(VLOOKUP(AG32,tbFactorMes,2,FALSE),"")</f>
        <v/>
      </c>
      <c r="AI32">
        <f t="shared" si="3"/>
        <v>0</v>
      </c>
      <c r="AL32" t="str">
        <f>IFERROR(VLOOKUP(AK32,tbFactorMes,2,FALSE),"")</f>
        <v/>
      </c>
      <c r="AM32">
        <f t="shared" si="4"/>
        <v>0</v>
      </c>
      <c r="AP32" t="str">
        <f>IFERROR(VLOOKUP(AO32,tbFactorMes,2,FALSE),"")</f>
        <v/>
      </c>
      <c r="AQ32">
        <f t="shared" si="5"/>
        <v>0</v>
      </c>
      <c r="AT32" t="str">
        <f>IFERROR(VLOOKUP(AS32,tbFactorMes,2,FALSE),"")</f>
        <v/>
      </c>
      <c r="AU32">
        <f t="shared" si="6"/>
        <v>0</v>
      </c>
      <c r="AX32" t="str">
        <f>IFERROR(VLOOKUP(AW32,tbFactorMes,2,FALSE),"")</f>
        <v/>
      </c>
      <c r="AY32">
        <f t="shared" si="7"/>
        <v>0</v>
      </c>
      <c r="BB32" t="str">
        <f>IFERROR(VLOOKUP(BA32,tbFactorMes,2,FALSE),"")</f>
        <v/>
      </c>
      <c r="BC32">
        <f t="shared" si="8"/>
        <v>0</v>
      </c>
      <c r="BF32" t="str">
        <f>IFERROR(VLOOKUP(BE32,tbFactorMes,2,FALSE),"")</f>
        <v/>
      </c>
      <c r="BG32">
        <f t="shared" si="9"/>
        <v>0</v>
      </c>
      <c r="BH32">
        <f t="shared" si="10"/>
        <v>0</v>
      </c>
      <c r="BI32">
        <f t="shared" si="11"/>
        <v>0</v>
      </c>
    </row>
    <row r="33" spans="11:61" x14ac:dyDescent="0.35">
      <c r="K33" t="str">
        <f>IFERROR(VLOOKUP(F33,tbTurnos,3,FALSE),"")</f>
        <v/>
      </c>
      <c r="N33" t="str">
        <f>IFERROR(VLOOKUP(M33,tbFactorMes,2,FALSE),"")</f>
        <v/>
      </c>
      <c r="O33">
        <f t="shared" si="12"/>
        <v>0</v>
      </c>
      <c r="R33" t="str">
        <f>IFERROR(VLOOKUP(Q33,tbFactorMes,2,FALSE),"")</f>
        <v/>
      </c>
      <c r="S33">
        <f t="shared" si="13"/>
        <v>0</v>
      </c>
      <c r="V33" t="str">
        <f>IFERROR(VLOOKUP(U33,tbFactorMes,2,FALSE),"")</f>
        <v/>
      </c>
      <c r="W33">
        <f t="shared" si="0"/>
        <v>0</v>
      </c>
      <c r="Z33" t="str">
        <f>IFERROR(VLOOKUP(Y33,tbFactorMes,2,FALSE),"")</f>
        <v/>
      </c>
      <c r="AA33">
        <f t="shared" si="1"/>
        <v>0</v>
      </c>
      <c r="AD33" t="str">
        <f>IFERROR(VLOOKUP(AC33,tbFactorMes,2,FALSE),"")</f>
        <v/>
      </c>
      <c r="AE33">
        <f t="shared" si="2"/>
        <v>0</v>
      </c>
      <c r="AH33" t="str">
        <f>IFERROR(VLOOKUP(AG33,tbFactorMes,2,FALSE),"")</f>
        <v/>
      </c>
      <c r="AI33">
        <f t="shared" si="3"/>
        <v>0</v>
      </c>
      <c r="AL33" t="str">
        <f>IFERROR(VLOOKUP(AK33,tbFactorMes,2,FALSE),"")</f>
        <v/>
      </c>
      <c r="AM33">
        <f t="shared" si="4"/>
        <v>0</v>
      </c>
      <c r="AP33" t="str">
        <f>IFERROR(VLOOKUP(AO33,tbFactorMes,2,FALSE),"")</f>
        <v/>
      </c>
      <c r="AQ33">
        <f t="shared" si="5"/>
        <v>0</v>
      </c>
      <c r="AT33" t="str">
        <f>IFERROR(VLOOKUP(AS33,tbFactorMes,2,FALSE),"")</f>
        <v/>
      </c>
      <c r="AU33">
        <f t="shared" si="6"/>
        <v>0</v>
      </c>
      <c r="AX33" t="str">
        <f>IFERROR(VLOOKUP(AW33,tbFactorMes,2,FALSE),"")</f>
        <v/>
      </c>
      <c r="AY33">
        <f t="shared" si="7"/>
        <v>0</v>
      </c>
      <c r="BB33" t="str">
        <f>IFERROR(VLOOKUP(BA33,tbFactorMes,2,FALSE),"")</f>
        <v/>
      </c>
      <c r="BC33">
        <f t="shared" si="8"/>
        <v>0</v>
      </c>
      <c r="BF33" t="str">
        <f>IFERROR(VLOOKUP(BE33,tbFactorMes,2,FALSE),"")</f>
        <v/>
      </c>
      <c r="BG33">
        <f t="shared" si="9"/>
        <v>0</v>
      </c>
      <c r="BH33">
        <f t="shared" si="10"/>
        <v>0</v>
      </c>
      <c r="BI33">
        <f t="shared" si="11"/>
        <v>0</v>
      </c>
    </row>
    <row r="34" spans="11:61" x14ac:dyDescent="0.35">
      <c r="K34" t="str">
        <f>IFERROR(VLOOKUP(F34,tbTurnos,3,FALSE),"")</f>
        <v/>
      </c>
      <c r="N34" t="str">
        <f>IFERROR(VLOOKUP(M34,tbFactorMes,2,FALSE),"")</f>
        <v/>
      </c>
      <c r="O34">
        <f t="shared" si="12"/>
        <v>0</v>
      </c>
      <c r="R34" t="str">
        <f>IFERROR(VLOOKUP(Q34,tbFactorMes,2,FALSE),"")</f>
        <v/>
      </c>
      <c r="S34">
        <f t="shared" si="13"/>
        <v>0</v>
      </c>
      <c r="V34" t="str">
        <f>IFERROR(VLOOKUP(U34,tbFactorMes,2,FALSE),"")</f>
        <v/>
      </c>
      <c r="W34">
        <f t="shared" si="0"/>
        <v>0</v>
      </c>
      <c r="Z34" t="str">
        <f>IFERROR(VLOOKUP(Y34,tbFactorMes,2,FALSE),"")</f>
        <v/>
      </c>
      <c r="AA34">
        <f t="shared" si="1"/>
        <v>0</v>
      </c>
      <c r="AD34" t="str">
        <f>IFERROR(VLOOKUP(AC34,tbFactorMes,2,FALSE),"")</f>
        <v/>
      </c>
      <c r="AE34">
        <f t="shared" si="2"/>
        <v>0</v>
      </c>
      <c r="AH34" t="str">
        <f>IFERROR(VLOOKUP(AG34,tbFactorMes,2,FALSE),"")</f>
        <v/>
      </c>
      <c r="AI34">
        <f t="shared" si="3"/>
        <v>0</v>
      </c>
      <c r="AL34" t="str">
        <f>IFERROR(VLOOKUP(AK34,tbFactorMes,2,FALSE),"")</f>
        <v/>
      </c>
      <c r="AM34">
        <f t="shared" si="4"/>
        <v>0</v>
      </c>
      <c r="AP34" t="str">
        <f>IFERROR(VLOOKUP(AO34,tbFactorMes,2,FALSE),"")</f>
        <v/>
      </c>
      <c r="AQ34">
        <f t="shared" si="5"/>
        <v>0</v>
      </c>
      <c r="AT34" t="str">
        <f>IFERROR(VLOOKUP(AS34,tbFactorMes,2,FALSE),"")</f>
        <v/>
      </c>
      <c r="AU34">
        <f t="shared" si="6"/>
        <v>0</v>
      </c>
      <c r="AX34" t="str">
        <f>IFERROR(VLOOKUP(AW34,tbFactorMes,2,FALSE),"")</f>
        <v/>
      </c>
      <c r="AY34">
        <f t="shared" si="7"/>
        <v>0</v>
      </c>
      <c r="BB34" t="str">
        <f>IFERROR(VLOOKUP(BA34,tbFactorMes,2,FALSE),"")</f>
        <v/>
      </c>
      <c r="BC34">
        <f t="shared" si="8"/>
        <v>0</v>
      </c>
      <c r="BF34" t="str">
        <f>IFERROR(VLOOKUP(BE34,tbFactorMes,2,FALSE),"")</f>
        <v/>
      </c>
      <c r="BG34">
        <f t="shared" si="9"/>
        <v>0</v>
      </c>
      <c r="BH34">
        <f t="shared" si="10"/>
        <v>0</v>
      </c>
      <c r="BI34">
        <f t="shared" si="11"/>
        <v>0</v>
      </c>
    </row>
    <row r="35" spans="11:61" x14ac:dyDescent="0.35">
      <c r="K35" t="str">
        <f>IFERROR(VLOOKUP(F35,tbTurnos,3,FALSE),"")</f>
        <v/>
      </c>
      <c r="N35" t="str">
        <f>IFERROR(VLOOKUP(M35,tbFactorMes,2,FALSE),"")</f>
        <v/>
      </c>
      <c r="O35">
        <f t="shared" si="12"/>
        <v>0</v>
      </c>
      <c r="R35" t="str">
        <f>IFERROR(VLOOKUP(Q35,tbFactorMes,2,FALSE),"")</f>
        <v/>
      </c>
      <c r="S35">
        <f t="shared" si="13"/>
        <v>0</v>
      </c>
      <c r="V35" t="str">
        <f>IFERROR(VLOOKUP(U35,tbFactorMes,2,FALSE),"")</f>
        <v/>
      </c>
      <c r="W35">
        <f t="shared" si="0"/>
        <v>0</v>
      </c>
      <c r="Z35" t="str">
        <f>IFERROR(VLOOKUP(Y35,tbFactorMes,2,FALSE),"")</f>
        <v/>
      </c>
      <c r="AA35">
        <f t="shared" si="1"/>
        <v>0</v>
      </c>
      <c r="AD35" t="str">
        <f>IFERROR(VLOOKUP(AC35,tbFactorMes,2,FALSE),"")</f>
        <v/>
      </c>
      <c r="AE35">
        <f t="shared" si="2"/>
        <v>0</v>
      </c>
      <c r="AH35" t="str">
        <f>IFERROR(VLOOKUP(AG35,tbFactorMes,2,FALSE),"")</f>
        <v/>
      </c>
      <c r="AI35">
        <f t="shared" si="3"/>
        <v>0</v>
      </c>
      <c r="AL35" t="str">
        <f>IFERROR(VLOOKUP(AK35,tbFactorMes,2,FALSE),"")</f>
        <v/>
      </c>
      <c r="AM35">
        <f t="shared" si="4"/>
        <v>0</v>
      </c>
      <c r="AP35" t="str">
        <f>IFERROR(VLOOKUP(AO35,tbFactorMes,2,FALSE),"")</f>
        <v/>
      </c>
      <c r="AQ35">
        <f t="shared" si="5"/>
        <v>0</v>
      </c>
      <c r="AT35" t="str">
        <f>IFERROR(VLOOKUP(AS35,tbFactorMes,2,FALSE),"")</f>
        <v/>
      </c>
      <c r="AU35">
        <f t="shared" si="6"/>
        <v>0</v>
      </c>
      <c r="AX35" t="str">
        <f>IFERROR(VLOOKUP(AW35,tbFactorMes,2,FALSE),"")</f>
        <v/>
      </c>
      <c r="AY35">
        <f t="shared" si="7"/>
        <v>0</v>
      </c>
      <c r="BB35" t="str">
        <f>IFERROR(VLOOKUP(BA35,tbFactorMes,2,FALSE),"")</f>
        <v/>
      </c>
      <c r="BC35">
        <f t="shared" si="8"/>
        <v>0</v>
      </c>
      <c r="BF35" t="str">
        <f>IFERROR(VLOOKUP(BE35,tbFactorMes,2,FALSE),"")</f>
        <v/>
      </c>
      <c r="BG35">
        <f t="shared" si="9"/>
        <v>0</v>
      </c>
      <c r="BH35">
        <f t="shared" si="10"/>
        <v>0</v>
      </c>
      <c r="BI35">
        <f t="shared" si="11"/>
        <v>0</v>
      </c>
    </row>
    <row r="36" spans="11:61" x14ac:dyDescent="0.35">
      <c r="K36" t="str">
        <f>IFERROR(VLOOKUP(F36,tbTurnos,3,FALSE),"")</f>
        <v/>
      </c>
      <c r="N36" t="str">
        <f>IFERROR(VLOOKUP(M36,tbFactorMes,2,FALSE),"")</f>
        <v/>
      </c>
      <c r="O36">
        <f t="shared" si="12"/>
        <v>0</v>
      </c>
      <c r="R36" t="str">
        <f>IFERROR(VLOOKUP(Q36,tbFactorMes,2,FALSE),"")</f>
        <v/>
      </c>
      <c r="S36">
        <f t="shared" si="13"/>
        <v>0</v>
      </c>
      <c r="V36" t="str">
        <f>IFERROR(VLOOKUP(U36,tbFactorMes,2,FALSE),"")</f>
        <v/>
      </c>
      <c r="W36">
        <f t="shared" si="0"/>
        <v>0</v>
      </c>
      <c r="Z36" t="str">
        <f>IFERROR(VLOOKUP(Y36,tbFactorMes,2,FALSE),"")</f>
        <v/>
      </c>
      <c r="AA36">
        <f t="shared" si="1"/>
        <v>0</v>
      </c>
      <c r="AD36" t="str">
        <f>IFERROR(VLOOKUP(AC36,tbFactorMes,2,FALSE),"")</f>
        <v/>
      </c>
      <c r="AE36">
        <f t="shared" si="2"/>
        <v>0</v>
      </c>
      <c r="AH36" t="str">
        <f>IFERROR(VLOOKUP(AG36,tbFactorMes,2,FALSE),"")</f>
        <v/>
      </c>
      <c r="AI36">
        <f t="shared" si="3"/>
        <v>0</v>
      </c>
      <c r="AL36" t="str">
        <f>IFERROR(VLOOKUP(AK36,tbFactorMes,2,FALSE),"")</f>
        <v/>
      </c>
      <c r="AM36">
        <f t="shared" si="4"/>
        <v>0</v>
      </c>
      <c r="AP36" t="str">
        <f>IFERROR(VLOOKUP(AO36,tbFactorMes,2,FALSE),"")</f>
        <v/>
      </c>
      <c r="AQ36">
        <f t="shared" si="5"/>
        <v>0</v>
      </c>
      <c r="AT36" t="str">
        <f>IFERROR(VLOOKUP(AS36,tbFactorMes,2,FALSE),"")</f>
        <v/>
      </c>
      <c r="AU36">
        <f t="shared" si="6"/>
        <v>0</v>
      </c>
      <c r="AX36" t="str">
        <f>IFERROR(VLOOKUP(AW36,tbFactorMes,2,FALSE),"")</f>
        <v/>
      </c>
      <c r="AY36">
        <f t="shared" si="7"/>
        <v>0</v>
      </c>
      <c r="BB36" t="str">
        <f>IFERROR(VLOOKUP(BA36,tbFactorMes,2,FALSE),"")</f>
        <v/>
      </c>
      <c r="BC36">
        <f t="shared" si="8"/>
        <v>0</v>
      </c>
      <c r="BF36" t="str">
        <f>IFERROR(VLOOKUP(BE36,tbFactorMes,2,FALSE),"")</f>
        <v/>
      </c>
      <c r="BG36">
        <f t="shared" si="9"/>
        <v>0</v>
      </c>
      <c r="BH36">
        <f t="shared" si="10"/>
        <v>0</v>
      </c>
      <c r="BI36">
        <f t="shared" si="11"/>
        <v>0</v>
      </c>
    </row>
    <row r="37" spans="11:61" x14ac:dyDescent="0.35">
      <c r="K37" t="str">
        <f>IFERROR(VLOOKUP(F37,tbTurnos,3,FALSE),"")</f>
        <v/>
      </c>
      <c r="N37" t="str">
        <f>IFERROR(VLOOKUP(M37,tbFactorMes,2,FALSE),"")</f>
        <v/>
      </c>
      <c r="O37">
        <f t="shared" si="12"/>
        <v>0</v>
      </c>
      <c r="R37" t="str">
        <f>IFERROR(VLOOKUP(Q37,tbFactorMes,2,FALSE),"")</f>
        <v/>
      </c>
      <c r="S37">
        <f t="shared" si="13"/>
        <v>0</v>
      </c>
      <c r="V37" t="str">
        <f>IFERROR(VLOOKUP(U37,tbFactorMes,2,FALSE),"")</f>
        <v/>
      </c>
      <c r="W37">
        <f t="shared" si="0"/>
        <v>0</v>
      </c>
      <c r="Z37" t="str">
        <f>IFERROR(VLOOKUP(Y37,tbFactorMes,2,FALSE),"")</f>
        <v/>
      </c>
      <c r="AA37">
        <f t="shared" si="1"/>
        <v>0</v>
      </c>
      <c r="AD37" t="str">
        <f>IFERROR(VLOOKUP(AC37,tbFactorMes,2,FALSE),"")</f>
        <v/>
      </c>
      <c r="AE37">
        <f t="shared" si="2"/>
        <v>0</v>
      </c>
      <c r="AH37" t="str">
        <f>IFERROR(VLOOKUP(AG37,tbFactorMes,2,FALSE),"")</f>
        <v/>
      </c>
      <c r="AI37">
        <f t="shared" si="3"/>
        <v>0</v>
      </c>
      <c r="AL37" t="str">
        <f>IFERROR(VLOOKUP(AK37,tbFactorMes,2,FALSE),"")</f>
        <v/>
      </c>
      <c r="AM37">
        <f t="shared" si="4"/>
        <v>0</v>
      </c>
      <c r="AP37" t="str">
        <f>IFERROR(VLOOKUP(AO37,tbFactorMes,2,FALSE),"")</f>
        <v/>
      </c>
      <c r="AQ37">
        <f t="shared" si="5"/>
        <v>0</v>
      </c>
      <c r="AT37" t="str">
        <f>IFERROR(VLOOKUP(AS37,tbFactorMes,2,FALSE),"")</f>
        <v/>
      </c>
      <c r="AU37">
        <f t="shared" si="6"/>
        <v>0</v>
      </c>
      <c r="AX37" t="str">
        <f>IFERROR(VLOOKUP(AW37,tbFactorMes,2,FALSE),"")</f>
        <v/>
      </c>
      <c r="AY37">
        <f t="shared" si="7"/>
        <v>0</v>
      </c>
      <c r="BB37" t="str">
        <f>IFERROR(VLOOKUP(BA37,tbFactorMes,2,FALSE),"")</f>
        <v/>
      </c>
      <c r="BC37">
        <f t="shared" si="8"/>
        <v>0</v>
      </c>
      <c r="BF37" t="str">
        <f>IFERROR(VLOOKUP(BE37,tbFactorMes,2,FALSE),"")</f>
        <v/>
      </c>
      <c r="BG37">
        <f t="shared" si="9"/>
        <v>0</v>
      </c>
      <c r="BH37">
        <f t="shared" si="10"/>
        <v>0</v>
      </c>
      <c r="BI37">
        <f t="shared" si="11"/>
        <v>0</v>
      </c>
    </row>
    <row r="38" spans="11:61" x14ac:dyDescent="0.35">
      <c r="K38" t="str">
        <f>IFERROR(VLOOKUP(F38,tbTurnos,3,FALSE),"")</f>
        <v/>
      </c>
      <c r="N38" t="str">
        <f>IFERROR(VLOOKUP(M38,tbFactorMes,2,FALSE),"")</f>
        <v/>
      </c>
      <c r="O38">
        <f t="shared" si="12"/>
        <v>0</v>
      </c>
      <c r="R38" t="str">
        <f>IFERROR(VLOOKUP(Q38,tbFactorMes,2,FALSE),"")</f>
        <v/>
      </c>
      <c r="S38">
        <f t="shared" si="13"/>
        <v>0</v>
      </c>
      <c r="V38" t="str">
        <f>IFERROR(VLOOKUP(U38,tbFactorMes,2,FALSE),"")</f>
        <v/>
      </c>
      <c r="W38">
        <f t="shared" si="0"/>
        <v>0</v>
      </c>
      <c r="Z38" t="str">
        <f>IFERROR(VLOOKUP(Y38,tbFactorMes,2,FALSE),"")</f>
        <v/>
      </c>
      <c r="AA38">
        <f t="shared" si="1"/>
        <v>0</v>
      </c>
      <c r="AD38" t="str">
        <f>IFERROR(VLOOKUP(AC38,tbFactorMes,2,FALSE),"")</f>
        <v/>
      </c>
      <c r="AE38">
        <f t="shared" si="2"/>
        <v>0</v>
      </c>
      <c r="AH38" t="str">
        <f>IFERROR(VLOOKUP(AG38,tbFactorMes,2,FALSE),"")</f>
        <v/>
      </c>
      <c r="AI38">
        <f t="shared" si="3"/>
        <v>0</v>
      </c>
      <c r="AL38" t="str">
        <f>IFERROR(VLOOKUP(AK38,tbFactorMes,2,FALSE),"")</f>
        <v/>
      </c>
      <c r="AM38">
        <f t="shared" si="4"/>
        <v>0</v>
      </c>
      <c r="AP38" t="str">
        <f>IFERROR(VLOOKUP(AO38,tbFactorMes,2,FALSE),"")</f>
        <v/>
      </c>
      <c r="AQ38">
        <f t="shared" si="5"/>
        <v>0</v>
      </c>
      <c r="AT38" t="str">
        <f>IFERROR(VLOOKUP(AS38,tbFactorMes,2,FALSE),"")</f>
        <v/>
      </c>
      <c r="AU38">
        <f t="shared" si="6"/>
        <v>0</v>
      </c>
      <c r="AX38" t="str">
        <f>IFERROR(VLOOKUP(AW38,tbFactorMes,2,FALSE),"")</f>
        <v/>
      </c>
      <c r="AY38">
        <f t="shared" si="7"/>
        <v>0</v>
      </c>
      <c r="BB38" t="str">
        <f>IFERROR(VLOOKUP(BA38,tbFactorMes,2,FALSE),"")</f>
        <v/>
      </c>
      <c r="BC38">
        <f t="shared" si="8"/>
        <v>0</v>
      </c>
      <c r="BF38" t="str">
        <f>IFERROR(VLOOKUP(BE38,tbFactorMes,2,FALSE),"")</f>
        <v/>
      </c>
      <c r="BG38">
        <f t="shared" si="9"/>
        <v>0</v>
      </c>
      <c r="BH38">
        <f t="shared" si="10"/>
        <v>0</v>
      </c>
      <c r="BI38">
        <f t="shared" si="11"/>
        <v>0</v>
      </c>
    </row>
    <row r="39" spans="11:61" x14ac:dyDescent="0.35">
      <c r="K39" t="str">
        <f>IFERROR(VLOOKUP(F39,tbTurnos,3,FALSE),"")</f>
        <v/>
      </c>
      <c r="N39" t="str">
        <f>IFERROR(VLOOKUP(M39,tbFactorMes,2,FALSE),"")</f>
        <v/>
      </c>
      <c r="O39">
        <f t="shared" si="12"/>
        <v>0</v>
      </c>
      <c r="R39" t="str">
        <f>IFERROR(VLOOKUP(Q39,tbFactorMes,2,FALSE),"")</f>
        <v/>
      </c>
      <c r="S39">
        <f t="shared" si="13"/>
        <v>0</v>
      </c>
      <c r="V39" t="str">
        <f>IFERROR(VLOOKUP(U39,tbFactorMes,2,FALSE),"")</f>
        <v/>
      </c>
      <c r="W39">
        <f t="shared" si="0"/>
        <v>0</v>
      </c>
      <c r="Z39" t="str">
        <f>IFERROR(VLOOKUP(Y39,tbFactorMes,2,FALSE),"")</f>
        <v/>
      </c>
      <c r="AA39">
        <f t="shared" si="1"/>
        <v>0</v>
      </c>
      <c r="AD39" t="str">
        <f>IFERROR(VLOOKUP(AC39,tbFactorMes,2,FALSE),"")</f>
        <v/>
      </c>
      <c r="AE39">
        <f t="shared" si="2"/>
        <v>0</v>
      </c>
      <c r="AH39" t="str">
        <f>IFERROR(VLOOKUP(AG39,tbFactorMes,2,FALSE),"")</f>
        <v/>
      </c>
      <c r="AI39">
        <f t="shared" si="3"/>
        <v>0</v>
      </c>
      <c r="AL39" t="str">
        <f>IFERROR(VLOOKUP(AK39,tbFactorMes,2,FALSE),"")</f>
        <v/>
      </c>
      <c r="AM39">
        <f t="shared" si="4"/>
        <v>0</v>
      </c>
      <c r="AP39" t="str">
        <f>IFERROR(VLOOKUP(AO39,tbFactorMes,2,FALSE),"")</f>
        <v/>
      </c>
      <c r="AQ39">
        <f t="shared" si="5"/>
        <v>0</v>
      </c>
      <c r="AT39" t="str">
        <f>IFERROR(VLOOKUP(AS39,tbFactorMes,2,FALSE),"")</f>
        <v/>
      </c>
      <c r="AU39">
        <f t="shared" si="6"/>
        <v>0</v>
      </c>
      <c r="AX39" t="str">
        <f>IFERROR(VLOOKUP(AW39,tbFactorMes,2,FALSE),"")</f>
        <v/>
      </c>
      <c r="AY39">
        <f t="shared" si="7"/>
        <v>0</v>
      </c>
      <c r="BB39" t="str">
        <f>IFERROR(VLOOKUP(BA39,tbFactorMes,2,FALSE),"")</f>
        <v/>
      </c>
      <c r="BC39">
        <f t="shared" si="8"/>
        <v>0</v>
      </c>
      <c r="BF39" t="str">
        <f>IFERROR(VLOOKUP(BE39,tbFactorMes,2,FALSE),"")</f>
        <v/>
      </c>
      <c r="BG39">
        <f t="shared" si="9"/>
        <v>0</v>
      </c>
      <c r="BH39">
        <f t="shared" si="10"/>
        <v>0</v>
      </c>
      <c r="BI39">
        <f t="shared" si="11"/>
        <v>0</v>
      </c>
    </row>
    <row r="40" spans="11:61" x14ac:dyDescent="0.35">
      <c r="K40" t="str">
        <f>IFERROR(VLOOKUP(F40,tbTurnos,3,FALSE),"")</f>
        <v/>
      </c>
      <c r="N40" t="str">
        <f>IFERROR(VLOOKUP(M40,tbFactorMes,2,FALSE),"")</f>
        <v/>
      </c>
      <c r="O40">
        <f t="shared" si="12"/>
        <v>0</v>
      </c>
      <c r="R40" t="str">
        <f>IFERROR(VLOOKUP(Q40,tbFactorMes,2,FALSE),"")</f>
        <v/>
      </c>
      <c r="S40">
        <f t="shared" si="13"/>
        <v>0</v>
      </c>
      <c r="V40" t="str">
        <f>IFERROR(VLOOKUP(U40,tbFactorMes,2,FALSE),"")</f>
        <v/>
      </c>
      <c r="W40">
        <f t="shared" si="0"/>
        <v>0</v>
      </c>
      <c r="Z40" t="str">
        <f>IFERROR(VLOOKUP(Y40,tbFactorMes,2,FALSE),"")</f>
        <v/>
      </c>
      <c r="AA40">
        <f t="shared" si="1"/>
        <v>0</v>
      </c>
      <c r="AD40" t="str">
        <f>IFERROR(VLOOKUP(AC40,tbFactorMes,2,FALSE),"")</f>
        <v/>
      </c>
      <c r="AE40">
        <f t="shared" si="2"/>
        <v>0</v>
      </c>
      <c r="AH40" t="str">
        <f>IFERROR(VLOOKUP(AG40,tbFactorMes,2,FALSE),"")</f>
        <v/>
      </c>
      <c r="AI40">
        <f t="shared" si="3"/>
        <v>0</v>
      </c>
      <c r="AL40" t="str">
        <f>IFERROR(VLOOKUP(AK40,tbFactorMes,2,FALSE),"")</f>
        <v/>
      </c>
      <c r="AM40">
        <f t="shared" si="4"/>
        <v>0</v>
      </c>
      <c r="AP40" t="str">
        <f>IFERROR(VLOOKUP(AO40,tbFactorMes,2,FALSE),"")</f>
        <v/>
      </c>
      <c r="AQ40">
        <f t="shared" si="5"/>
        <v>0</v>
      </c>
      <c r="AT40" t="str">
        <f>IFERROR(VLOOKUP(AS40,tbFactorMes,2,FALSE),"")</f>
        <v/>
      </c>
      <c r="AU40">
        <f t="shared" si="6"/>
        <v>0</v>
      </c>
      <c r="AX40" t="str">
        <f>IFERROR(VLOOKUP(AW40,tbFactorMes,2,FALSE),"")</f>
        <v/>
      </c>
      <c r="AY40">
        <f t="shared" si="7"/>
        <v>0</v>
      </c>
      <c r="BB40" t="str">
        <f>IFERROR(VLOOKUP(BA40,tbFactorMes,2,FALSE),"")</f>
        <v/>
      </c>
      <c r="BC40">
        <f t="shared" si="8"/>
        <v>0</v>
      </c>
      <c r="BF40" t="str">
        <f>IFERROR(VLOOKUP(BE40,tbFactorMes,2,FALSE),"")</f>
        <v/>
      </c>
      <c r="BG40">
        <f t="shared" si="9"/>
        <v>0</v>
      </c>
      <c r="BH40">
        <f t="shared" si="10"/>
        <v>0</v>
      </c>
      <c r="BI40">
        <f t="shared" si="11"/>
        <v>0</v>
      </c>
    </row>
    <row r="41" spans="11:61" x14ac:dyDescent="0.35">
      <c r="K41" t="str">
        <f>IFERROR(VLOOKUP(F41,tbTurnos,3,FALSE),"")</f>
        <v/>
      </c>
      <c r="N41" t="str">
        <f>IFERROR(VLOOKUP(M41,tbFactorMes,2,FALSE),"")</f>
        <v/>
      </c>
      <c r="O41">
        <f t="shared" si="12"/>
        <v>0</v>
      </c>
      <c r="R41" t="str">
        <f>IFERROR(VLOOKUP(Q41,tbFactorMes,2,FALSE),"")</f>
        <v/>
      </c>
      <c r="S41">
        <f t="shared" si="13"/>
        <v>0</v>
      </c>
      <c r="V41" t="str">
        <f>IFERROR(VLOOKUP(U41,tbFactorMes,2,FALSE),"")</f>
        <v/>
      </c>
      <c r="W41">
        <f t="shared" si="0"/>
        <v>0</v>
      </c>
      <c r="Z41" t="str">
        <f>IFERROR(VLOOKUP(Y41,tbFactorMes,2,FALSE),"")</f>
        <v/>
      </c>
      <c r="AA41">
        <f t="shared" si="1"/>
        <v>0</v>
      </c>
      <c r="AD41" t="str">
        <f>IFERROR(VLOOKUP(AC41,tbFactorMes,2,FALSE),"")</f>
        <v/>
      </c>
      <c r="AE41">
        <f t="shared" si="2"/>
        <v>0</v>
      </c>
      <c r="AH41" t="str">
        <f>IFERROR(VLOOKUP(AG41,tbFactorMes,2,FALSE),"")</f>
        <v/>
      </c>
      <c r="AI41">
        <f t="shared" si="3"/>
        <v>0</v>
      </c>
      <c r="AL41" t="str">
        <f>IFERROR(VLOOKUP(AK41,tbFactorMes,2,FALSE),"")</f>
        <v/>
      </c>
      <c r="AM41">
        <f t="shared" si="4"/>
        <v>0</v>
      </c>
      <c r="AP41" t="str">
        <f>IFERROR(VLOOKUP(AO41,tbFactorMes,2,FALSE),"")</f>
        <v/>
      </c>
      <c r="AQ41">
        <f t="shared" si="5"/>
        <v>0</v>
      </c>
      <c r="AT41" t="str">
        <f>IFERROR(VLOOKUP(AS41,tbFactorMes,2,FALSE),"")</f>
        <v/>
      </c>
      <c r="AU41">
        <f t="shared" si="6"/>
        <v>0</v>
      </c>
      <c r="AX41" t="str">
        <f>IFERROR(VLOOKUP(AW41,tbFactorMes,2,FALSE),"")</f>
        <v/>
      </c>
      <c r="AY41">
        <f t="shared" si="7"/>
        <v>0</v>
      </c>
      <c r="BB41" t="str">
        <f>IFERROR(VLOOKUP(BA41,tbFactorMes,2,FALSE),"")</f>
        <v/>
      </c>
      <c r="BC41">
        <f t="shared" si="8"/>
        <v>0</v>
      </c>
      <c r="BF41" t="str">
        <f>IFERROR(VLOOKUP(BE41,tbFactorMes,2,FALSE),"")</f>
        <v/>
      </c>
      <c r="BG41">
        <f t="shared" si="9"/>
        <v>0</v>
      </c>
      <c r="BH41">
        <f t="shared" si="10"/>
        <v>0</v>
      </c>
      <c r="BI41">
        <f t="shared" si="11"/>
        <v>0</v>
      </c>
    </row>
    <row r="42" spans="11:61" x14ac:dyDescent="0.35">
      <c r="K42" t="str">
        <f>IFERROR(VLOOKUP(F42,tbTurnos,3,FALSE),"")</f>
        <v/>
      </c>
      <c r="N42" t="str">
        <f>IFERROR(VLOOKUP(M42,tbFactorMes,2,FALSE),"")</f>
        <v/>
      </c>
      <c r="O42">
        <f t="shared" si="12"/>
        <v>0</v>
      </c>
      <c r="R42" t="str">
        <f>IFERROR(VLOOKUP(Q42,tbFactorMes,2,FALSE),"")</f>
        <v/>
      </c>
      <c r="S42">
        <f t="shared" si="13"/>
        <v>0</v>
      </c>
      <c r="V42" t="str">
        <f>IFERROR(VLOOKUP(U42,tbFactorMes,2,FALSE),"")</f>
        <v/>
      </c>
      <c r="W42">
        <f t="shared" si="0"/>
        <v>0</v>
      </c>
      <c r="Z42" t="str">
        <f>IFERROR(VLOOKUP(Y42,tbFactorMes,2,FALSE),"")</f>
        <v/>
      </c>
      <c r="AA42">
        <f t="shared" si="1"/>
        <v>0</v>
      </c>
      <c r="AD42" t="str">
        <f>IFERROR(VLOOKUP(AC42,tbFactorMes,2,FALSE),"")</f>
        <v/>
      </c>
      <c r="AE42">
        <f t="shared" si="2"/>
        <v>0</v>
      </c>
      <c r="AH42" t="str">
        <f>IFERROR(VLOOKUP(AG42,tbFactorMes,2,FALSE),"")</f>
        <v/>
      </c>
      <c r="AI42">
        <f t="shared" si="3"/>
        <v>0</v>
      </c>
      <c r="AL42" t="str">
        <f>IFERROR(VLOOKUP(AK42,tbFactorMes,2,FALSE),"")</f>
        <v/>
      </c>
      <c r="AM42">
        <f t="shared" si="4"/>
        <v>0</v>
      </c>
      <c r="AP42" t="str">
        <f>IFERROR(VLOOKUP(AO42,tbFactorMes,2,FALSE),"")</f>
        <v/>
      </c>
      <c r="AQ42">
        <f t="shared" si="5"/>
        <v>0</v>
      </c>
      <c r="AT42" t="str">
        <f>IFERROR(VLOOKUP(AS42,tbFactorMes,2,FALSE),"")</f>
        <v/>
      </c>
      <c r="AU42">
        <f t="shared" si="6"/>
        <v>0</v>
      </c>
      <c r="AX42" t="str">
        <f>IFERROR(VLOOKUP(AW42,tbFactorMes,2,FALSE),"")</f>
        <v/>
      </c>
      <c r="AY42">
        <f t="shared" si="7"/>
        <v>0</v>
      </c>
      <c r="BB42" t="str">
        <f>IFERROR(VLOOKUP(BA42,tbFactorMes,2,FALSE),"")</f>
        <v/>
      </c>
      <c r="BC42">
        <f t="shared" si="8"/>
        <v>0</v>
      </c>
      <c r="BF42" t="str">
        <f>IFERROR(VLOOKUP(BE42,tbFactorMes,2,FALSE),"")</f>
        <v/>
      </c>
      <c r="BG42">
        <f t="shared" si="9"/>
        <v>0</v>
      </c>
      <c r="BH42">
        <f t="shared" si="10"/>
        <v>0</v>
      </c>
      <c r="BI42">
        <f t="shared" si="11"/>
        <v>0</v>
      </c>
    </row>
    <row r="43" spans="11:61" x14ac:dyDescent="0.35">
      <c r="K43" t="str">
        <f>IFERROR(VLOOKUP(F43,tbTurnos,3,FALSE),"")</f>
        <v/>
      </c>
      <c r="N43" t="str">
        <f>IFERROR(VLOOKUP(M43,tbFactorMes,2,FALSE),"")</f>
        <v/>
      </c>
      <c r="O43">
        <f t="shared" si="12"/>
        <v>0</v>
      </c>
      <c r="R43" t="str">
        <f>IFERROR(VLOOKUP(Q43,tbFactorMes,2,FALSE),"")</f>
        <v/>
      </c>
      <c r="S43">
        <f t="shared" si="13"/>
        <v>0</v>
      </c>
      <c r="V43" t="str">
        <f>IFERROR(VLOOKUP(U43,tbFactorMes,2,FALSE),"")</f>
        <v/>
      </c>
      <c r="W43">
        <f t="shared" si="0"/>
        <v>0</v>
      </c>
      <c r="Z43" t="str">
        <f>IFERROR(VLOOKUP(Y43,tbFactorMes,2,FALSE),"")</f>
        <v/>
      </c>
      <c r="AA43">
        <f t="shared" si="1"/>
        <v>0</v>
      </c>
      <c r="AD43" t="str">
        <f>IFERROR(VLOOKUP(AC43,tbFactorMes,2,FALSE),"")</f>
        <v/>
      </c>
      <c r="AE43">
        <f t="shared" si="2"/>
        <v>0</v>
      </c>
      <c r="AH43" t="str">
        <f>IFERROR(VLOOKUP(AG43,tbFactorMes,2,FALSE),"")</f>
        <v/>
      </c>
      <c r="AI43">
        <f t="shared" si="3"/>
        <v>0</v>
      </c>
      <c r="AL43" t="str">
        <f>IFERROR(VLOOKUP(AK43,tbFactorMes,2,FALSE),"")</f>
        <v/>
      </c>
      <c r="AM43">
        <f t="shared" si="4"/>
        <v>0</v>
      </c>
      <c r="AP43" t="str">
        <f>IFERROR(VLOOKUP(AO43,tbFactorMes,2,FALSE),"")</f>
        <v/>
      </c>
      <c r="AQ43">
        <f t="shared" si="5"/>
        <v>0</v>
      </c>
      <c r="AT43" t="str">
        <f>IFERROR(VLOOKUP(AS43,tbFactorMes,2,FALSE),"")</f>
        <v/>
      </c>
      <c r="AU43">
        <f t="shared" si="6"/>
        <v>0</v>
      </c>
      <c r="AX43" t="str">
        <f>IFERROR(VLOOKUP(AW43,tbFactorMes,2,FALSE),"")</f>
        <v/>
      </c>
      <c r="AY43">
        <f t="shared" si="7"/>
        <v>0</v>
      </c>
      <c r="BB43" t="str">
        <f>IFERROR(VLOOKUP(BA43,tbFactorMes,2,FALSE),"")</f>
        <v/>
      </c>
      <c r="BC43">
        <f t="shared" si="8"/>
        <v>0</v>
      </c>
      <c r="BF43" t="str">
        <f>IFERROR(VLOOKUP(BE43,tbFactorMes,2,FALSE),"")</f>
        <v/>
      </c>
      <c r="BG43">
        <f t="shared" si="9"/>
        <v>0</v>
      </c>
      <c r="BH43">
        <f t="shared" si="10"/>
        <v>0</v>
      </c>
      <c r="BI43">
        <f t="shared" si="11"/>
        <v>0</v>
      </c>
    </row>
    <row r="44" spans="11:61" x14ac:dyDescent="0.35">
      <c r="K44" t="str">
        <f>IFERROR(VLOOKUP(F44,tbTurnos,3,FALSE),"")</f>
        <v/>
      </c>
      <c r="N44" t="str">
        <f>IFERROR(VLOOKUP(M44,tbFactorMes,2,FALSE),"")</f>
        <v/>
      </c>
      <c r="O44">
        <f t="shared" si="12"/>
        <v>0</v>
      </c>
      <c r="R44" t="str">
        <f>IFERROR(VLOOKUP(Q44,tbFactorMes,2,FALSE),"")</f>
        <v/>
      </c>
      <c r="S44">
        <f t="shared" si="13"/>
        <v>0</v>
      </c>
      <c r="V44" t="str">
        <f>IFERROR(VLOOKUP(U44,tbFactorMes,2,FALSE),"")</f>
        <v/>
      </c>
      <c r="W44">
        <f t="shared" si="0"/>
        <v>0</v>
      </c>
      <c r="Z44" t="str">
        <f>IFERROR(VLOOKUP(Y44,tbFactorMes,2,FALSE),"")</f>
        <v/>
      </c>
      <c r="AA44">
        <f t="shared" si="1"/>
        <v>0</v>
      </c>
      <c r="AD44" t="str">
        <f>IFERROR(VLOOKUP(AC44,tbFactorMes,2,FALSE),"")</f>
        <v/>
      </c>
      <c r="AE44">
        <f t="shared" si="2"/>
        <v>0</v>
      </c>
      <c r="AH44" t="str">
        <f>IFERROR(VLOOKUP(AG44,tbFactorMes,2,FALSE),"")</f>
        <v/>
      </c>
      <c r="AI44">
        <f t="shared" si="3"/>
        <v>0</v>
      </c>
      <c r="AL44" t="str">
        <f>IFERROR(VLOOKUP(AK44,tbFactorMes,2,FALSE),"")</f>
        <v/>
      </c>
      <c r="AM44">
        <f t="shared" si="4"/>
        <v>0</v>
      </c>
      <c r="AP44" t="str">
        <f>IFERROR(VLOOKUP(AO44,tbFactorMes,2,FALSE),"")</f>
        <v/>
      </c>
      <c r="AQ44">
        <f t="shared" si="5"/>
        <v>0</v>
      </c>
      <c r="AT44" t="str">
        <f>IFERROR(VLOOKUP(AS44,tbFactorMes,2,FALSE),"")</f>
        <v/>
      </c>
      <c r="AU44">
        <f t="shared" si="6"/>
        <v>0</v>
      </c>
      <c r="AX44" t="str">
        <f>IFERROR(VLOOKUP(AW44,tbFactorMes,2,FALSE),"")</f>
        <v/>
      </c>
      <c r="AY44">
        <f t="shared" si="7"/>
        <v>0</v>
      </c>
      <c r="BB44" t="str">
        <f>IFERROR(VLOOKUP(BA44,tbFactorMes,2,FALSE),"")</f>
        <v/>
      </c>
      <c r="BC44">
        <f t="shared" si="8"/>
        <v>0</v>
      </c>
      <c r="BF44" t="str">
        <f>IFERROR(VLOOKUP(BE44,tbFactorMes,2,FALSE),"")</f>
        <v/>
      </c>
      <c r="BG44">
        <f t="shared" si="9"/>
        <v>0</v>
      </c>
      <c r="BH44">
        <f t="shared" si="10"/>
        <v>0</v>
      </c>
      <c r="BI44">
        <f t="shared" si="11"/>
        <v>0</v>
      </c>
    </row>
    <row r="45" spans="11:61" x14ac:dyDescent="0.35">
      <c r="K45" t="str">
        <f>IFERROR(VLOOKUP(F45,tbTurnos,3,FALSE),"")</f>
        <v/>
      </c>
      <c r="N45" t="str">
        <f>IFERROR(VLOOKUP(M45,tbFactorMes,2,FALSE),"")</f>
        <v/>
      </c>
      <c r="O45">
        <f t="shared" si="12"/>
        <v>0</v>
      </c>
      <c r="R45" t="str">
        <f>IFERROR(VLOOKUP(Q45,tbFactorMes,2,FALSE),"")</f>
        <v/>
      </c>
      <c r="S45">
        <f t="shared" si="13"/>
        <v>0</v>
      </c>
      <c r="V45" t="str">
        <f>IFERROR(VLOOKUP(U45,tbFactorMes,2,FALSE),"")</f>
        <v/>
      </c>
      <c r="W45">
        <f t="shared" si="0"/>
        <v>0</v>
      </c>
      <c r="Z45" t="str">
        <f>IFERROR(VLOOKUP(Y45,tbFactorMes,2,FALSE),"")</f>
        <v/>
      </c>
      <c r="AA45">
        <f t="shared" si="1"/>
        <v>0</v>
      </c>
      <c r="AD45" t="str">
        <f>IFERROR(VLOOKUP(AC45,tbFactorMes,2,FALSE),"")</f>
        <v/>
      </c>
      <c r="AE45">
        <f t="shared" si="2"/>
        <v>0</v>
      </c>
      <c r="AH45" t="str">
        <f>IFERROR(VLOOKUP(AG45,tbFactorMes,2,FALSE),"")</f>
        <v/>
      </c>
      <c r="AI45">
        <f t="shared" si="3"/>
        <v>0</v>
      </c>
      <c r="AL45" t="str">
        <f>IFERROR(VLOOKUP(AK45,tbFactorMes,2,FALSE),"")</f>
        <v/>
      </c>
      <c r="AM45">
        <f t="shared" si="4"/>
        <v>0</v>
      </c>
      <c r="AP45" t="str">
        <f>IFERROR(VLOOKUP(AO45,tbFactorMes,2,FALSE),"")</f>
        <v/>
      </c>
      <c r="AQ45">
        <f t="shared" si="5"/>
        <v>0</v>
      </c>
      <c r="AT45" t="str">
        <f>IFERROR(VLOOKUP(AS45,tbFactorMes,2,FALSE),"")</f>
        <v/>
      </c>
      <c r="AU45">
        <f t="shared" si="6"/>
        <v>0</v>
      </c>
      <c r="AX45" t="str">
        <f>IFERROR(VLOOKUP(AW45,tbFactorMes,2,FALSE),"")</f>
        <v/>
      </c>
      <c r="AY45">
        <f t="shared" si="7"/>
        <v>0</v>
      </c>
      <c r="BB45" t="str">
        <f>IFERROR(VLOOKUP(BA45,tbFactorMes,2,FALSE),"")</f>
        <v/>
      </c>
      <c r="BC45">
        <f t="shared" si="8"/>
        <v>0</v>
      </c>
      <c r="BF45" t="str">
        <f>IFERROR(VLOOKUP(BE45,tbFactorMes,2,FALSE),"")</f>
        <v/>
      </c>
      <c r="BG45">
        <f t="shared" si="9"/>
        <v>0</v>
      </c>
      <c r="BH45">
        <f t="shared" si="10"/>
        <v>0</v>
      </c>
      <c r="BI45">
        <f t="shared" si="11"/>
        <v>0</v>
      </c>
    </row>
    <row r="46" spans="11:61" x14ac:dyDescent="0.35">
      <c r="K46" t="str">
        <f>IFERROR(VLOOKUP(F46,tbTurnos,3,FALSE),"")</f>
        <v/>
      </c>
      <c r="N46" t="str">
        <f>IFERROR(VLOOKUP(M46,tbFactorMes,2,FALSE),"")</f>
        <v/>
      </c>
      <c r="O46">
        <f t="shared" si="12"/>
        <v>0</v>
      </c>
      <c r="R46" t="str">
        <f>IFERROR(VLOOKUP(Q46,tbFactorMes,2,FALSE),"")</f>
        <v/>
      </c>
      <c r="S46">
        <f t="shared" si="13"/>
        <v>0</v>
      </c>
      <c r="V46" t="str">
        <f>IFERROR(VLOOKUP(U46,tbFactorMes,2,FALSE),"")</f>
        <v/>
      </c>
      <c r="W46">
        <f t="shared" si="0"/>
        <v>0</v>
      </c>
      <c r="Z46" t="str">
        <f>IFERROR(VLOOKUP(Y46,tbFactorMes,2,FALSE),"")</f>
        <v/>
      </c>
      <c r="AA46">
        <f t="shared" si="1"/>
        <v>0</v>
      </c>
      <c r="AD46" t="str">
        <f>IFERROR(VLOOKUP(AC46,tbFactorMes,2,FALSE),"")</f>
        <v/>
      </c>
      <c r="AE46">
        <f t="shared" si="2"/>
        <v>0</v>
      </c>
      <c r="AH46" t="str">
        <f>IFERROR(VLOOKUP(AG46,tbFactorMes,2,FALSE),"")</f>
        <v/>
      </c>
      <c r="AI46">
        <f t="shared" si="3"/>
        <v>0</v>
      </c>
      <c r="AL46" t="str">
        <f>IFERROR(VLOOKUP(AK46,tbFactorMes,2,FALSE),"")</f>
        <v/>
      </c>
      <c r="AM46">
        <f t="shared" si="4"/>
        <v>0</v>
      </c>
      <c r="AP46" t="str">
        <f>IFERROR(VLOOKUP(AO46,tbFactorMes,2,FALSE),"")</f>
        <v/>
      </c>
      <c r="AQ46">
        <f t="shared" si="5"/>
        <v>0</v>
      </c>
      <c r="AT46" t="str">
        <f>IFERROR(VLOOKUP(AS46,tbFactorMes,2,FALSE),"")</f>
        <v/>
      </c>
      <c r="AU46">
        <f t="shared" si="6"/>
        <v>0</v>
      </c>
      <c r="AX46" t="str">
        <f>IFERROR(VLOOKUP(AW46,tbFactorMes,2,FALSE),"")</f>
        <v/>
      </c>
      <c r="AY46">
        <f t="shared" si="7"/>
        <v>0</v>
      </c>
      <c r="BB46" t="str">
        <f>IFERROR(VLOOKUP(BA46,tbFactorMes,2,FALSE),"")</f>
        <v/>
      </c>
      <c r="BC46">
        <f t="shared" si="8"/>
        <v>0</v>
      </c>
      <c r="BF46" t="str">
        <f>IFERROR(VLOOKUP(BE46,tbFactorMes,2,FALSE),"")</f>
        <v/>
      </c>
      <c r="BG46">
        <f t="shared" si="9"/>
        <v>0</v>
      </c>
      <c r="BH46">
        <f t="shared" si="10"/>
        <v>0</v>
      </c>
      <c r="BI46">
        <f t="shared" si="11"/>
        <v>0</v>
      </c>
    </row>
    <row r="47" spans="11:61" x14ac:dyDescent="0.35">
      <c r="K47" t="str">
        <f>IFERROR(VLOOKUP(F47,tbTurnos,3,FALSE),"")</f>
        <v/>
      </c>
      <c r="N47" t="str">
        <f>IFERROR(VLOOKUP(M47,tbFactorMes,2,FALSE),"")</f>
        <v/>
      </c>
      <c r="O47">
        <f t="shared" si="12"/>
        <v>0</v>
      </c>
      <c r="R47" t="str">
        <f>IFERROR(VLOOKUP(Q47,tbFactorMes,2,FALSE),"")</f>
        <v/>
      </c>
      <c r="S47">
        <f t="shared" si="13"/>
        <v>0</v>
      </c>
      <c r="V47" t="str">
        <f>IFERROR(VLOOKUP(U47,tbFactorMes,2,FALSE),"")</f>
        <v/>
      </c>
      <c r="W47">
        <f t="shared" si="0"/>
        <v>0</v>
      </c>
      <c r="Z47" t="str">
        <f>IFERROR(VLOOKUP(Y47,tbFactorMes,2,FALSE),"")</f>
        <v/>
      </c>
      <c r="AA47">
        <f t="shared" si="1"/>
        <v>0</v>
      </c>
      <c r="AD47" t="str">
        <f>IFERROR(VLOOKUP(AC47,tbFactorMes,2,FALSE),"")</f>
        <v/>
      </c>
      <c r="AE47">
        <f t="shared" si="2"/>
        <v>0</v>
      </c>
      <c r="AH47" t="str">
        <f>IFERROR(VLOOKUP(AG47,tbFactorMes,2,FALSE),"")</f>
        <v/>
      </c>
      <c r="AI47">
        <f t="shared" si="3"/>
        <v>0</v>
      </c>
      <c r="AL47" t="str">
        <f>IFERROR(VLOOKUP(AK47,tbFactorMes,2,FALSE),"")</f>
        <v/>
      </c>
      <c r="AM47">
        <f t="shared" si="4"/>
        <v>0</v>
      </c>
      <c r="AP47" t="str">
        <f>IFERROR(VLOOKUP(AO47,tbFactorMes,2,FALSE),"")</f>
        <v/>
      </c>
      <c r="AQ47">
        <f t="shared" si="5"/>
        <v>0</v>
      </c>
      <c r="AT47" t="str">
        <f>IFERROR(VLOOKUP(AS47,tbFactorMes,2,FALSE),"")</f>
        <v/>
      </c>
      <c r="AU47">
        <f t="shared" si="6"/>
        <v>0</v>
      </c>
      <c r="AX47" t="str">
        <f>IFERROR(VLOOKUP(AW47,tbFactorMes,2,FALSE),"")</f>
        <v/>
      </c>
      <c r="AY47">
        <f t="shared" si="7"/>
        <v>0</v>
      </c>
      <c r="BB47" t="str">
        <f>IFERROR(VLOOKUP(BA47,tbFactorMes,2,FALSE),"")</f>
        <v/>
      </c>
      <c r="BC47">
        <f t="shared" si="8"/>
        <v>0</v>
      </c>
      <c r="BF47" t="str">
        <f>IFERROR(VLOOKUP(BE47,tbFactorMes,2,FALSE),"")</f>
        <v/>
      </c>
      <c r="BG47">
        <f t="shared" si="9"/>
        <v>0</v>
      </c>
      <c r="BH47">
        <f t="shared" si="10"/>
        <v>0</v>
      </c>
      <c r="BI47">
        <f t="shared" si="11"/>
        <v>0</v>
      </c>
    </row>
    <row r="48" spans="11:61" x14ac:dyDescent="0.35">
      <c r="K48" t="str">
        <f>IFERROR(VLOOKUP(F48,tbTurnos,3,FALSE),"")</f>
        <v/>
      </c>
      <c r="N48" t="str">
        <f>IFERROR(VLOOKUP(M48,tbFactorMes,2,FALSE),"")</f>
        <v/>
      </c>
      <c r="O48">
        <f t="shared" si="12"/>
        <v>0</v>
      </c>
      <c r="R48" t="str">
        <f>IFERROR(VLOOKUP(Q48,tbFactorMes,2,FALSE),"")</f>
        <v/>
      </c>
      <c r="S48">
        <f t="shared" si="13"/>
        <v>0</v>
      </c>
      <c r="V48" t="str">
        <f>IFERROR(VLOOKUP(U48,tbFactorMes,2,FALSE),"")</f>
        <v/>
      </c>
      <c r="W48">
        <f t="shared" si="0"/>
        <v>0</v>
      </c>
      <c r="Z48" t="str">
        <f>IFERROR(VLOOKUP(Y48,tbFactorMes,2,FALSE),"")</f>
        <v/>
      </c>
      <c r="AA48">
        <f t="shared" si="1"/>
        <v>0</v>
      </c>
      <c r="AD48" t="str">
        <f>IFERROR(VLOOKUP(AC48,tbFactorMes,2,FALSE),"")</f>
        <v/>
      </c>
      <c r="AE48">
        <f t="shared" si="2"/>
        <v>0</v>
      </c>
      <c r="AH48" t="str">
        <f>IFERROR(VLOOKUP(AG48,tbFactorMes,2,FALSE),"")</f>
        <v/>
      </c>
      <c r="AI48">
        <f t="shared" si="3"/>
        <v>0</v>
      </c>
      <c r="AL48" t="str">
        <f>IFERROR(VLOOKUP(AK48,tbFactorMes,2,FALSE),"")</f>
        <v/>
      </c>
      <c r="AM48">
        <f t="shared" si="4"/>
        <v>0</v>
      </c>
      <c r="AP48" t="str">
        <f>IFERROR(VLOOKUP(AO48,tbFactorMes,2,FALSE),"")</f>
        <v/>
      </c>
      <c r="AQ48">
        <f t="shared" si="5"/>
        <v>0</v>
      </c>
      <c r="AT48" t="str">
        <f>IFERROR(VLOOKUP(AS48,tbFactorMes,2,FALSE),"")</f>
        <v/>
      </c>
      <c r="AU48">
        <f t="shared" si="6"/>
        <v>0</v>
      </c>
      <c r="AX48" t="str">
        <f>IFERROR(VLOOKUP(AW48,tbFactorMes,2,FALSE),"")</f>
        <v/>
      </c>
      <c r="AY48">
        <f t="shared" si="7"/>
        <v>0</v>
      </c>
      <c r="BB48" t="str">
        <f>IFERROR(VLOOKUP(BA48,tbFactorMes,2,FALSE),"")</f>
        <v/>
      </c>
      <c r="BC48">
        <f t="shared" si="8"/>
        <v>0</v>
      </c>
      <c r="BF48" t="str">
        <f>IFERROR(VLOOKUP(BE48,tbFactorMes,2,FALSE),"")</f>
        <v/>
      </c>
      <c r="BG48">
        <f t="shared" si="9"/>
        <v>0</v>
      </c>
      <c r="BH48">
        <f t="shared" si="10"/>
        <v>0</v>
      </c>
      <c r="BI48">
        <f t="shared" si="11"/>
        <v>0</v>
      </c>
    </row>
    <row r="49" spans="11:61" x14ac:dyDescent="0.35">
      <c r="K49" t="str">
        <f>IFERROR(VLOOKUP(F49,tbTurnos,3,FALSE),"")</f>
        <v/>
      </c>
      <c r="N49" t="str">
        <f>IFERROR(VLOOKUP(M49,tbFactorMes,2,FALSE),"")</f>
        <v/>
      </c>
      <c r="O49">
        <f t="shared" si="12"/>
        <v>0</v>
      </c>
      <c r="R49" t="str">
        <f>IFERROR(VLOOKUP(Q49,tbFactorMes,2,FALSE),"")</f>
        <v/>
      </c>
      <c r="S49">
        <f t="shared" si="13"/>
        <v>0</v>
      </c>
      <c r="V49" t="str">
        <f>IFERROR(VLOOKUP(U49,tbFactorMes,2,FALSE),"")</f>
        <v/>
      </c>
      <c r="W49">
        <f t="shared" si="0"/>
        <v>0</v>
      </c>
      <c r="Z49" t="str">
        <f>IFERROR(VLOOKUP(Y49,tbFactorMes,2,FALSE),"")</f>
        <v/>
      </c>
      <c r="AA49">
        <f t="shared" si="1"/>
        <v>0</v>
      </c>
      <c r="AD49" t="str">
        <f>IFERROR(VLOOKUP(AC49,tbFactorMes,2,FALSE),"")</f>
        <v/>
      </c>
      <c r="AE49">
        <f t="shared" si="2"/>
        <v>0</v>
      </c>
      <c r="AH49" t="str">
        <f>IFERROR(VLOOKUP(AG49,tbFactorMes,2,FALSE),"")</f>
        <v/>
      </c>
      <c r="AI49">
        <f t="shared" si="3"/>
        <v>0</v>
      </c>
      <c r="AL49" t="str">
        <f>IFERROR(VLOOKUP(AK49,tbFactorMes,2,FALSE),"")</f>
        <v/>
      </c>
      <c r="AM49">
        <f t="shared" si="4"/>
        <v>0</v>
      </c>
      <c r="AP49" t="str">
        <f>IFERROR(VLOOKUP(AO49,tbFactorMes,2,FALSE),"")</f>
        <v/>
      </c>
      <c r="AQ49">
        <f t="shared" si="5"/>
        <v>0</v>
      </c>
      <c r="AT49" t="str">
        <f>IFERROR(VLOOKUP(AS49,tbFactorMes,2,FALSE),"")</f>
        <v/>
      </c>
      <c r="AU49">
        <f t="shared" si="6"/>
        <v>0</v>
      </c>
      <c r="AX49" t="str">
        <f>IFERROR(VLOOKUP(AW49,tbFactorMes,2,FALSE),"")</f>
        <v/>
      </c>
      <c r="AY49">
        <f t="shared" si="7"/>
        <v>0</v>
      </c>
      <c r="BB49" t="str">
        <f>IFERROR(VLOOKUP(BA49,tbFactorMes,2,FALSE),"")</f>
        <v/>
      </c>
      <c r="BC49">
        <f t="shared" si="8"/>
        <v>0</v>
      </c>
      <c r="BF49" t="str">
        <f>IFERROR(VLOOKUP(BE49,tbFactorMes,2,FALSE),"")</f>
        <v/>
      </c>
      <c r="BG49">
        <f t="shared" si="9"/>
        <v>0</v>
      </c>
      <c r="BH49">
        <f t="shared" si="10"/>
        <v>0</v>
      </c>
      <c r="BI49">
        <f t="shared" si="11"/>
        <v>0</v>
      </c>
    </row>
    <row r="50" spans="11:61" x14ac:dyDescent="0.35">
      <c r="K50" t="str">
        <f>IFERROR(VLOOKUP(F50,tbTurnos,3,FALSE),"")</f>
        <v/>
      </c>
      <c r="N50" t="str">
        <f>IFERROR(VLOOKUP(M50,tbFactorMes,2,FALSE),"")</f>
        <v/>
      </c>
      <c r="O50">
        <f t="shared" si="12"/>
        <v>0</v>
      </c>
      <c r="R50" t="str">
        <f>IFERROR(VLOOKUP(Q50,tbFactorMes,2,FALSE),"")</f>
        <v/>
      </c>
      <c r="S50">
        <f t="shared" si="13"/>
        <v>0</v>
      </c>
      <c r="V50" t="str">
        <f>IFERROR(VLOOKUP(U50,tbFactorMes,2,FALSE),"")</f>
        <v/>
      </c>
      <c r="W50">
        <f t="shared" si="0"/>
        <v>0</v>
      </c>
      <c r="Z50" t="str">
        <f>IFERROR(VLOOKUP(Y50,tbFactorMes,2,FALSE),"")</f>
        <v/>
      </c>
      <c r="AA50">
        <f t="shared" si="1"/>
        <v>0</v>
      </c>
      <c r="AD50" t="str">
        <f>IFERROR(VLOOKUP(AC50,tbFactorMes,2,FALSE),"")</f>
        <v/>
      </c>
      <c r="AE50">
        <f t="shared" si="2"/>
        <v>0</v>
      </c>
      <c r="AH50" t="str">
        <f>IFERROR(VLOOKUP(AG50,tbFactorMes,2,FALSE),"")</f>
        <v/>
      </c>
      <c r="AI50">
        <f t="shared" si="3"/>
        <v>0</v>
      </c>
      <c r="AL50" t="str">
        <f>IFERROR(VLOOKUP(AK50,tbFactorMes,2,FALSE),"")</f>
        <v/>
      </c>
      <c r="AM50">
        <f t="shared" si="4"/>
        <v>0</v>
      </c>
      <c r="AP50" t="str">
        <f>IFERROR(VLOOKUP(AO50,tbFactorMes,2,FALSE),"")</f>
        <v/>
      </c>
      <c r="AQ50">
        <f t="shared" si="5"/>
        <v>0</v>
      </c>
      <c r="AT50" t="str">
        <f>IFERROR(VLOOKUP(AS50,tbFactorMes,2,FALSE),"")</f>
        <v/>
      </c>
      <c r="AU50">
        <f t="shared" si="6"/>
        <v>0</v>
      </c>
      <c r="AX50" t="str">
        <f>IFERROR(VLOOKUP(AW50,tbFactorMes,2,FALSE),"")</f>
        <v/>
      </c>
      <c r="AY50">
        <f t="shared" si="7"/>
        <v>0</v>
      </c>
      <c r="BB50" t="str">
        <f>IFERROR(VLOOKUP(BA50,tbFactorMes,2,FALSE),"")</f>
        <v/>
      </c>
      <c r="BC50">
        <f t="shared" si="8"/>
        <v>0</v>
      </c>
      <c r="BF50" t="str">
        <f>IFERROR(VLOOKUP(BE50,tbFactorMes,2,FALSE),"")</f>
        <v/>
      </c>
      <c r="BG50">
        <f t="shared" si="9"/>
        <v>0</v>
      </c>
      <c r="BH50">
        <f t="shared" si="10"/>
        <v>0</v>
      </c>
      <c r="BI50">
        <f t="shared" si="11"/>
        <v>0</v>
      </c>
    </row>
    <row r="51" spans="11:61" x14ac:dyDescent="0.35">
      <c r="K51" t="str">
        <f>IFERROR(VLOOKUP(F51,tbTurnos,3,FALSE),"")</f>
        <v/>
      </c>
      <c r="N51" t="str">
        <f>IFERROR(VLOOKUP(M51,tbFactorMes,2,FALSE),"")</f>
        <v/>
      </c>
      <c r="O51">
        <f t="shared" si="12"/>
        <v>0</v>
      </c>
      <c r="R51" t="str">
        <f>IFERROR(VLOOKUP(Q51,tbFactorMes,2,FALSE),"")</f>
        <v/>
      </c>
      <c r="S51">
        <f t="shared" si="13"/>
        <v>0</v>
      </c>
      <c r="V51" t="str">
        <f>IFERROR(VLOOKUP(U51,tbFactorMes,2,FALSE),"")</f>
        <v/>
      </c>
      <c r="W51">
        <f t="shared" si="0"/>
        <v>0</v>
      </c>
      <c r="Z51" t="str">
        <f>IFERROR(VLOOKUP(Y51,tbFactorMes,2,FALSE),"")</f>
        <v/>
      </c>
      <c r="AA51">
        <f t="shared" si="1"/>
        <v>0</v>
      </c>
      <c r="AD51" t="str">
        <f>IFERROR(VLOOKUP(AC51,tbFactorMes,2,FALSE),"")</f>
        <v/>
      </c>
      <c r="AE51">
        <f t="shared" si="2"/>
        <v>0</v>
      </c>
      <c r="AH51" t="str">
        <f>IFERROR(VLOOKUP(AG51,tbFactorMes,2,FALSE),"")</f>
        <v/>
      </c>
      <c r="AI51">
        <f t="shared" si="3"/>
        <v>0</v>
      </c>
      <c r="AL51" t="str">
        <f>IFERROR(VLOOKUP(AK51,tbFactorMes,2,FALSE),"")</f>
        <v/>
      </c>
      <c r="AM51">
        <f t="shared" si="4"/>
        <v>0</v>
      </c>
      <c r="AP51" t="str">
        <f>IFERROR(VLOOKUP(AO51,tbFactorMes,2,FALSE),"")</f>
        <v/>
      </c>
      <c r="AQ51">
        <f t="shared" si="5"/>
        <v>0</v>
      </c>
      <c r="AT51" t="str">
        <f>IFERROR(VLOOKUP(AS51,tbFactorMes,2,FALSE),"")</f>
        <v/>
      </c>
      <c r="AU51">
        <f t="shared" si="6"/>
        <v>0</v>
      </c>
      <c r="AX51" t="str">
        <f>IFERROR(VLOOKUP(AW51,tbFactorMes,2,FALSE),"")</f>
        <v/>
      </c>
      <c r="AY51">
        <f t="shared" si="7"/>
        <v>0</v>
      </c>
      <c r="BB51" t="str">
        <f>IFERROR(VLOOKUP(BA51,tbFactorMes,2,FALSE),"")</f>
        <v/>
      </c>
      <c r="BC51">
        <f t="shared" si="8"/>
        <v>0</v>
      </c>
      <c r="BF51" t="str">
        <f>IFERROR(VLOOKUP(BE51,tbFactorMes,2,FALSE),"")</f>
        <v/>
      </c>
      <c r="BG51">
        <f t="shared" si="9"/>
        <v>0</v>
      </c>
      <c r="BH51">
        <f t="shared" si="10"/>
        <v>0</v>
      </c>
      <c r="BI51">
        <f t="shared" si="11"/>
        <v>0</v>
      </c>
    </row>
    <row r="52" spans="11:61" x14ac:dyDescent="0.35">
      <c r="K52" t="str">
        <f>IFERROR(VLOOKUP(F52,tbTurnos,3,FALSE),"")</f>
        <v/>
      </c>
      <c r="N52" t="str">
        <f>IFERROR(VLOOKUP(M52,tbFactorMes,2,FALSE),"")</f>
        <v/>
      </c>
      <c r="O52">
        <f t="shared" si="12"/>
        <v>0</v>
      </c>
      <c r="R52" t="str">
        <f>IFERROR(VLOOKUP(Q52,tbFactorMes,2,FALSE),"")</f>
        <v/>
      </c>
      <c r="S52">
        <f t="shared" si="13"/>
        <v>0</v>
      </c>
      <c r="V52" t="str">
        <f>IFERROR(VLOOKUP(U52,tbFactorMes,2,FALSE),"")</f>
        <v/>
      </c>
      <c r="W52">
        <f t="shared" si="0"/>
        <v>0</v>
      </c>
      <c r="Z52" t="str">
        <f>IFERROR(VLOOKUP(Y52,tbFactorMes,2,FALSE),"")</f>
        <v/>
      </c>
      <c r="AA52">
        <f t="shared" si="1"/>
        <v>0</v>
      </c>
      <c r="AD52" t="str">
        <f>IFERROR(VLOOKUP(AC52,tbFactorMes,2,FALSE),"")</f>
        <v/>
      </c>
      <c r="AE52">
        <f t="shared" si="2"/>
        <v>0</v>
      </c>
      <c r="AH52" t="str">
        <f>IFERROR(VLOOKUP(AG52,tbFactorMes,2,FALSE),"")</f>
        <v/>
      </c>
      <c r="AI52">
        <f t="shared" si="3"/>
        <v>0</v>
      </c>
      <c r="AL52" t="str">
        <f>IFERROR(VLOOKUP(AK52,tbFactorMes,2,FALSE),"")</f>
        <v/>
      </c>
      <c r="AM52">
        <f t="shared" si="4"/>
        <v>0</v>
      </c>
      <c r="AP52" t="str">
        <f>IFERROR(VLOOKUP(AO52,tbFactorMes,2,FALSE),"")</f>
        <v/>
      </c>
      <c r="AQ52">
        <f t="shared" si="5"/>
        <v>0</v>
      </c>
      <c r="AT52" t="str">
        <f>IFERROR(VLOOKUP(AS52,tbFactorMes,2,FALSE),"")</f>
        <v/>
      </c>
      <c r="AU52">
        <f t="shared" si="6"/>
        <v>0</v>
      </c>
      <c r="AX52" t="str">
        <f>IFERROR(VLOOKUP(AW52,tbFactorMes,2,FALSE),"")</f>
        <v/>
      </c>
      <c r="AY52">
        <f t="shared" si="7"/>
        <v>0</v>
      </c>
      <c r="BB52" t="str">
        <f>IFERROR(VLOOKUP(BA52,tbFactorMes,2,FALSE),"")</f>
        <v/>
      </c>
      <c r="BC52">
        <f t="shared" si="8"/>
        <v>0</v>
      </c>
      <c r="BF52" t="str">
        <f>IFERROR(VLOOKUP(BE52,tbFactorMes,2,FALSE),"")</f>
        <v/>
      </c>
      <c r="BG52">
        <f t="shared" si="9"/>
        <v>0</v>
      </c>
      <c r="BH52">
        <f t="shared" si="10"/>
        <v>0</v>
      </c>
      <c r="BI52">
        <f t="shared" si="11"/>
        <v>0</v>
      </c>
    </row>
    <row r="53" spans="11:61" x14ac:dyDescent="0.35">
      <c r="K53" t="str">
        <f>IFERROR(VLOOKUP(F53,tbTurnos,3,FALSE),"")</f>
        <v/>
      </c>
      <c r="N53" t="str">
        <f>IFERROR(VLOOKUP(M53,tbFactorMes,2,FALSE),"")</f>
        <v/>
      </c>
      <c r="O53">
        <f t="shared" si="12"/>
        <v>0</v>
      </c>
      <c r="R53" t="str">
        <f>IFERROR(VLOOKUP(Q53,tbFactorMes,2,FALSE),"")</f>
        <v/>
      </c>
      <c r="S53">
        <f t="shared" si="13"/>
        <v>0</v>
      </c>
      <c r="V53" t="str">
        <f>IFERROR(VLOOKUP(U53,tbFactorMes,2,FALSE),"")</f>
        <v/>
      </c>
      <c r="W53">
        <f t="shared" si="0"/>
        <v>0</v>
      </c>
      <c r="Z53" t="str">
        <f>IFERROR(VLOOKUP(Y53,tbFactorMes,2,FALSE),"")</f>
        <v/>
      </c>
      <c r="AA53">
        <f t="shared" si="1"/>
        <v>0</v>
      </c>
      <c r="AD53" t="str">
        <f>IFERROR(VLOOKUP(AC53,tbFactorMes,2,FALSE),"")</f>
        <v/>
      </c>
      <c r="AE53">
        <f t="shared" si="2"/>
        <v>0</v>
      </c>
      <c r="AH53" t="str">
        <f>IFERROR(VLOOKUP(AG53,tbFactorMes,2,FALSE),"")</f>
        <v/>
      </c>
      <c r="AI53">
        <f t="shared" si="3"/>
        <v>0</v>
      </c>
      <c r="AL53" t="str">
        <f>IFERROR(VLOOKUP(AK53,tbFactorMes,2,FALSE),"")</f>
        <v/>
      </c>
      <c r="AM53">
        <f t="shared" si="4"/>
        <v>0</v>
      </c>
      <c r="AP53" t="str">
        <f>IFERROR(VLOOKUP(AO53,tbFactorMes,2,FALSE),"")</f>
        <v/>
      </c>
      <c r="AQ53">
        <f t="shared" si="5"/>
        <v>0</v>
      </c>
      <c r="AT53" t="str">
        <f>IFERROR(VLOOKUP(AS53,tbFactorMes,2,FALSE),"")</f>
        <v/>
      </c>
      <c r="AU53">
        <f t="shared" si="6"/>
        <v>0</v>
      </c>
      <c r="AX53" t="str">
        <f>IFERROR(VLOOKUP(AW53,tbFactorMes,2,FALSE),"")</f>
        <v/>
      </c>
      <c r="AY53">
        <f t="shared" si="7"/>
        <v>0</v>
      </c>
      <c r="BB53" t="str">
        <f>IFERROR(VLOOKUP(BA53,tbFactorMes,2,FALSE),"")</f>
        <v/>
      </c>
      <c r="BC53">
        <f t="shared" si="8"/>
        <v>0</v>
      </c>
      <c r="BF53" t="str">
        <f>IFERROR(VLOOKUP(BE53,tbFactorMes,2,FALSE),"")</f>
        <v/>
      </c>
      <c r="BG53">
        <f t="shared" si="9"/>
        <v>0</v>
      </c>
      <c r="BH53">
        <f t="shared" si="10"/>
        <v>0</v>
      </c>
      <c r="BI53">
        <f t="shared" si="11"/>
        <v>0</v>
      </c>
    </row>
    <row r="54" spans="11:61" x14ac:dyDescent="0.35">
      <c r="K54" t="str">
        <f>IFERROR(VLOOKUP(F54,tbTurnos,3,FALSE),"")</f>
        <v/>
      </c>
      <c r="N54" t="str">
        <f>IFERROR(VLOOKUP(M54,tbFactorMes,2,FALSE),"")</f>
        <v/>
      </c>
      <c r="O54">
        <f t="shared" si="12"/>
        <v>0</v>
      </c>
      <c r="R54" t="str">
        <f>IFERROR(VLOOKUP(Q54,tbFactorMes,2,FALSE),"")</f>
        <v/>
      </c>
      <c r="S54">
        <f t="shared" si="13"/>
        <v>0</v>
      </c>
      <c r="V54" t="str">
        <f>IFERROR(VLOOKUP(U54,tbFactorMes,2,FALSE),"")</f>
        <v/>
      </c>
      <c r="W54">
        <f t="shared" si="0"/>
        <v>0</v>
      </c>
      <c r="Z54" t="str">
        <f>IFERROR(VLOOKUP(Y54,tbFactorMes,2,FALSE),"")</f>
        <v/>
      </c>
      <c r="AA54">
        <f t="shared" si="1"/>
        <v>0</v>
      </c>
      <c r="AD54" t="str">
        <f>IFERROR(VLOOKUP(AC54,tbFactorMes,2,FALSE),"")</f>
        <v/>
      </c>
      <c r="AE54">
        <f t="shared" si="2"/>
        <v>0</v>
      </c>
      <c r="AH54" t="str">
        <f>IFERROR(VLOOKUP(AG54,tbFactorMes,2,FALSE),"")</f>
        <v/>
      </c>
      <c r="AI54">
        <f t="shared" si="3"/>
        <v>0</v>
      </c>
      <c r="AL54" t="str">
        <f>IFERROR(VLOOKUP(AK54,tbFactorMes,2,FALSE),"")</f>
        <v/>
      </c>
      <c r="AM54">
        <f t="shared" si="4"/>
        <v>0</v>
      </c>
      <c r="AP54" t="str">
        <f>IFERROR(VLOOKUP(AO54,tbFactorMes,2,FALSE),"")</f>
        <v/>
      </c>
      <c r="AQ54">
        <f t="shared" si="5"/>
        <v>0</v>
      </c>
      <c r="AT54" t="str">
        <f>IFERROR(VLOOKUP(AS54,tbFactorMes,2,FALSE),"")</f>
        <v/>
      </c>
      <c r="AU54">
        <f t="shared" si="6"/>
        <v>0</v>
      </c>
      <c r="AX54" t="str">
        <f>IFERROR(VLOOKUP(AW54,tbFactorMes,2,FALSE),"")</f>
        <v/>
      </c>
      <c r="AY54">
        <f t="shared" si="7"/>
        <v>0</v>
      </c>
      <c r="BB54" t="str">
        <f>IFERROR(VLOOKUP(BA54,tbFactorMes,2,FALSE),"")</f>
        <v/>
      </c>
      <c r="BC54">
        <f t="shared" si="8"/>
        <v>0</v>
      </c>
      <c r="BF54" t="str">
        <f>IFERROR(VLOOKUP(BE54,tbFactorMes,2,FALSE),"")</f>
        <v/>
      </c>
      <c r="BG54">
        <f t="shared" si="9"/>
        <v>0</v>
      </c>
      <c r="BH54">
        <f t="shared" si="10"/>
        <v>0</v>
      </c>
      <c r="BI54">
        <f t="shared" si="11"/>
        <v>0</v>
      </c>
    </row>
    <row r="55" spans="11:61" x14ac:dyDescent="0.35">
      <c r="K55" t="str">
        <f>IFERROR(VLOOKUP(F55,tbTurnos,3,FALSE),"")</f>
        <v/>
      </c>
      <c r="N55" t="str">
        <f>IFERROR(VLOOKUP(M55,tbFactorMes,2,FALSE),"")</f>
        <v/>
      </c>
      <c r="O55">
        <f t="shared" si="12"/>
        <v>0</v>
      </c>
      <c r="R55" t="str">
        <f>IFERROR(VLOOKUP(Q55,tbFactorMes,2,FALSE),"")</f>
        <v/>
      </c>
      <c r="S55">
        <f t="shared" si="13"/>
        <v>0</v>
      </c>
      <c r="V55" t="str">
        <f>IFERROR(VLOOKUP(U55,tbFactorMes,2,FALSE),"")</f>
        <v/>
      </c>
      <c r="W55">
        <f t="shared" si="0"/>
        <v>0</v>
      </c>
      <c r="Z55" t="str">
        <f>IFERROR(VLOOKUP(Y55,tbFactorMes,2,FALSE),"")</f>
        <v/>
      </c>
      <c r="AA55">
        <f t="shared" si="1"/>
        <v>0</v>
      </c>
      <c r="AD55" t="str">
        <f>IFERROR(VLOOKUP(AC55,tbFactorMes,2,FALSE),"")</f>
        <v/>
      </c>
      <c r="AE55">
        <f t="shared" si="2"/>
        <v>0</v>
      </c>
      <c r="AH55" t="str">
        <f>IFERROR(VLOOKUP(AG55,tbFactorMes,2,FALSE),"")</f>
        <v/>
      </c>
      <c r="AI55">
        <f t="shared" si="3"/>
        <v>0</v>
      </c>
      <c r="AL55" t="str">
        <f>IFERROR(VLOOKUP(AK55,tbFactorMes,2,FALSE),"")</f>
        <v/>
      </c>
      <c r="AM55">
        <f t="shared" si="4"/>
        <v>0</v>
      </c>
      <c r="AP55" t="str">
        <f>IFERROR(VLOOKUP(AO55,tbFactorMes,2,FALSE),"")</f>
        <v/>
      </c>
      <c r="AQ55">
        <f t="shared" si="5"/>
        <v>0</v>
      </c>
      <c r="AT55" t="str">
        <f>IFERROR(VLOOKUP(AS55,tbFactorMes,2,FALSE),"")</f>
        <v/>
      </c>
      <c r="AU55">
        <f t="shared" si="6"/>
        <v>0</v>
      </c>
      <c r="AX55" t="str">
        <f>IFERROR(VLOOKUP(AW55,tbFactorMes,2,FALSE),"")</f>
        <v/>
      </c>
      <c r="AY55">
        <f t="shared" si="7"/>
        <v>0</v>
      </c>
      <c r="BB55" t="str">
        <f>IFERROR(VLOOKUP(BA55,tbFactorMes,2,FALSE),"")</f>
        <v/>
      </c>
      <c r="BC55">
        <f t="shared" si="8"/>
        <v>0</v>
      </c>
      <c r="BF55" t="str">
        <f>IFERROR(VLOOKUP(BE55,tbFactorMes,2,FALSE),"")</f>
        <v/>
      </c>
      <c r="BG55">
        <f t="shared" si="9"/>
        <v>0</v>
      </c>
      <c r="BH55">
        <f t="shared" si="10"/>
        <v>0</v>
      </c>
      <c r="BI55">
        <f t="shared" si="11"/>
        <v>0</v>
      </c>
    </row>
    <row r="56" spans="11:61" x14ac:dyDescent="0.35">
      <c r="K56" t="str">
        <f>IFERROR(VLOOKUP(F56,tbTurnos,3,FALSE),"")</f>
        <v/>
      </c>
      <c r="N56" t="str">
        <f>IFERROR(VLOOKUP(M56,tbFactorMes,2,FALSE),"")</f>
        <v/>
      </c>
      <c r="O56">
        <f t="shared" si="12"/>
        <v>0</v>
      </c>
      <c r="R56" t="str">
        <f>IFERROR(VLOOKUP(Q56,tbFactorMes,2,FALSE),"")</f>
        <v/>
      </c>
      <c r="S56">
        <f t="shared" si="13"/>
        <v>0</v>
      </c>
      <c r="V56" t="str">
        <f>IFERROR(VLOOKUP(U56,tbFactorMes,2,FALSE),"")</f>
        <v/>
      </c>
      <c r="W56">
        <f t="shared" si="0"/>
        <v>0</v>
      </c>
      <c r="Z56" t="str">
        <f>IFERROR(VLOOKUP(Y56,tbFactorMes,2,FALSE),"")</f>
        <v/>
      </c>
      <c r="AA56">
        <f t="shared" si="1"/>
        <v>0</v>
      </c>
      <c r="AD56" t="str">
        <f>IFERROR(VLOOKUP(AC56,tbFactorMes,2,FALSE),"")</f>
        <v/>
      </c>
      <c r="AE56">
        <f t="shared" si="2"/>
        <v>0</v>
      </c>
      <c r="AH56" t="str">
        <f>IFERROR(VLOOKUP(AG56,tbFactorMes,2,FALSE),"")</f>
        <v/>
      </c>
      <c r="AI56">
        <f t="shared" si="3"/>
        <v>0</v>
      </c>
      <c r="AL56" t="str">
        <f>IFERROR(VLOOKUP(AK56,tbFactorMes,2,FALSE),"")</f>
        <v/>
      </c>
      <c r="AM56">
        <f t="shared" si="4"/>
        <v>0</v>
      </c>
      <c r="AP56" t="str">
        <f>IFERROR(VLOOKUP(AO56,tbFactorMes,2,FALSE),"")</f>
        <v/>
      </c>
      <c r="AQ56">
        <f t="shared" si="5"/>
        <v>0</v>
      </c>
      <c r="AT56" t="str">
        <f>IFERROR(VLOOKUP(AS56,tbFactorMes,2,FALSE),"")</f>
        <v/>
      </c>
      <c r="AU56">
        <f t="shared" si="6"/>
        <v>0</v>
      </c>
      <c r="AX56" t="str">
        <f>IFERROR(VLOOKUP(AW56,tbFactorMes,2,FALSE),"")</f>
        <v/>
      </c>
      <c r="AY56">
        <f t="shared" si="7"/>
        <v>0</v>
      </c>
      <c r="BB56" t="str">
        <f>IFERROR(VLOOKUP(BA56,tbFactorMes,2,FALSE),"")</f>
        <v/>
      </c>
      <c r="BC56">
        <f t="shared" si="8"/>
        <v>0</v>
      </c>
      <c r="BF56" t="str">
        <f>IFERROR(VLOOKUP(BE56,tbFactorMes,2,FALSE),"")</f>
        <v/>
      </c>
      <c r="BG56">
        <f t="shared" si="9"/>
        <v>0</v>
      </c>
      <c r="BH56">
        <f t="shared" si="10"/>
        <v>0</v>
      </c>
      <c r="BI56">
        <f t="shared" si="11"/>
        <v>0</v>
      </c>
    </row>
    <row r="57" spans="11:61" x14ac:dyDescent="0.35">
      <c r="K57" t="str">
        <f>IFERROR(VLOOKUP(F57,tbTurnos,3,FALSE),"")</f>
        <v/>
      </c>
      <c r="N57" t="str">
        <f>IFERROR(VLOOKUP(M57,tbFactorMes,2,FALSE),"")</f>
        <v/>
      </c>
      <c r="O57">
        <f t="shared" si="12"/>
        <v>0</v>
      </c>
      <c r="R57" t="str">
        <f>IFERROR(VLOOKUP(Q57,tbFactorMes,2,FALSE),"")</f>
        <v/>
      </c>
      <c r="S57">
        <f t="shared" si="13"/>
        <v>0</v>
      </c>
      <c r="V57" t="str">
        <f>IFERROR(VLOOKUP(U57,tbFactorMes,2,FALSE),"")</f>
        <v/>
      </c>
      <c r="W57">
        <f t="shared" si="0"/>
        <v>0</v>
      </c>
      <c r="Z57" t="str">
        <f>IFERROR(VLOOKUP(Y57,tbFactorMes,2,FALSE),"")</f>
        <v/>
      </c>
      <c r="AA57">
        <f t="shared" si="1"/>
        <v>0</v>
      </c>
      <c r="AD57" t="str">
        <f>IFERROR(VLOOKUP(AC57,tbFactorMes,2,FALSE),"")</f>
        <v/>
      </c>
      <c r="AE57">
        <f t="shared" si="2"/>
        <v>0</v>
      </c>
      <c r="AH57" t="str">
        <f>IFERROR(VLOOKUP(AG57,tbFactorMes,2,FALSE),"")</f>
        <v/>
      </c>
      <c r="AI57">
        <f t="shared" si="3"/>
        <v>0</v>
      </c>
      <c r="AL57" t="str">
        <f>IFERROR(VLOOKUP(AK57,tbFactorMes,2,FALSE),"")</f>
        <v/>
      </c>
      <c r="AM57">
        <f t="shared" si="4"/>
        <v>0</v>
      </c>
      <c r="AP57" t="str">
        <f>IFERROR(VLOOKUP(AO57,tbFactorMes,2,FALSE),"")</f>
        <v/>
      </c>
      <c r="AQ57">
        <f t="shared" si="5"/>
        <v>0</v>
      </c>
      <c r="AT57" t="str">
        <f>IFERROR(VLOOKUP(AS57,tbFactorMes,2,FALSE),"")</f>
        <v/>
      </c>
      <c r="AU57">
        <f t="shared" si="6"/>
        <v>0</v>
      </c>
      <c r="AX57" t="str">
        <f>IFERROR(VLOOKUP(AW57,tbFactorMes,2,FALSE),"")</f>
        <v/>
      </c>
      <c r="AY57">
        <f t="shared" si="7"/>
        <v>0</v>
      </c>
      <c r="BB57" t="str">
        <f>IFERROR(VLOOKUP(BA57,tbFactorMes,2,FALSE),"")</f>
        <v/>
      </c>
      <c r="BC57">
        <f t="shared" si="8"/>
        <v>0</v>
      </c>
      <c r="BF57" t="str">
        <f>IFERROR(VLOOKUP(BE57,tbFactorMes,2,FALSE),"")</f>
        <v/>
      </c>
      <c r="BG57">
        <f t="shared" si="9"/>
        <v>0</v>
      </c>
      <c r="BH57">
        <f t="shared" si="10"/>
        <v>0</v>
      </c>
      <c r="BI57">
        <f t="shared" si="11"/>
        <v>0</v>
      </c>
    </row>
    <row r="58" spans="11:61" x14ac:dyDescent="0.35">
      <c r="K58" t="str">
        <f>IFERROR(VLOOKUP(F58,tbTurnos,3,FALSE),"")</f>
        <v/>
      </c>
      <c r="N58" t="str">
        <f>IFERROR(VLOOKUP(M58,tbFactorMes,2,FALSE),"")</f>
        <v/>
      </c>
      <c r="O58">
        <f t="shared" si="12"/>
        <v>0</v>
      </c>
      <c r="R58" t="str">
        <f>IFERROR(VLOOKUP(Q58,tbFactorMes,2,FALSE),"")</f>
        <v/>
      </c>
      <c r="S58">
        <f t="shared" si="13"/>
        <v>0</v>
      </c>
      <c r="V58" t="str">
        <f>IFERROR(VLOOKUP(U58,tbFactorMes,2,FALSE),"")</f>
        <v/>
      </c>
      <c r="W58">
        <f t="shared" si="0"/>
        <v>0</v>
      </c>
      <c r="Z58" t="str">
        <f>IFERROR(VLOOKUP(Y58,tbFactorMes,2,FALSE),"")</f>
        <v/>
      </c>
      <c r="AA58">
        <f t="shared" si="1"/>
        <v>0</v>
      </c>
      <c r="AD58" t="str">
        <f>IFERROR(VLOOKUP(AC58,tbFactorMes,2,FALSE),"")</f>
        <v/>
      </c>
      <c r="AE58">
        <f t="shared" si="2"/>
        <v>0</v>
      </c>
      <c r="AH58" t="str">
        <f>IFERROR(VLOOKUP(AG58,tbFactorMes,2,FALSE),"")</f>
        <v/>
      </c>
      <c r="AI58">
        <f t="shared" si="3"/>
        <v>0</v>
      </c>
      <c r="AL58" t="str">
        <f>IFERROR(VLOOKUP(AK58,tbFactorMes,2,FALSE),"")</f>
        <v/>
      </c>
      <c r="AM58">
        <f t="shared" si="4"/>
        <v>0</v>
      </c>
      <c r="AP58" t="str">
        <f>IFERROR(VLOOKUP(AO58,tbFactorMes,2,FALSE),"")</f>
        <v/>
      </c>
      <c r="AQ58">
        <f t="shared" si="5"/>
        <v>0</v>
      </c>
      <c r="AT58" t="str">
        <f>IFERROR(VLOOKUP(AS58,tbFactorMes,2,FALSE),"")</f>
        <v/>
      </c>
      <c r="AU58">
        <f t="shared" si="6"/>
        <v>0</v>
      </c>
      <c r="AX58" t="str">
        <f>IFERROR(VLOOKUP(AW58,tbFactorMes,2,FALSE),"")</f>
        <v/>
      </c>
      <c r="AY58">
        <f t="shared" si="7"/>
        <v>0</v>
      </c>
      <c r="BB58" t="str">
        <f>IFERROR(VLOOKUP(BA58,tbFactorMes,2,FALSE),"")</f>
        <v/>
      </c>
      <c r="BC58">
        <f t="shared" si="8"/>
        <v>0</v>
      </c>
      <c r="BF58" t="str">
        <f>IFERROR(VLOOKUP(BE58,tbFactorMes,2,FALSE),"")</f>
        <v/>
      </c>
      <c r="BG58">
        <f t="shared" si="9"/>
        <v>0</v>
      </c>
      <c r="BH58">
        <f t="shared" si="10"/>
        <v>0</v>
      </c>
      <c r="BI58">
        <f t="shared" si="11"/>
        <v>0</v>
      </c>
    </row>
    <row r="59" spans="11:61" x14ac:dyDescent="0.35">
      <c r="K59" t="str">
        <f>IFERROR(VLOOKUP(F59,tbTurnos,3,FALSE),"")</f>
        <v/>
      </c>
      <c r="N59" t="str">
        <f>IFERROR(VLOOKUP(M59,tbFactorMes,2,FALSE),"")</f>
        <v/>
      </c>
      <c r="O59">
        <f t="shared" si="12"/>
        <v>0</v>
      </c>
      <c r="R59" t="str">
        <f>IFERROR(VLOOKUP(Q59,tbFactorMes,2,FALSE),"")</f>
        <v/>
      </c>
      <c r="S59">
        <f t="shared" si="13"/>
        <v>0</v>
      </c>
      <c r="V59" t="str">
        <f>IFERROR(VLOOKUP(U59,tbFactorMes,2,FALSE),"")</f>
        <v/>
      </c>
      <c r="W59">
        <f t="shared" si="0"/>
        <v>0</v>
      </c>
      <c r="Z59" t="str">
        <f>IFERROR(VLOOKUP(Y59,tbFactorMes,2,FALSE),"")</f>
        <v/>
      </c>
      <c r="AA59">
        <f t="shared" si="1"/>
        <v>0</v>
      </c>
      <c r="AD59" t="str">
        <f>IFERROR(VLOOKUP(AC59,tbFactorMes,2,FALSE),"")</f>
        <v/>
      </c>
      <c r="AE59">
        <f t="shared" si="2"/>
        <v>0</v>
      </c>
      <c r="AH59" t="str">
        <f>IFERROR(VLOOKUP(AG59,tbFactorMes,2,FALSE),"")</f>
        <v/>
      </c>
      <c r="AI59">
        <f t="shared" si="3"/>
        <v>0</v>
      </c>
      <c r="AL59" t="str">
        <f>IFERROR(VLOOKUP(AK59,tbFactorMes,2,FALSE),"")</f>
        <v/>
      </c>
      <c r="AM59">
        <f t="shared" si="4"/>
        <v>0</v>
      </c>
      <c r="AP59" t="str">
        <f>IFERROR(VLOOKUP(AO59,tbFactorMes,2,FALSE),"")</f>
        <v/>
      </c>
      <c r="AQ59">
        <f t="shared" si="5"/>
        <v>0</v>
      </c>
      <c r="AT59" t="str">
        <f>IFERROR(VLOOKUP(AS59,tbFactorMes,2,FALSE),"")</f>
        <v/>
      </c>
      <c r="AU59">
        <f t="shared" si="6"/>
        <v>0</v>
      </c>
      <c r="AX59" t="str">
        <f>IFERROR(VLOOKUP(AW59,tbFactorMes,2,FALSE),"")</f>
        <v/>
      </c>
      <c r="AY59">
        <f t="shared" si="7"/>
        <v>0</v>
      </c>
      <c r="BB59" t="str">
        <f>IFERROR(VLOOKUP(BA59,tbFactorMes,2,FALSE),"")</f>
        <v/>
      </c>
      <c r="BC59">
        <f t="shared" si="8"/>
        <v>0</v>
      </c>
      <c r="BF59" t="str">
        <f>IFERROR(VLOOKUP(BE59,tbFactorMes,2,FALSE),"")</f>
        <v/>
      </c>
      <c r="BG59">
        <f t="shared" si="9"/>
        <v>0</v>
      </c>
      <c r="BH59">
        <f t="shared" si="10"/>
        <v>0</v>
      </c>
      <c r="BI59">
        <f t="shared" si="11"/>
        <v>0</v>
      </c>
    </row>
    <row r="60" spans="11:61" x14ac:dyDescent="0.35">
      <c r="K60" t="str">
        <f>IFERROR(VLOOKUP(F60,tbTurnos,3,FALSE),"")</f>
        <v/>
      </c>
      <c r="N60" t="str">
        <f>IFERROR(VLOOKUP(M60,tbFactorMes,2,FALSE),"")</f>
        <v/>
      </c>
      <c r="O60">
        <f t="shared" si="12"/>
        <v>0</v>
      </c>
      <c r="R60" t="str">
        <f>IFERROR(VLOOKUP(Q60,tbFactorMes,2,FALSE),"")</f>
        <v/>
      </c>
      <c r="S60">
        <f t="shared" si="13"/>
        <v>0</v>
      </c>
      <c r="V60" t="str">
        <f>IFERROR(VLOOKUP(U60,tbFactorMes,2,FALSE),"")</f>
        <v/>
      </c>
      <c r="W60">
        <f t="shared" si="0"/>
        <v>0</v>
      </c>
      <c r="Z60" t="str">
        <f>IFERROR(VLOOKUP(Y60,tbFactorMes,2,FALSE),"")</f>
        <v/>
      </c>
      <c r="AA60">
        <f t="shared" si="1"/>
        <v>0</v>
      </c>
      <c r="AD60" t="str">
        <f>IFERROR(VLOOKUP(AC60,tbFactorMes,2,FALSE),"")</f>
        <v/>
      </c>
      <c r="AE60">
        <f t="shared" si="2"/>
        <v>0</v>
      </c>
      <c r="AH60" t="str">
        <f>IFERROR(VLOOKUP(AG60,tbFactorMes,2,FALSE),"")</f>
        <v/>
      </c>
      <c r="AI60">
        <f t="shared" si="3"/>
        <v>0</v>
      </c>
      <c r="AL60" t="str">
        <f>IFERROR(VLOOKUP(AK60,tbFactorMes,2,FALSE),"")</f>
        <v/>
      </c>
      <c r="AM60">
        <f t="shared" si="4"/>
        <v>0</v>
      </c>
      <c r="AP60" t="str">
        <f>IFERROR(VLOOKUP(AO60,tbFactorMes,2,FALSE),"")</f>
        <v/>
      </c>
      <c r="AQ60">
        <f t="shared" si="5"/>
        <v>0</v>
      </c>
      <c r="AT60" t="str">
        <f>IFERROR(VLOOKUP(AS60,tbFactorMes,2,FALSE),"")</f>
        <v/>
      </c>
      <c r="AU60">
        <f t="shared" si="6"/>
        <v>0</v>
      </c>
      <c r="AX60" t="str">
        <f>IFERROR(VLOOKUP(AW60,tbFactorMes,2,FALSE),"")</f>
        <v/>
      </c>
      <c r="AY60">
        <f t="shared" si="7"/>
        <v>0</v>
      </c>
      <c r="BB60" t="str">
        <f>IFERROR(VLOOKUP(BA60,tbFactorMes,2,FALSE),"")</f>
        <v/>
      </c>
      <c r="BC60">
        <f t="shared" si="8"/>
        <v>0</v>
      </c>
      <c r="BF60" t="str">
        <f>IFERROR(VLOOKUP(BE60,tbFactorMes,2,FALSE),"")</f>
        <v/>
      </c>
      <c r="BG60">
        <f t="shared" si="9"/>
        <v>0</v>
      </c>
      <c r="BH60">
        <f t="shared" si="10"/>
        <v>0</v>
      </c>
      <c r="BI60">
        <f t="shared" si="11"/>
        <v>0</v>
      </c>
    </row>
    <row r="61" spans="11:61" x14ac:dyDescent="0.35">
      <c r="K61" t="str">
        <f>IFERROR(VLOOKUP(F61,tbTurnos,3,FALSE),"")</f>
        <v/>
      </c>
      <c r="N61" t="str">
        <f>IFERROR(VLOOKUP(M61,tbFactorMes,2,FALSE),"")</f>
        <v/>
      </c>
      <c r="O61">
        <f t="shared" si="12"/>
        <v>0</v>
      </c>
      <c r="R61" t="str">
        <f>IFERROR(VLOOKUP(Q61,tbFactorMes,2,FALSE),"")</f>
        <v/>
      </c>
      <c r="S61">
        <f t="shared" si="13"/>
        <v>0</v>
      </c>
      <c r="V61" t="str">
        <f>IFERROR(VLOOKUP(U61,tbFactorMes,2,FALSE),"")</f>
        <v/>
      </c>
      <c r="W61">
        <f t="shared" si="0"/>
        <v>0</v>
      </c>
      <c r="Z61" t="str">
        <f>IFERROR(VLOOKUP(Y61,tbFactorMes,2,FALSE),"")</f>
        <v/>
      </c>
      <c r="AA61">
        <f t="shared" si="1"/>
        <v>0</v>
      </c>
      <c r="AD61" t="str">
        <f>IFERROR(VLOOKUP(AC61,tbFactorMes,2,FALSE),"")</f>
        <v/>
      </c>
      <c r="AE61">
        <f t="shared" si="2"/>
        <v>0</v>
      </c>
      <c r="AH61" t="str">
        <f>IFERROR(VLOOKUP(AG61,tbFactorMes,2,FALSE),"")</f>
        <v/>
      </c>
      <c r="AI61">
        <f t="shared" si="3"/>
        <v>0</v>
      </c>
      <c r="AL61" t="str">
        <f>IFERROR(VLOOKUP(AK61,tbFactorMes,2,FALSE),"")</f>
        <v/>
      </c>
      <c r="AM61">
        <f t="shared" si="4"/>
        <v>0</v>
      </c>
      <c r="AP61" t="str">
        <f>IFERROR(VLOOKUP(AO61,tbFactorMes,2,FALSE),"")</f>
        <v/>
      </c>
      <c r="AQ61">
        <f t="shared" si="5"/>
        <v>0</v>
      </c>
      <c r="AT61" t="str">
        <f>IFERROR(VLOOKUP(AS61,tbFactorMes,2,FALSE),"")</f>
        <v/>
      </c>
      <c r="AU61">
        <f t="shared" si="6"/>
        <v>0</v>
      </c>
      <c r="AX61" t="str">
        <f>IFERROR(VLOOKUP(AW61,tbFactorMes,2,FALSE),"")</f>
        <v/>
      </c>
      <c r="AY61">
        <f t="shared" si="7"/>
        <v>0</v>
      </c>
      <c r="BB61" t="str">
        <f>IFERROR(VLOOKUP(BA61,tbFactorMes,2,FALSE),"")</f>
        <v/>
      </c>
      <c r="BC61">
        <f t="shared" si="8"/>
        <v>0</v>
      </c>
      <c r="BF61" t="str">
        <f>IFERROR(VLOOKUP(BE61,tbFactorMes,2,FALSE),"")</f>
        <v/>
      </c>
      <c r="BG61">
        <f t="shared" si="9"/>
        <v>0</v>
      </c>
      <c r="BH61">
        <f t="shared" si="10"/>
        <v>0</v>
      </c>
      <c r="BI61">
        <f t="shared" si="11"/>
        <v>0</v>
      </c>
    </row>
    <row r="62" spans="11:61" x14ac:dyDescent="0.35">
      <c r="K62" t="str">
        <f>IFERROR(VLOOKUP(F62,tbTurnos,3,FALSE),"")</f>
        <v/>
      </c>
      <c r="N62" t="str">
        <f>IFERROR(VLOOKUP(M62,tbFactorMes,2,FALSE),"")</f>
        <v/>
      </c>
      <c r="O62">
        <f t="shared" si="12"/>
        <v>0</v>
      </c>
      <c r="R62" t="str">
        <f>IFERROR(VLOOKUP(Q62,tbFactorMes,2,FALSE),"")</f>
        <v/>
      </c>
      <c r="S62">
        <f t="shared" si="13"/>
        <v>0</v>
      </c>
      <c r="V62" t="str">
        <f>IFERROR(VLOOKUP(U62,tbFactorMes,2,FALSE),"")</f>
        <v/>
      </c>
      <c r="W62">
        <f t="shared" si="0"/>
        <v>0</v>
      </c>
      <c r="Z62" t="str">
        <f>IFERROR(VLOOKUP(Y62,tbFactorMes,2,FALSE),"")</f>
        <v/>
      </c>
      <c r="AA62">
        <f t="shared" si="1"/>
        <v>0</v>
      </c>
      <c r="AD62" t="str">
        <f>IFERROR(VLOOKUP(AC62,tbFactorMes,2,FALSE),"")</f>
        <v/>
      </c>
      <c r="AE62">
        <f t="shared" si="2"/>
        <v>0</v>
      </c>
      <c r="AH62" t="str">
        <f>IFERROR(VLOOKUP(AG62,tbFactorMes,2,FALSE),"")</f>
        <v/>
      </c>
      <c r="AI62">
        <f t="shared" si="3"/>
        <v>0</v>
      </c>
      <c r="AL62" t="str">
        <f>IFERROR(VLOOKUP(AK62,tbFactorMes,2,FALSE),"")</f>
        <v/>
      </c>
      <c r="AM62">
        <f t="shared" si="4"/>
        <v>0</v>
      </c>
      <c r="AP62" t="str">
        <f>IFERROR(VLOOKUP(AO62,tbFactorMes,2,FALSE),"")</f>
        <v/>
      </c>
      <c r="AQ62">
        <f t="shared" si="5"/>
        <v>0</v>
      </c>
      <c r="AT62" t="str">
        <f>IFERROR(VLOOKUP(AS62,tbFactorMes,2,FALSE),"")</f>
        <v/>
      </c>
      <c r="AU62">
        <f t="shared" si="6"/>
        <v>0</v>
      </c>
      <c r="AX62" t="str">
        <f>IFERROR(VLOOKUP(AW62,tbFactorMes,2,FALSE),"")</f>
        <v/>
      </c>
      <c r="AY62">
        <f t="shared" si="7"/>
        <v>0</v>
      </c>
      <c r="BB62" t="str">
        <f>IFERROR(VLOOKUP(BA62,tbFactorMes,2,FALSE),"")</f>
        <v/>
      </c>
      <c r="BC62">
        <f t="shared" si="8"/>
        <v>0</v>
      </c>
      <c r="BF62" t="str">
        <f>IFERROR(VLOOKUP(BE62,tbFactorMes,2,FALSE),"")</f>
        <v/>
      </c>
      <c r="BG62">
        <f t="shared" si="9"/>
        <v>0</v>
      </c>
      <c r="BH62">
        <f t="shared" si="10"/>
        <v>0</v>
      </c>
      <c r="BI62">
        <f t="shared" si="11"/>
        <v>0</v>
      </c>
    </row>
    <row r="63" spans="11:61" x14ac:dyDescent="0.35">
      <c r="K63" t="str">
        <f>IFERROR(VLOOKUP(F63,tbTurnos,3,FALSE),"")</f>
        <v/>
      </c>
      <c r="N63" t="str">
        <f>IFERROR(VLOOKUP(M63,tbFactorMes,2,FALSE),"")</f>
        <v/>
      </c>
      <c r="O63">
        <f t="shared" si="12"/>
        <v>0</v>
      </c>
      <c r="R63" t="str">
        <f>IFERROR(VLOOKUP(Q63,tbFactorMes,2,FALSE),"")</f>
        <v/>
      </c>
      <c r="S63">
        <f t="shared" si="13"/>
        <v>0</v>
      </c>
      <c r="V63" t="str">
        <f>IFERROR(VLOOKUP(U63,tbFactorMes,2,FALSE),"")</f>
        <v/>
      </c>
      <c r="W63">
        <f t="shared" si="0"/>
        <v>0</v>
      </c>
      <c r="Z63" t="str">
        <f>IFERROR(VLOOKUP(Y63,tbFactorMes,2,FALSE),"")</f>
        <v/>
      </c>
      <c r="AA63">
        <f t="shared" si="1"/>
        <v>0</v>
      </c>
      <c r="AD63" t="str">
        <f>IFERROR(VLOOKUP(AC63,tbFactorMes,2,FALSE),"")</f>
        <v/>
      </c>
      <c r="AE63">
        <f t="shared" si="2"/>
        <v>0</v>
      </c>
      <c r="AH63" t="str">
        <f>IFERROR(VLOOKUP(AG63,tbFactorMes,2,FALSE),"")</f>
        <v/>
      </c>
      <c r="AI63">
        <f t="shared" si="3"/>
        <v>0</v>
      </c>
      <c r="AL63" t="str">
        <f>IFERROR(VLOOKUP(AK63,tbFactorMes,2,FALSE),"")</f>
        <v/>
      </c>
      <c r="AM63">
        <f t="shared" si="4"/>
        <v>0</v>
      </c>
      <c r="AP63" t="str">
        <f>IFERROR(VLOOKUP(AO63,tbFactorMes,2,FALSE),"")</f>
        <v/>
      </c>
      <c r="AQ63">
        <f t="shared" si="5"/>
        <v>0</v>
      </c>
      <c r="AT63" t="str">
        <f>IFERROR(VLOOKUP(AS63,tbFactorMes,2,FALSE),"")</f>
        <v/>
      </c>
      <c r="AU63">
        <f t="shared" si="6"/>
        <v>0</v>
      </c>
      <c r="AX63" t="str">
        <f>IFERROR(VLOOKUP(AW63,tbFactorMes,2,FALSE),"")</f>
        <v/>
      </c>
      <c r="AY63">
        <f t="shared" si="7"/>
        <v>0</v>
      </c>
      <c r="BB63" t="str">
        <f>IFERROR(VLOOKUP(BA63,tbFactorMes,2,FALSE),"")</f>
        <v/>
      </c>
      <c r="BC63">
        <f t="shared" si="8"/>
        <v>0</v>
      </c>
      <c r="BF63" t="str">
        <f>IFERROR(VLOOKUP(BE63,tbFactorMes,2,FALSE),"")</f>
        <v/>
      </c>
      <c r="BG63">
        <f t="shared" si="9"/>
        <v>0</v>
      </c>
      <c r="BH63">
        <f t="shared" si="10"/>
        <v>0</v>
      </c>
      <c r="BI63">
        <f t="shared" si="11"/>
        <v>0</v>
      </c>
    </row>
    <row r="64" spans="11:61" x14ac:dyDescent="0.35">
      <c r="K64" t="str">
        <f>IFERROR(VLOOKUP(F64,tbTurnos,3,FALSE),"")</f>
        <v/>
      </c>
      <c r="N64" t="str">
        <f>IFERROR(VLOOKUP(M64,tbFactorMes,2,FALSE),"")</f>
        <v/>
      </c>
      <c r="O64">
        <f t="shared" si="12"/>
        <v>0</v>
      </c>
      <c r="R64" t="str">
        <f>IFERROR(VLOOKUP(Q64,tbFactorMes,2,FALSE),"")</f>
        <v/>
      </c>
      <c r="S64">
        <f t="shared" si="13"/>
        <v>0</v>
      </c>
      <c r="V64" t="str">
        <f>IFERROR(VLOOKUP(U64,tbFactorMes,2,FALSE),"")</f>
        <v/>
      </c>
      <c r="W64">
        <f t="shared" si="0"/>
        <v>0</v>
      </c>
      <c r="Z64" t="str">
        <f>IFERROR(VLOOKUP(Y64,tbFactorMes,2,FALSE),"")</f>
        <v/>
      </c>
      <c r="AA64">
        <f t="shared" si="1"/>
        <v>0</v>
      </c>
      <c r="AD64" t="str">
        <f>IFERROR(VLOOKUP(AC64,tbFactorMes,2,FALSE),"")</f>
        <v/>
      </c>
      <c r="AE64">
        <f t="shared" si="2"/>
        <v>0</v>
      </c>
      <c r="AH64" t="str">
        <f>IFERROR(VLOOKUP(AG64,tbFactorMes,2,FALSE),"")</f>
        <v/>
      </c>
      <c r="AI64">
        <f t="shared" si="3"/>
        <v>0</v>
      </c>
      <c r="AL64" t="str">
        <f>IFERROR(VLOOKUP(AK64,tbFactorMes,2,FALSE),"")</f>
        <v/>
      </c>
      <c r="AM64">
        <f t="shared" si="4"/>
        <v>0</v>
      </c>
      <c r="AP64" t="str">
        <f>IFERROR(VLOOKUP(AO64,tbFactorMes,2,FALSE),"")</f>
        <v/>
      </c>
      <c r="AQ64">
        <f t="shared" si="5"/>
        <v>0</v>
      </c>
      <c r="AT64" t="str">
        <f>IFERROR(VLOOKUP(AS64,tbFactorMes,2,FALSE),"")</f>
        <v/>
      </c>
      <c r="AU64">
        <f t="shared" si="6"/>
        <v>0</v>
      </c>
      <c r="AX64" t="str">
        <f>IFERROR(VLOOKUP(AW64,tbFactorMes,2,FALSE),"")</f>
        <v/>
      </c>
      <c r="AY64">
        <f t="shared" si="7"/>
        <v>0</v>
      </c>
      <c r="BB64" t="str">
        <f>IFERROR(VLOOKUP(BA64,tbFactorMes,2,FALSE),"")</f>
        <v/>
      </c>
      <c r="BC64">
        <f t="shared" si="8"/>
        <v>0</v>
      </c>
      <c r="BF64" t="str">
        <f>IFERROR(VLOOKUP(BE64,tbFactorMes,2,FALSE),"")</f>
        <v/>
      </c>
      <c r="BG64">
        <f t="shared" si="9"/>
        <v>0</v>
      </c>
      <c r="BH64">
        <f t="shared" si="10"/>
        <v>0</v>
      </c>
      <c r="BI64">
        <f t="shared" si="11"/>
        <v>0</v>
      </c>
    </row>
    <row r="65" spans="11:61" x14ac:dyDescent="0.35">
      <c r="K65" t="str">
        <f>IFERROR(VLOOKUP(F65,tbTurnos,3,FALSE),"")</f>
        <v/>
      </c>
      <c r="N65" t="str">
        <f>IFERROR(VLOOKUP(M65,tbFactorMes,2,FALSE),"")</f>
        <v/>
      </c>
      <c r="O65">
        <f t="shared" si="12"/>
        <v>0</v>
      </c>
      <c r="R65" t="str">
        <f>IFERROR(VLOOKUP(Q65,tbFactorMes,2,FALSE),"")</f>
        <v/>
      </c>
      <c r="S65">
        <f t="shared" si="13"/>
        <v>0</v>
      </c>
      <c r="V65" t="str">
        <f>IFERROR(VLOOKUP(U65,tbFactorMes,2,FALSE),"")</f>
        <v/>
      </c>
      <c r="W65">
        <f t="shared" si="0"/>
        <v>0</v>
      </c>
      <c r="Z65" t="str">
        <f>IFERROR(VLOOKUP(Y65,tbFactorMes,2,FALSE),"")</f>
        <v/>
      </c>
      <c r="AA65">
        <f t="shared" si="1"/>
        <v>0</v>
      </c>
      <c r="AD65" t="str">
        <f>IFERROR(VLOOKUP(AC65,tbFactorMes,2,FALSE),"")</f>
        <v/>
      </c>
      <c r="AE65">
        <f t="shared" si="2"/>
        <v>0</v>
      </c>
      <c r="AH65" t="str">
        <f>IFERROR(VLOOKUP(AG65,tbFactorMes,2,FALSE),"")</f>
        <v/>
      </c>
      <c r="AI65">
        <f t="shared" si="3"/>
        <v>0</v>
      </c>
      <c r="AL65" t="str">
        <f>IFERROR(VLOOKUP(AK65,tbFactorMes,2,FALSE),"")</f>
        <v/>
      </c>
      <c r="AM65">
        <f t="shared" si="4"/>
        <v>0</v>
      </c>
      <c r="AP65" t="str">
        <f>IFERROR(VLOOKUP(AO65,tbFactorMes,2,FALSE),"")</f>
        <v/>
      </c>
      <c r="AQ65">
        <f t="shared" si="5"/>
        <v>0</v>
      </c>
      <c r="AT65" t="str">
        <f>IFERROR(VLOOKUP(AS65,tbFactorMes,2,FALSE),"")</f>
        <v/>
      </c>
      <c r="AU65">
        <f t="shared" si="6"/>
        <v>0</v>
      </c>
      <c r="AX65" t="str">
        <f>IFERROR(VLOOKUP(AW65,tbFactorMes,2,FALSE),"")</f>
        <v/>
      </c>
      <c r="AY65">
        <f t="shared" si="7"/>
        <v>0</v>
      </c>
      <c r="BB65" t="str">
        <f>IFERROR(VLOOKUP(BA65,tbFactorMes,2,FALSE),"")</f>
        <v/>
      </c>
      <c r="BC65">
        <f t="shared" si="8"/>
        <v>0</v>
      </c>
      <c r="BF65" t="str">
        <f>IFERROR(VLOOKUP(BE65,tbFactorMes,2,FALSE),"")</f>
        <v/>
      </c>
      <c r="BG65">
        <f t="shared" si="9"/>
        <v>0</v>
      </c>
      <c r="BH65">
        <f t="shared" si="10"/>
        <v>0</v>
      </c>
      <c r="BI65">
        <f t="shared" si="11"/>
        <v>0</v>
      </c>
    </row>
    <row r="66" spans="11:61" x14ac:dyDescent="0.35">
      <c r="K66" t="str">
        <f>IFERROR(VLOOKUP(F66,tbTurnos,3,FALSE),"")</f>
        <v/>
      </c>
      <c r="N66" t="str">
        <f>IFERROR(VLOOKUP(M66,tbFactorMes,2,FALSE),"")</f>
        <v/>
      </c>
      <c r="O66">
        <f t="shared" ref="O66:O129" si="14">IFERROR((L66*$K66)/N66,0)*$J66</f>
        <v>0</v>
      </c>
      <c r="R66" t="str">
        <f>IFERROR(VLOOKUP(Q66,tbFactorMes,2,FALSE),"")</f>
        <v/>
      </c>
      <c r="S66">
        <f t="shared" ref="S66:S129" si="15">IFERROR((P66*$K66)/R66,0)*$J66</f>
        <v>0</v>
      </c>
      <c r="V66" t="str">
        <f>IFERROR(VLOOKUP(U66,tbFactorMes,2,FALSE),"")</f>
        <v/>
      </c>
      <c r="W66">
        <f t="shared" ref="W66:W129" si="16">IFERROR((T66*$K66)/V66,0)*$J66</f>
        <v>0</v>
      </c>
      <c r="Z66" t="str">
        <f>IFERROR(VLOOKUP(Y66,tbFactorMes,2,FALSE),"")</f>
        <v/>
      </c>
      <c r="AA66">
        <f t="shared" ref="AA66:AA129" si="17">IFERROR((X66*$K66)/Z66,0)*$J66</f>
        <v>0</v>
      </c>
      <c r="AD66" t="str">
        <f>IFERROR(VLOOKUP(AC66,tbFactorMes,2,FALSE),"")</f>
        <v/>
      </c>
      <c r="AE66">
        <f t="shared" ref="AE66:AE129" si="18">IFERROR((AB66*$K66)/AD66,0)*$J66</f>
        <v>0</v>
      </c>
      <c r="AH66" t="str">
        <f>IFERROR(VLOOKUP(AG66,tbFactorMes,2,FALSE),"")</f>
        <v/>
      </c>
      <c r="AI66">
        <f t="shared" ref="AI66:AI129" si="19">IFERROR((AF66*$K66)/AH66,0)*$J66</f>
        <v>0</v>
      </c>
      <c r="AL66" t="str">
        <f>IFERROR(VLOOKUP(AK66,tbFactorMes,2,FALSE),"")</f>
        <v/>
      </c>
      <c r="AM66">
        <f t="shared" ref="AM66:AM129" si="20">IFERROR((AJ66*$K66)/AL66,0)*$J66</f>
        <v>0</v>
      </c>
      <c r="AP66" t="str">
        <f>IFERROR(VLOOKUP(AO66,tbFactorMes,2,FALSE),"")</f>
        <v/>
      </c>
      <c r="AQ66">
        <f t="shared" ref="AQ66:AQ129" si="21">IFERROR((AN66*$K66)/AP66,0)*$J66</f>
        <v>0</v>
      </c>
      <c r="AT66" t="str">
        <f>IFERROR(VLOOKUP(AS66,tbFactorMes,2,FALSE),"")</f>
        <v/>
      </c>
      <c r="AU66">
        <f t="shared" ref="AU66:AU129" si="22">IFERROR((AR66*$K66)/AT66,0)*$J66</f>
        <v>0</v>
      </c>
      <c r="AX66" t="str">
        <f>IFERROR(VLOOKUP(AW66,tbFactorMes,2,FALSE),"")</f>
        <v/>
      </c>
      <c r="AY66">
        <f t="shared" ref="AY66:AY129" si="23">IFERROR((AV66*$K66)/AX66,0)*$J66</f>
        <v>0</v>
      </c>
      <c r="BB66" t="str">
        <f>IFERROR(VLOOKUP(BA66,tbFactorMes,2,FALSE),"")</f>
        <v/>
      </c>
      <c r="BC66">
        <f t="shared" ref="BC66:BC129" si="24">IFERROR((AZ66*$K66)/BB66,0)*$J66</f>
        <v>0</v>
      </c>
      <c r="BF66" t="str">
        <f>IFERROR(VLOOKUP(BE66,tbFactorMes,2,FALSE),"")</f>
        <v/>
      </c>
      <c r="BG66">
        <f t="shared" ref="BG66:BG129" si="25">IFERROR((BD66*$K66)/BF66,0)*$J66</f>
        <v>0</v>
      </c>
      <c r="BH66">
        <f t="shared" ref="BH66:BH129" si="26">IFERROR(SUM(O66,S66,W66,AA66,AE66,AI66,AM66,AQ66,AU66,AY66,BC66,BG66),0)</f>
        <v>0</v>
      </c>
      <c r="BI66">
        <f t="shared" ref="BI66:BI129" si="27">IFERROR(BH66*(1-$I66),0)</f>
        <v>0</v>
      </c>
    </row>
    <row r="67" spans="11:61" x14ac:dyDescent="0.35">
      <c r="K67" t="str">
        <f>IFERROR(VLOOKUP(F67,tbTurnos,3,FALSE),"")</f>
        <v/>
      </c>
      <c r="N67" t="str">
        <f>IFERROR(VLOOKUP(M67,tbFactorMes,2,FALSE),"")</f>
        <v/>
      </c>
      <c r="O67">
        <f t="shared" si="14"/>
        <v>0</v>
      </c>
      <c r="R67" t="str">
        <f>IFERROR(VLOOKUP(Q67,tbFactorMes,2,FALSE),"")</f>
        <v/>
      </c>
      <c r="S67">
        <f t="shared" si="15"/>
        <v>0</v>
      </c>
      <c r="V67" t="str">
        <f>IFERROR(VLOOKUP(U67,tbFactorMes,2,FALSE),"")</f>
        <v/>
      </c>
      <c r="W67">
        <f t="shared" si="16"/>
        <v>0</v>
      </c>
      <c r="Z67" t="str">
        <f>IFERROR(VLOOKUP(Y67,tbFactorMes,2,FALSE),"")</f>
        <v/>
      </c>
      <c r="AA67">
        <f t="shared" si="17"/>
        <v>0</v>
      </c>
      <c r="AD67" t="str">
        <f>IFERROR(VLOOKUP(AC67,tbFactorMes,2,FALSE),"")</f>
        <v/>
      </c>
      <c r="AE67">
        <f t="shared" si="18"/>
        <v>0</v>
      </c>
      <c r="AH67" t="str">
        <f>IFERROR(VLOOKUP(AG67,tbFactorMes,2,FALSE),"")</f>
        <v/>
      </c>
      <c r="AI67">
        <f t="shared" si="19"/>
        <v>0</v>
      </c>
      <c r="AL67" t="str">
        <f>IFERROR(VLOOKUP(AK67,tbFactorMes,2,FALSE),"")</f>
        <v/>
      </c>
      <c r="AM67">
        <f t="shared" si="20"/>
        <v>0</v>
      </c>
      <c r="AP67" t="str">
        <f>IFERROR(VLOOKUP(AO67,tbFactorMes,2,FALSE),"")</f>
        <v/>
      </c>
      <c r="AQ67">
        <f t="shared" si="21"/>
        <v>0</v>
      </c>
      <c r="AT67" t="str">
        <f>IFERROR(VLOOKUP(AS67,tbFactorMes,2,FALSE),"")</f>
        <v/>
      </c>
      <c r="AU67">
        <f t="shared" si="22"/>
        <v>0</v>
      </c>
      <c r="AX67" t="str">
        <f>IFERROR(VLOOKUP(AW67,tbFactorMes,2,FALSE),"")</f>
        <v/>
      </c>
      <c r="AY67">
        <f t="shared" si="23"/>
        <v>0</v>
      </c>
      <c r="BB67" t="str">
        <f>IFERROR(VLOOKUP(BA67,tbFactorMes,2,FALSE),"")</f>
        <v/>
      </c>
      <c r="BC67">
        <f t="shared" si="24"/>
        <v>0</v>
      </c>
      <c r="BF67" t="str">
        <f>IFERROR(VLOOKUP(BE67,tbFactorMes,2,FALSE),"")</f>
        <v/>
      </c>
      <c r="BG67">
        <f t="shared" si="25"/>
        <v>0</v>
      </c>
      <c r="BH67">
        <f t="shared" si="26"/>
        <v>0</v>
      </c>
      <c r="BI67">
        <f t="shared" si="27"/>
        <v>0</v>
      </c>
    </row>
    <row r="68" spans="11:61" x14ac:dyDescent="0.35">
      <c r="K68" t="str">
        <f>IFERROR(VLOOKUP(F68,tbTurnos,3,FALSE),"")</f>
        <v/>
      </c>
      <c r="N68" t="str">
        <f>IFERROR(VLOOKUP(M68,tbFactorMes,2,FALSE),"")</f>
        <v/>
      </c>
      <c r="O68">
        <f t="shared" si="14"/>
        <v>0</v>
      </c>
      <c r="R68" t="str">
        <f>IFERROR(VLOOKUP(Q68,tbFactorMes,2,FALSE),"")</f>
        <v/>
      </c>
      <c r="S68">
        <f t="shared" si="15"/>
        <v>0</v>
      </c>
      <c r="V68" t="str">
        <f>IFERROR(VLOOKUP(U68,tbFactorMes,2,FALSE),"")</f>
        <v/>
      </c>
      <c r="W68">
        <f t="shared" si="16"/>
        <v>0</v>
      </c>
      <c r="Z68" t="str">
        <f>IFERROR(VLOOKUP(Y68,tbFactorMes,2,FALSE),"")</f>
        <v/>
      </c>
      <c r="AA68">
        <f t="shared" si="17"/>
        <v>0</v>
      </c>
      <c r="AD68" t="str">
        <f>IFERROR(VLOOKUP(AC68,tbFactorMes,2,FALSE),"")</f>
        <v/>
      </c>
      <c r="AE68">
        <f t="shared" si="18"/>
        <v>0</v>
      </c>
      <c r="AH68" t="str">
        <f>IFERROR(VLOOKUP(AG68,tbFactorMes,2,FALSE),"")</f>
        <v/>
      </c>
      <c r="AI68">
        <f t="shared" si="19"/>
        <v>0</v>
      </c>
      <c r="AL68" t="str">
        <f>IFERROR(VLOOKUP(AK68,tbFactorMes,2,FALSE),"")</f>
        <v/>
      </c>
      <c r="AM68">
        <f t="shared" si="20"/>
        <v>0</v>
      </c>
      <c r="AP68" t="str">
        <f>IFERROR(VLOOKUP(AO68,tbFactorMes,2,FALSE),"")</f>
        <v/>
      </c>
      <c r="AQ68">
        <f t="shared" si="21"/>
        <v>0</v>
      </c>
      <c r="AT68" t="str">
        <f>IFERROR(VLOOKUP(AS68,tbFactorMes,2,FALSE),"")</f>
        <v/>
      </c>
      <c r="AU68">
        <f t="shared" si="22"/>
        <v>0</v>
      </c>
      <c r="AX68" t="str">
        <f>IFERROR(VLOOKUP(AW68,tbFactorMes,2,FALSE),"")</f>
        <v/>
      </c>
      <c r="AY68">
        <f t="shared" si="23"/>
        <v>0</v>
      </c>
      <c r="BB68" t="str">
        <f>IFERROR(VLOOKUP(BA68,tbFactorMes,2,FALSE),"")</f>
        <v/>
      </c>
      <c r="BC68">
        <f t="shared" si="24"/>
        <v>0</v>
      </c>
      <c r="BF68" t="str">
        <f>IFERROR(VLOOKUP(BE68,tbFactorMes,2,FALSE),"")</f>
        <v/>
      </c>
      <c r="BG68">
        <f t="shared" si="25"/>
        <v>0</v>
      </c>
      <c r="BH68">
        <f t="shared" si="26"/>
        <v>0</v>
      </c>
      <c r="BI68">
        <f t="shared" si="27"/>
        <v>0</v>
      </c>
    </row>
    <row r="69" spans="11:61" x14ac:dyDescent="0.35">
      <c r="K69" t="str">
        <f>IFERROR(VLOOKUP(F69,tbTurnos,3,FALSE),"")</f>
        <v/>
      </c>
      <c r="N69" t="str">
        <f>IFERROR(VLOOKUP(M69,tbFactorMes,2,FALSE),"")</f>
        <v/>
      </c>
      <c r="O69">
        <f t="shared" si="14"/>
        <v>0</v>
      </c>
      <c r="R69" t="str">
        <f>IFERROR(VLOOKUP(Q69,tbFactorMes,2,FALSE),"")</f>
        <v/>
      </c>
      <c r="S69">
        <f t="shared" si="15"/>
        <v>0</v>
      </c>
      <c r="V69" t="str">
        <f>IFERROR(VLOOKUP(U69,tbFactorMes,2,FALSE),"")</f>
        <v/>
      </c>
      <c r="W69">
        <f t="shared" si="16"/>
        <v>0</v>
      </c>
      <c r="Z69" t="str">
        <f>IFERROR(VLOOKUP(Y69,tbFactorMes,2,FALSE),"")</f>
        <v/>
      </c>
      <c r="AA69">
        <f t="shared" si="17"/>
        <v>0</v>
      </c>
      <c r="AD69" t="str">
        <f>IFERROR(VLOOKUP(AC69,tbFactorMes,2,FALSE),"")</f>
        <v/>
      </c>
      <c r="AE69">
        <f t="shared" si="18"/>
        <v>0</v>
      </c>
      <c r="AH69" t="str">
        <f>IFERROR(VLOOKUP(AG69,tbFactorMes,2,FALSE),"")</f>
        <v/>
      </c>
      <c r="AI69">
        <f t="shared" si="19"/>
        <v>0</v>
      </c>
      <c r="AL69" t="str">
        <f>IFERROR(VLOOKUP(AK69,tbFactorMes,2,FALSE),"")</f>
        <v/>
      </c>
      <c r="AM69">
        <f t="shared" si="20"/>
        <v>0</v>
      </c>
      <c r="AP69" t="str">
        <f>IFERROR(VLOOKUP(AO69,tbFactorMes,2,FALSE),"")</f>
        <v/>
      </c>
      <c r="AQ69">
        <f t="shared" si="21"/>
        <v>0</v>
      </c>
      <c r="AT69" t="str">
        <f>IFERROR(VLOOKUP(AS69,tbFactorMes,2,FALSE),"")</f>
        <v/>
      </c>
      <c r="AU69">
        <f t="shared" si="22"/>
        <v>0</v>
      </c>
      <c r="AX69" t="str">
        <f>IFERROR(VLOOKUP(AW69,tbFactorMes,2,FALSE),"")</f>
        <v/>
      </c>
      <c r="AY69">
        <f t="shared" si="23"/>
        <v>0</v>
      </c>
      <c r="BB69" t="str">
        <f>IFERROR(VLOOKUP(BA69,tbFactorMes,2,FALSE),"")</f>
        <v/>
      </c>
      <c r="BC69">
        <f t="shared" si="24"/>
        <v>0</v>
      </c>
      <c r="BF69" t="str">
        <f>IFERROR(VLOOKUP(BE69,tbFactorMes,2,FALSE),"")</f>
        <v/>
      </c>
      <c r="BG69">
        <f t="shared" si="25"/>
        <v>0</v>
      </c>
      <c r="BH69">
        <f t="shared" si="26"/>
        <v>0</v>
      </c>
      <c r="BI69">
        <f t="shared" si="27"/>
        <v>0</v>
      </c>
    </row>
    <row r="70" spans="11:61" x14ac:dyDescent="0.35">
      <c r="K70" t="str">
        <f>IFERROR(VLOOKUP(F70,tbTurnos,3,FALSE),"")</f>
        <v/>
      </c>
      <c r="N70" t="str">
        <f>IFERROR(VLOOKUP(M70,tbFactorMes,2,FALSE),"")</f>
        <v/>
      </c>
      <c r="O70">
        <f t="shared" si="14"/>
        <v>0</v>
      </c>
      <c r="R70" t="str">
        <f>IFERROR(VLOOKUP(Q70,tbFactorMes,2,FALSE),"")</f>
        <v/>
      </c>
      <c r="S70">
        <f t="shared" si="15"/>
        <v>0</v>
      </c>
      <c r="V70" t="str">
        <f>IFERROR(VLOOKUP(U70,tbFactorMes,2,FALSE),"")</f>
        <v/>
      </c>
      <c r="W70">
        <f t="shared" si="16"/>
        <v>0</v>
      </c>
      <c r="Z70" t="str">
        <f>IFERROR(VLOOKUP(Y70,tbFactorMes,2,FALSE),"")</f>
        <v/>
      </c>
      <c r="AA70">
        <f t="shared" si="17"/>
        <v>0</v>
      </c>
      <c r="AD70" t="str">
        <f>IFERROR(VLOOKUP(AC70,tbFactorMes,2,FALSE),"")</f>
        <v/>
      </c>
      <c r="AE70">
        <f t="shared" si="18"/>
        <v>0</v>
      </c>
      <c r="AH70" t="str">
        <f>IFERROR(VLOOKUP(AG70,tbFactorMes,2,FALSE),"")</f>
        <v/>
      </c>
      <c r="AI70">
        <f t="shared" si="19"/>
        <v>0</v>
      </c>
      <c r="AL70" t="str">
        <f>IFERROR(VLOOKUP(AK70,tbFactorMes,2,FALSE),"")</f>
        <v/>
      </c>
      <c r="AM70">
        <f t="shared" si="20"/>
        <v>0</v>
      </c>
      <c r="AP70" t="str">
        <f>IFERROR(VLOOKUP(AO70,tbFactorMes,2,FALSE),"")</f>
        <v/>
      </c>
      <c r="AQ70">
        <f t="shared" si="21"/>
        <v>0</v>
      </c>
      <c r="AT70" t="str">
        <f>IFERROR(VLOOKUP(AS70,tbFactorMes,2,FALSE),"")</f>
        <v/>
      </c>
      <c r="AU70">
        <f t="shared" si="22"/>
        <v>0</v>
      </c>
      <c r="AX70" t="str">
        <f>IFERROR(VLOOKUP(AW70,tbFactorMes,2,FALSE),"")</f>
        <v/>
      </c>
      <c r="AY70">
        <f t="shared" si="23"/>
        <v>0</v>
      </c>
      <c r="BB70" t="str">
        <f>IFERROR(VLOOKUP(BA70,tbFactorMes,2,FALSE),"")</f>
        <v/>
      </c>
      <c r="BC70">
        <f t="shared" si="24"/>
        <v>0</v>
      </c>
      <c r="BF70" t="str">
        <f>IFERROR(VLOOKUP(BE70,tbFactorMes,2,FALSE),"")</f>
        <v/>
      </c>
      <c r="BG70">
        <f t="shared" si="25"/>
        <v>0</v>
      </c>
      <c r="BH70">
        <f t="shared" si="26"/>
        <v>0</v>
      </c>
      <c r="BI70">
        <f t="shared" si="27"/>
        <v>0</v>
      </c>
    </row>
    <row r="71" spans="11:61" x14ac:dyDescent="0.35">
      <c r="K71" t="str">
        <f>IFERROR(VLOOKUP(F71,tbTurnos,3,FALSE),"")</f>
        <v/>
      </c>
      <c r="N71" t="str">
        <f>IFERROR(VLOOKUP(M71,tbFactorMes,2,FALSE),"")</f>
        <v/>
      </c>
      <c r="O71">
        <f t="shared" si="14"/>
        <v>0</v>
      </c>
      <c r="R71" t="str">
        <f>IFERROR(VLOOKUP(Q71,tbFactorMes,2,FALSE),"")</f>
        <v/>
      </c>
      <c r="S71">
        <f t="shared" si="15"/>
        <v>0</v>
      </c>
      <c r="V71" t="str">
        <f>IFERROR(VLOOKUP(U71,tbFactorMes,2,FALSE),"")</f>
        <v/>
      </c>
      <c r="W71">
        <f t="shared" si="16"/>
        <v>0</v>
      </c>
      <c r="Z71" t="str">
        <f>IFERROR(VLOOKUP(Y71,tbFactorMes,2,FALSE),"")</f>
        <v/>
      </c>
      <c r="AA71">
        <f t="shared" si="17"/>
        <v>0</v>
      </c>
      <c r="AD71" t="str">
        <f>IFERROR(VLOOKUP(AC71,tbFactorMes,2,FALSE),"")</f>
        <v/>
      </c>
      <c r="AE71">
        <f t="shared" si="18"/>
        <v>0</v>
      </c>
      <c r="AH71" t="str">
        <f>IFERROR(VLOOKUP(AG71,tbFactorMes,2,FALSE),"")</f>
        <v/>
      </c>
      <c r="AI71">
        <f t="shared" si="19"/>
        <v>0</v>
      </c>
      <c r="AL71" t="str">
        <f>IFERROR(VLOOKUP(AK71,tbFactorMes,2,FALSE),"")</f>
        <v/>
      </c>
      <c r="AM71">
        <f t="shared" si="20"/>
        <v>0</v>
      </c>
      <c r="AP71" t="str">
        <f>IFERROR(VLOOKUP(AO71,tbFactorMes,2,FALSE),"")</f>
        <v/>
      </c>
      <c r="AQ71">
        <f t="shared" si="21"/>
        <v>0</v>
      </c>
      <c r="AT71" t="str">
        <f>IFERROR(VLOOKUP(AS71,tbFactorMes,2,FALSE),"")</f>
        <v/>
      </c>
      <c r="AU71">
        <f t="shared" si="22"/>
        <v>0</v>
      </c>
      <c r="AX71" t="str">
        <f>IFERROR(VLOOKUP(AW71,tbFactorMes,2,FALSE),"")</f>
        <v/>
      </c>
      <c r="AY71">
        <f t="shared" si="23"/>
        <v>0</v>
      </c>
      <c r="BB71" t="str">
        <f>IFERROR(VLOOKUP(BA71,tbFactorMes,2,FALSE),"")</f>
        <v/>
      </c>
      <c r="BC71">
        <f t="shared" si="24"/>
        <v>0</v>
      </c>
      <c r="BF71" t="str">
        <f>IFERROR(VLOOKUP(BE71,tbFactorMes,2,FALSE),"")</f>
        <v/>
      </c>
      <c r="BG71">
        <f t="shared" si="25"/>
        <v>0</v>
      </c>
      <c r="BH71">
        <f t="shared" si="26"/>
        <v>0</v>
      </c>
      <c r="BI71">
        <f t="shared" si="27"/>
        <v>0</v>
      </c>
    </row>
    <row r="72" spans="11:61" x14ac:dyDescent="0.35">
      <c r="K72" t="str">
        <f>IFERROR(VLOOKUP(F72,tbTurnos,3,FALSE),"")</f>
        <v/>
      </c>
      <c r="N72" t="str">
        <f>IFERROR(VLOOKUP(M72,tbFactorMes,2,FALSE),"")</f>
        <v/>
      </c>
      <c r="O72">
        <f t="shared" si="14"/>
        <v>0</v>
      </c>
      <c r="R72" t="str">
        <f>IFERROR(VLOOKUP(Q72,tbFactorMes,2,FALSE),"")</f>
        <v/>
      </c>
      <c r="S72">
        <f t="shared" si="15"/>
        <v>0</v>
      </c>
      <c r="V72" t="str">
        <f>IFERROR(VLOOKUP(U72,tbFactorMes,2,FALSE),"")</f>
        <v/>
      </c>
      <c r="W72">
        <f t="shared" si="16"/>
        <v>0</v>
      </c>
      <c r="Z72" t="str">
        <f>IFERROR(VLOOKUP(Y72,tbFactorMes,2,FALSE),"")</f>
        <v/>
      </c>
      <c r="AA72">
        <f t="shared" si="17"/>
        <v>0</v>
      </c>
      <c r="AD72" t="str">
        <f>IFERROR(VLOOKUP(AC72,tbFactorMes,2,FALSE),"")</f>
        <v/>
      </c>
      <c r="AE72">
        <f t="shared" si="18"/>
        <v>0</v>
      </c>
      <c r="AH72" t="str">
        <f>IFERROR(VLOOKUP(AG72,tbFactorMes,2,FALSE),"")</f>
        <v/>
      </c>
      <c r="AI72">
        <f t="shared" si="19"/>
        <v>0</v>
      </c>
      <c r="AL72" t="str">
        <f>IFERROR(VLOOKUP(AK72,tbFactorMes,2,FALSE),"")</f>
        <v/>
      </c>
      <c r="AM72">
        <f t="shared" si="20"/>
        <v>0</v>
      </c>
      <c r="AP72" t="str">
        <f>IFERROR(VLOOKUP(AO72,tbFactorMes,2,FALSE),"")</f>
        <v/>
      </c>
      <c r="AQ72">
        <f t="shared" si="21"/>
        <v>0</v>
      </c>
      <c r="AT72" t="str">
        <f>IFERROR(VLOOKUP(AS72,tbFactorMes,2,FALSE),"")</f>
        <v/>
      </c>
      <c r="AU72">
        <f t="shared" si="22"/>
        <v>0</v>
      </c>
      <c r="AX72" t="str">
        <f>IFERROR(VLOOKUP(AW72,tbFactorMes,2,FALSE),"")</f>
        <v/>
      </c>
      <c r="AY72">
        <f t="shared" si="23"/>
        <v>0</v>
      </c>
      <c r="BB72" t="str">
        <f>IFERROR(VLOOKUP(BA72,tbFactorMes,2,FALSE),"")</f>
        <v/>
      </c>
      <c r="BC72">
        <f t="shared" si="24"/>
        <v>0</v>
      </c>
      <c r="BF72" t="str">
        <f>IFERROR(VLOOKUP(BE72,tbFactorMes,2,FALSE),"")</f>
        <v/>
      </c>
      <c r="BG72">
        <f t="shared" si="25"/>
        <v>0</v>
      </c>
      <c r="BH72">
        <f t="shared" si="26"/>
        <v>0</v>
      </c>
      <c r="BI72">
        <f t="shared" si="27"/>
        <v>0</v>
      </c>
    </row>
    <row r="73" spans="11:61" x14ac:dyDescent="0.35">
      <c r="K73" t="str">
        <f>IFERROR(VLOOKUP(F73,tbTurnos,3,FALSE),"")</f>
        <v/>
      </c>
      <c r="N73" t="str">
        <f>IFERROR(VLOOKUP(M73,tbFactorMes,2,FALSE),"")</f>
        <v/>
      </c>
      <c r="O73">
        <f t="shared" si="14"/>
        <v>0</v>
      </c>
      <c r="R73" t="str">
        <f>IFERROR(VLOOKUP(Q73,tbFactorMes,2,FALSE),"")</f>
        <v/>
      </c>
      <c r="S73">
        <f t="shared" si="15"/>
        <v>0</v>
      </c>
      <c r="V73" t="str">
        <f>IFERROR(VLOOKUP(U73,tbFactorMes,2,FALSE),"")</f>
        <v/>
      </c>
      <c r="W73">
        <f t="shared" si="16"/>
        <v>0</v>
      </c>
      <c r="Z73" t="str">
        <f>IFERROR(VLOOKUP(Y73,tbFactorMes,2,FALSE),"")</f>
        <v/>
      </c>
      <c r="AA73">
        <f t="shared" si="17"/>
        <v>0</v>
      </c>
      <c r="AD73" t="str">
        <f>IFERROR(VLOOKUP(AC73,tbFactorMes,2,FALSE),"")</f>
        <v/>
      </c>
      <c r="AE73">
        <f t="shared" si="18"/>
        <v>0</v>
      </c>
      <c r="AH73" t="str">
        <f>IFERROR(VLOOKUP(AG73,tbFactorMes,2,FALSE),"")</f>
        <v/>
      </c>
      <c r="AI73">
        <f t="shared" si="19"/>
        <v>0</v>
      </c>
      <c r="AL73" t="str">
        <f>IFERROR(VLOOKUP(AK73,tbFactorMes,2,FALSE),"")</f>
        <v/>
      </c>
      <c r="AM73">
        <f t="shared" si="20"/>
        <v>0</v>
      </c>
      <c r="AP73" t="str">
        <f>IFERROR(VLOOKUP(AO73,tbFactorMes,2,FALSE),"")</f>
        <v/>
      </c>
      <c r="AQ73">
        <f t="shared" si="21"/>
        <v>0</v>
      </c>
      <c r="AT73" t="str">
        <f>IFERROR(VLOOKUP(AS73,tbFactorMes,2,FALSE),"")</f>
        <v/>
      </c>
      <c r="AU73">
        <f t="shared" si="22"/>
        <v>0</v>
      </c>
      <c r="AX73" t="str">
        <f>IFERROR(VLOOKUP(AW73,tbFactorMes,2,FALSE),"")</f>
        <v/>
      </c>
      <c r="AY73">
        <f t="shared" si="23"/>
        <v>0</v>
      </c>
      <c r="BB73" t="str">
        <f>IFERROR(VLOOKUP(BA73,tbFactorMes,2,FALSE),"")</f>
        <v/>
      </c>
      <c r="BC73">
        <f t="shared" si="24"/>
        <v>0</v>
      </c>
      <c r="BF73" t="str">
        <f>IFERROR(VLOOKUP(BE73,tbFactorMes,2,FALSE),"")</f>
        <v/>
      </c>
      <c r="BG73">
        <f t="shared" si="25"/>
        <v>0</v>
      </c>
      <c r="BH73">
        <f t="shared" si="26"/>
        <v>0</v>
      </c>
      <c r="BI73">
        <f t="shared" si="27"/>
        <v>0</v>
      </c>
    </row>
    <row r="74" spans="11:61" x14ac:dyDescent="0.35">
      <c r="K74" t="str">
        <f>IFERROR(VLOOKUP(F74,tbTurnos,3,FALSE),"")</f>
        <v/>
      </c>
      <c r="N74" t="str">
        <f>IFERROR(VLOOKUP(M74,tbFactorMes,2,FALSE),"")</f>
        <v/>
      </c>
      <c r="O74">
        <f t="shared" si="14"/>
        <v>0</v>
      </c>
      <c r="R74" t="str">
        <f>IFERROR(VLOOKUP(Q74,tbFactorMes,2,FALSE),"")</f>
        <v/>
      </c>
      <c r="S74">
        <f t="shared" si="15"/>
        <v>0</v>
      </c>
      <c r="V74" t="str">
        <f>IFERROR(VLOOKUP(U74,tbFactorMes,2,FALSE),"")</f>
        <v/>
      </c>
      <c r="W74">
        <f t="shared" si="16"/>
        <v>0</v>
      </c>
      <c r="Z74" t="str">
        <f>IFERROR(VLOOKUP(Y74,tbFactorMes,2,FALSE),"")</f>
        <v/>
      </c>
      <c r="AA74">
        <f t="shared" si="17"/>
        <v>0</v>
      </c>
      <c r="AD74" t="str">
        <f>IFERROR(VLOOKUP(AC74,tbFactorMes,2,FALSE),"")</f>
        <v/>
      </c>
      <c r="AE74">
        <f t="shared" si="18"/>
        <v>0</v>
      </c>
      <c r="AH74" t="str">
        <f>IFERROR(VLOOKUP(AG74,tbFactorMes,2,FALSE),"")</f>
        <v/>
      </c>
      <c r="AI74">
        <f t="shared" si="19"/>
        <v>0</v>
      </c>
      <c r="AL74" t="str">
        <f>IFERROR(VLOOKUP(AK74,tbFactorMes,2,FALSE),"")</f>
        <v/>
      </c>
      <c r="AM74">
        <f t="shared" si="20"/>
        <v>0</v>
      </c>
      <c r="AP74" t="str">
        <f>IFERROR(VLOOKUP(AO74,tbFactorMes,2,FALSE),"")</f>
        <v/>
      </c>
      <c r="AQ74">
        <f t="shared" si="21"/>
        <v>0</v>
      </c>
      <c r="AT74" t="str">
        <f>IFERROR(VLOOKUP(AS74,tbFactorMes,2,FALSE),"")</f>
        <v/>
      </c>
      <c r="AU74">
        <f t="shared" si="22"/>
        <v>0</v>
      </c>
      <c r="AX74" t="str">
        <f>IFERROR(VLOOKUP(AW74,tbFactorMes,2,FALSE),"")</f>
        <v/>
      </c>
      <c r="AY74">
        <f t="shared" si="23"/>
        <v>0</v>
      </c>
      <c r="BB74" t="str">
        <f>IFERROR(VLOOKUP(BA74,tbFactorMes,2,FALSE),"")</f>
        <v/>
      </c>
      <c r="BC74">
        <f t="shared" si="24"/>
        <v>0</v>
      </c>
      <c r="BF74" t="str">
        <f>IFERROR(VLOOKUP(BE74,tbFactorMes,2,FALSE),"")</f>
        <v/>
      </c>
      <c r="BG74">
        <f t="shared" si="25"/>
        <v>0</v>
      </c>
      <c r="BH74">
        <f t="shared" si="26"/>
        <v>0</v>
      </c>
      <c r="BI74">
        <f t="shared" si="27"/>
        <v>0</v>
      </c>
    </row>
    <row r="75" spans="11:61" x14ac:dyDescent="0.35">
      <c r="K75" t="str">
        <f>IFERROR(VLOOKUP(F75,tbTurnos,3,FALSE),"")</f>
        <v/>
      </c>
      <c r="N75" t="str">
        <f>IFERROR(VLOOKUP(M75,tbFactorMes,2,FALSE),"")</f>
        <v/>
      </c>
      <c r="O75">
        <f t="shared" si="14"/>
        <v>0</v>
      </c>
      <c r="R75" t="str">
        <f>IFERROR(VLOOKUP(Q75,tbFactorMes,2,FALSE),"")</f>
        <v/>
      </c>
      <c r="S75">
        <f t="shared" si="15"/>
        <v>0</v>
      </c>
      <c r="V75" t="str">
        <f>IFERROR(VLOOKUP(U75,tbFactorMes,2,FALSE),"")</f>
        <v/>
      </c>
      <c r="W75">
        <f t="shared" si="16"/>
        <v>0</v>
      </c>
      <c r="Z75" t="str">
        <f>IFERROR(VLOOKUP(Y75,tbFactorMes,2,FALSE),"")</f>
        <v/>
      </c>
      <c r="AA75">
        <f t="shared" si="17"/>
        <v>0</v>
      </c>
      <c r="AD75" t="str">
        <f>IFERROR(VLOOKUP(AC75,tbFactorMes,2,FALSE),"")</f>
        <v/>
      </c>
      <c r="AE75">
        <f t="shared" si="18"/>
        <v>0</v>
      </c>
      <c r="AH75" t="str">
        <f>IFERROR(VLOOKUP(AG75,tbFactorMes,2,FALSE),"")</f>
        <v/>
      </c>
      <c r="AI75">
        <f t="shared" si="19"/>
        <v>0</v>
      </c>
      <c r="AL75" t="str">
        <f>IFERROR(VLOOKUP(AK75,tbFactorMes,2,FALSE),"")</f>
        <v/>
      </c>
      <c r="AM75">
        <f t="shared" si="20"/>
        <v>0</v>
      </c>
      <c r="AP75" t="str">
        <f>IFERROR(VLOOKUP(AO75,tbFactorMes,2,FALSE),"")</f>
        <v/>
      </c>
      <c r="AQ75">
        <f t="shared" si="21"/>
        <v>0</v>
      </c>
      <c r="AT75" t="str">
        <f>IFERROR(VLOOKUP(AS75,tbFactorMes,2,FALSE),"")</f>
        <v/>
      </c>
      <c r="AU75">
        <f t="shared" si="22"/>
        <v>0</v>
      </c>
      <c r="AX75" t="str">
        <f>IFERROR(VLOOKUP(AW75,tbFactorMes,2,FALSE),"")</f>
        <v/>
      </c>
      <c r="AY75">
        <f t="shared" si="23"/>
        <v>0</v>
      </c>
      <c r="BB75" t="str">
        <f>IFERROR(VLOOKUP(BA75,tbFactorMes,2,FALSE),"")</f>
        <v/>
      </c>
      <c r="BC75">
        <f t="shared" si="24"/>
        <v>0</v>
      </c>
      <c r="BF75" t="str">
        <f>IFERROR(VLOOKUP(BE75,tbFactorMes,2,FALSE),"")</f>
        <v/>
      </c>
      <c r="BG75">
        <f t="shared" si="25"/>
        <v>0</v>
      </c>
      <c r="BH75">
        <f t="shared" si="26"/>
        <v>0</v>
      </c>
      <c r="BI75">
        <f t="shared" si="27"/>
        <v>0</v>
      </c>
    </row>
    <row r="76" spans="11:61" x14ac:dyDescent="0.35">
      <c r="K76" t="str">
        <f>IFERROR(VLOOKUP(F76,tbTurnos,3,FALSE),"")</f>
        <v/>
      </c>
      <c r="N76" t="str">
        <f>IFERROR(VLOOKUP(M76,tbFactorMes,2,FALSE),"")</f>
        <v/>
      </c>
      <c r="O76">
        <f t="shared" si="14"/>
        <v>0</v>
      </c>
      <c r="R76" t="str">
        <f>IFERROR(VLOOKUP(Q76,tbFactorMes,2,FALSE),"")</f>
        <v/>
      </c>
      <c r="S76">
        <f t="shared" si="15"/>
        <v>0</v>
      </c>
      <c r="V76" t="str">
        <f>IFERROR(VLOOKUP(U76,tbFactorMes,2,FALSE),"")</f>
        <v/>
      </c>
      <c r="W76">
        <f t="shared" si="16"/>
        <v>0</v>
      </c>
      <c r="Z76" t="str">
        <f>IFERROR(VLOOKUP(Y76,tbFactorMes,2,FALSE),"")</f>
        <v/>
      </c>
      <c r="AA76">
        <f t="shared" si="17"/>
        <v>0</v>
      </c>
      <c r="AD76" t="str">
        <f>IFERROR(VLOOKUP(AC76,tbFactorMes,2,FALSE),"")</f>
        <v/>
      </c>
      <c r="AE76">
        <f t="shared" si="18"/>
        <v>0</v>
      </c>
      <c r="AH76" t="str">
        <f>IFERROR(VLOOKUP(AG76,tbFactorMes,2,FALSE),"")</f>
        <v/>
      </c>
      <c r="AI76">
        <f t="shared" si="19"/>
        <v>0</v>
      </c>
      <c r="AL76" t="str">
        <f>IFERROR(VLOOKUP(AK76,tbFactorMes,2,FALSE),"")</f>
        <v/>
      </c>
      <c r="AM76">
        <f t="shared" si="20"/>
        <v>0</v>
      </c>
      <c r="AP76" t="str">
        <f>IFERROR(VLOOKUP(AO76,tbFactorMes,2,FALSE),"")</f>
        <v/>
      </c>
      <c r="AQ76">
        <f t="shared" si="21"/>
        <v>0</v>
      </c>
      <c r="AT76" t="str">
        <f>IFERROR(VLOOKUP(AS76,tbFactorMes,2,FALSE),"")</f>
        <v/>
      </c>
      <c r="AU76">
        <f t="shared" si="22"/>
        <v>0</v>
      </c>
      <c r="AX76" t="str">
        <f>IFERROR(VLOOKUP(AW76,tbFactorMes,2,FALSE),"")</f>
        <v/>
      </c>
      <c r="AY76">
        <f t="shared" si="23"/>
        <v>0</v>
      </c>
      <c r="BB76" t="str">
        <f>IFERROR(VLOOKUP(BA76,tbFactorMes,2,FALSE),"")</f>
        <v/>
      </c>
      <c r="BC76">
        <f t="shared" si="24"/>
        <v>0</v>
      </c>
      <c r="BF76" t="str">
        <f>IFERROR(VLOOKUP(BE76,tbFactorMes,2,FALSE),"")</f>
        <v/>
      </c>
      <c r="BG76">
        <f t="shared" si="25"/>
        <v>0</v>
      </c>
      <c r="BH76">
        <f t="shared" si="26"/>
        <v>0</v>
      </c>
      <c r="BI76">
        <f t="shared" si="27"/>
        <v>0</v>
      </c>
    </row>
    <row r="77" spans="11:61" x14ac:dyDescent="0.35">
      <c r="K77" t="str">
        <f>IFERROR(VLOOKUP(F77,tbTurnos,3,FALSE),"")</f>
        <v/>
      </c>
      <c r="N77" t="str">
        <f>IFERROR(VLOOKUP(M77,tbFactorMes,2,FALSE),"")</f>
        <v/>
      </c>
      <c r="O77">
        <f t="shared" si="14"/>
        <v>0</v>
      </c>
      <c r="R77" t="str">
        <f>IFERROR(VLOOKUP(Q77,tbFactorMes,2,FALSE),"")</f>
        <v/>
      </c>
      <c r="S77">
        <f t="shared" si="15"/>
        <v>0</v>
      </c>
      <c r="V77" t="str">
        <f>IFERROR(VLOOKUP(U77,tbFactorMes,2,FALSE),"")</f>
        <v/>
      </c>
      <c r="W77">
        <f t="shared" si="16"/>
        <v>0</v>
      </c>
      <c r="Z77" t="str">
        <f>IFERROR(VLOOKUP(Y77,tbFactorMes,2,FALSE),"")</f>
        <v/>
      </c>
      <c r="AA77">
        <f t="shared" si="17"/>
        <v>0</v>
      </c>
      <c r="AD77" t="str">
        <f>IFERROR(VLOOKUP(AC77,tbFactorMes,2,FALSE),"")</f>
        <v/>
      </c>
      <c r="AE77">
        <f t="shared" si="18"/>
        <v>0</v>
      </c>
      <c r="AH77" t="str">
        <f>IFERROR(VLOOKUP(AG77,tbFactorMes,2,FALSE),"")</f>
        <v/>
      </c>
      <c r="AI77">
        <f t="shared" si="19"/>
        <v>0</v>
      </c>
      <c r="AL77" t="str">
        <f>IFERROR(VLOOKUP(AK77,tbFactorMes,2,FALSE),"")</f>
        <v/>
      </c>
      <c r="AM77">
        <f t="shared" si="20"/>
        <v>0</v>
      </c>
      <c r="AP77" t="str">
        <f>IFERROR(VLOOKUP(AO77,tbFactorMes,2,FALSE),"")</f>
        <v/>
      </c>
      <c r="AQ77">
        <f t="shared" si="21"/>
        <v>0</v>
      </c>
      <c r="AT77" t="str">
        <f>IFERROR(VLOOKUP(AS77,tbFactorMes,2,FALSE),"")</f>
        <v/>
      </c>
      <c r="AU77">
        <f t="shared" si="22"/>
        <v>0</v>
      </c>
      <c r="AX77" t="str">
        <f>IFERROR(VLOOKUP(AW77,tbFactorMes,2,FALSE),"")</f>
        <v/>
      </c>
      <c r="AY77">
        <f t="shared" si="23"/>
        <v>0</v>
      </c>
      <c r="BB77" t="str">
        <f>IFERROR(VLOOKUP(BA77,tbFactorMes,2,FALSE),"")</f>
        <v/>
      </c>
      <c r="BC77">
        <f t="shared" si="24"/>
        <v>0</v>
      </c>
      <c r="BF77" t="str">
        <f>IFERROR(VLOOKUP(BE77,tbFactorMes,2,FALSE),"")</f>
        <v/>
      </c>
      <c r="BG77">
        <f t="shared" si="25"/>
        <v>0</v>
      </c>
      <c r="BH77">
        <f t="shared" si="26"/>
        <v>0</v>
      </c>
      <c r="BI77">
        <f t="shared" si="27"/>
        <v>0</v>
      </c>
    </row>
    <row r="78" spans="11:61" x14ac:dyDescent="0.35">
      <c r="K78" t="str">
        <f>IFERROR(VLOOKUP(F78,tbTurnos,3,FALSE),"")</f>
        <v/>
      </c>
      <c r="N78" t="str">
        <f>IFERROR(VLOOKUP(M78,tbFactorMes,2,FALSE),"")</f>
        <v/>
      </c>
      <c r="O78">
        <f t="shared" si="14"/>
        <v>0</v>
      </c>
      <c r="R78" t="str">
        <f>IFERROR(VLOOKUP(Q78,tbFactorMes,2,FALSE),"")</f>
        <v/>
      </c>
      <c r="S78">
        <f t="shared" si="15"/>
        <v>0</v>
      </c>
      <c r="V78" t="str">
        <f>IFERROR(VLOOKUP(U78,tbFactorMes,2,FALSE),"")</f>
        <v/>
      </c>
      <c r="W78">
        <f t="shared" si="16"/>
        <v>0</v>
      </c>
      <c r="Z78" t="str">
        <f>IFERROR(VLOOKUP(Y78,tbFactorMes,2,FALSE),"")</f>
        <v/>
      </c>
      <c r="AA78">
        <f t="shared" si="17"/>
        <v>0</v>
      </c>
      <c r="AD78" t="str">
        <f>IFERROR(VLOOKUP(AC78,tbFactorMes,2,FALSE),"")</f>
        <v/>
      </c>
      <c r="AE78">
        <f t="shared" si="18"/>
        <v>0</v>
      </c>
      <c r="AH78" t="str">
        <f>IFERROR(VLOOKUP(AG78,tbFactorMes,2,FALSE),"")</f>
        <v/>
      </c>
      <c r="AI78">
        <f t="shared" si="19"/>
        <v>0</v>
      </c>
      <c r="AL78" t="str">
        <f>IFERROR(VLOOKUP(AK78,tbFactorMes,2,FALSE),"")</f>
        <v/>
      </c>
      <c r="AM78">
        <f t="shared" si="20"/>
        <v>0</v>
      </c>
      <c r="AP78" t="str">
        <f>IFERROR(VLOOKUP(AO78,tbFactorMes,2,FALSE),"")</f>
        <v/>
      </c>
      <c r="AQ78">
        <f t="shared" si="21"/>
        <v>0</v>
      </c>
      <c r="AT78" t="str">
        <f>IFERROR(VLOOKUP(AS78,tbFactorMes,2,FALSE),"")</f>
        <v/>
      </c>
      <c r="AU78">
        <f t="shared" si="22"/>
        <v>0</v>
      </c>
      <c r="AX78" t="str">
        <f>IFERROR(VLOOKUP(AW78,tbFactorMes,2,FALSE),"")</f>
        <v/>
      </c>
      <c r="AY78">
        <f t="shared" si="23"/>
        <v>0</v>
      </c>
      <c r="BB78" t="str">
        <f>IFERROR(VLOOKUP(BA78,tbFactorMes,2,FALSE),"")</f>
        <v/>
      </c>
      <c r="BC78">
        <f t="shared" si="24"/>
        <v>0</v>
      </c>
      <c r="BF78" t="str">
        <f>IFERROR(VLOOKUP(BE78,tbFactorMes,2,FALSE),"")</f>
        <v/>
      </c>
      <c r="BG78">
        <f t="shared" si="25"/>
        <v>0</v>
      </c>
      <c r="BH78">
        <f t="shared" si="26"/>
        <v>0</v>
      </c>
      <c r="BI78">
        <f t="shared" si="27"/>
        <v>0</v>
      </c>
    </row>
    <row r="79" spans="11:61" x14ac:dyDescent="0.35">
      <c r="K79" t="str">
        <f>IFERROR(VLOOKUP(F79,tbTurnos,3,FALSE),"")</f>
        <v/>
      </c>
      <c r="N79" t="str">
        <f>IFERROR(VLOOKUP(M79,tbFactorMes,2,FALSE),"")</f>
        <v/>
      </c>
      <c r="O79">
        <f t="shared" si="14"/>
        <v>0</v>
      </c>
      <c r="R79" t="str">
        <f>IFERROR(VLOOKUP(Q79,tbFactorMes,2,FALSE),"")</f>
        <v/>
      </c>
      <c r="S79">
        <f t="shared" si="15"/>
        <v>0</v>
      </c>
      <c r="V79" t="str">
        <f>IFERROR(VLOOKUP(U79,tbFactorMes,2,FALSE),"")</f>
        <v/>
      </c>
      <c r="W79">
        <f t="shared" si="16"/>
        <v>0</v>
      </c>
      <c r="Z79" t="str">
        <f>IFERROR(VLOOKUP(Y79,tbFactorMes,2,FALSE),"")</f>
        <v/>
      </c>
      <c r="AA79">
        <f t="shared" si="17"/>
        <v>0</v>
      </c>
      <c r="AD79" t="str">
        <f>IFERROR(VLOOKUP(AC79,tbFactorMes,2,FALSE),"")</f>
        <v/>
      </c>
      <c r="AE79">
        <f t="shared" si="18"/>
        <v>0</v>
      </c>
      <c r="AH79" t="str">
        <f>IFERROR(VLOOKUP(AG79,tbFactorMes,2,FALSE),"")</f>
        <v/>
      </c>
      <c r="AI79">
        <f t="shared" si="19"/>
        <v>0</v>
      </c>
      <c r="AL79" t="str">
        <f>IFERROR(VLOOKUP(AK79,tbFactorMes,2,FALSE),"")</f>
        <v/>
      </c>
      <c r="AM79">
        <f t="shared" si="20"/>
        <v>0</v>
      </c>
      <c r="AP79" t="str">
        <f>IFERROR(VLOOKUP(AO79,tbFactorMes,2,FALSE),"")</f>
        <v/>
      </c>
      <c r="AQ79">
        <f t="shared" si="21"/>
        <v>0</v>
      </c>
      <c r="AT79" t="str">
        <f>IFERROR(VLOOKUP(AS79,tbFactorMes,2,FALSE),"")</f>
        <v/>
      </c>
      <c r="AU79">
        <f t="shared" si="22"/>
        <v>0</v>
      </c>
      <c r="AX79" t="str">
        <f>IFERROR(VLOOKUP(AW79,tbFactorMes,2,FALSE),"")</f>
        <v/>
      </c>
      <c r="AY79">
        <f t="shared" si="23"/>
        <v>0</v>
      </c>
      <c r="BB79" t="str">
        <f>IFERROR(VLOOKUP(BA79,tbFactorMes,2,FALSE),"")</f>
        <v/>
      </c>
      <c r="BC79">
        <f t="shared" si="24"/>
        <v>0</v>
      </c>
      <c r="BF79" t="str">
        <f>IFERROR(VLOOKUP(BE79,tbFactorMes,2,FALSE),"")</f>
        <v/>
      </c>
      <c r="BG79">
        <f t="shared" si="25"/>
        <v>0</v>
      </c>
      <c r="BH79">
        <f t="shared" si="26"/>
        <v>0</v>
      </c>
      <c r="BI79">
        <f t="shared" si="27"/>
        <v>0</v>
      </c>
    </row>
    <row r="80" spans="11:61" x14ac:dyDescent="0.35">
      <c r="K80" t="str">
        <f>IFERROR(VLOOKUP(F80,tbTurnos,3,FALSE),"")</f>
        <v/>
      </c>
      <c r="N80" t="str">
        <f>IFERROR(VLOOKUP(M80,tbFactorMes,2,FALSE),"")</f>
        <v/>
      </c>
      <c r="O80">
        <f t="shared" si="14"/>
        <v>0</v>
      </c>
      <c r="R80" t="str">
        <f>IFERROR(VLOOKUP(Q80,tbFactorMes,2,FALSE),"")</f>
        <v/>
      </c>
      <c r="S80">
        <f t="shared" si="15"/>
        <v>0</v>
      </c>
      <c r="V80" t="str">
        <f>IFERROR(VLOOKUP(U80,tbFactorMes,2,FALSE),"")</f>
        <v/>
      </c>
      <c r="W80">
        <f t="shared" si="16"/>
        <v>0</v>
      </c>
      <c r="Z80" t="str">
        <f>IFERROR(VLOOKUP(Y80,tbFactorMes,2,FALSE),"")</f>
        <v/>
      </c>
      <c r="AA80">
        <f t="shared" si="17"/>
        <v>0</v>
      </c>
      <c r="AD80" t="str">
        <f>IFERROR(VLOOKUP(AC80,tbFactorMes,2,FALSE),"")</f>
        <v/>
      </c>
      <c r="AE80">
        <f t="shared" si="18"/>
        <v>0</v>
      </c>
      <c r="AH80" t="str">
        <f>IFERROR(VLOOKUP(AG80,tbFactorMes,2,FALSE),"")</f>
        <v/>
      </c>
      <c r="AI80">
        <f t="shared" si="19"/>
        <v>0</v>
      </c>
      <c r="AL80" t="str">
        <f>IFERROR(VLOOKUP(AK80,tbFactorMes,2,FALSE),"")</f>
        <v/>
      </c>
      <c r="AM80">
        <f t="shared" si="20"/>
        <v>0</v>
      </c>
      <c r="AP80" t="str">
        <f>IFERROR(VLOOKUP(AO80,tbFactorMes,2,FALSE),"")</f>
        <v/>
      </c>
      <c r="AQ80">
        <f t="shared" si="21"/>
        <v>0</v>
      </c>
      <c r="AT80" t="str">
        <f>IFERROR(VLOOKUP(AS80,tbFactorMes,2,FALSE),"")</f>
        <v/>
      </c>
      <c r="AU80">
        <f t="shared" si="22"/>
        <v>0</v>
      </c>
      <c r="AX80" t="str">
        <f>IFERROR(VLOOKUP(AW80,tbFactorMes,2,FALSE),"")</f>
        <v/>
      </c>
      <c r="AY80">
        <f t="shared" si="23"/>
        <v>0</v>
      </c>
      <c r="BB80" t="str">
        <f>IFERROR(VLOOKUP(BA80,tbFactorMes,2,FALSE),"")</f>
        <v/>
      </c>
      <c r="BC80">
        <f t="shared" si="24"/>
        <v>0</v>
      </c>
      <c r="BF80" t="str">
        <f>IFERROR(VLOOKUP(BE80,tbFactorMes,2,FALSE),"")</f>
        <v/>
      </c>
      <c r="BG80">
        <f t="shared" si="25"/>
        <v>0</v>
      </c>
      <c r="BH80">
        <f t="shared" si="26"/>
        <v>0</v>
      </c>
      <c r="BI80">
        <f t="shared" si="27"/>
        <v>0</v>
      </c>
    </row>
    <row r="81" spans="11:61" x14ac:dyDescent="0.35">
      <c r="K81" t="str">
        <f>IFERROR(VLOOKUP(F81,tbTurnos,3,FALSE),"")</f>
        <v/>
      </c>
      <c r="N81" t="str">
        <f>IFERROR(VLOOKUP(M81,tbFactorMes,2,FALSE),"")</f>
        <v/>
      </c>
      <c r="O81">
        <f t="shared" si="14"/>
        <v>0</v>
      </c>
      <c r="R81" t="str">
        <f>IFERROR(VLOOKUP(Q81,tbFactorMes,2,FALSE),"")</f>
        <v/>
      </c>
      <c r="S81">
        <f t="shared" si="15"/>
        <v>0</v>
      </c>
      <c r="V81" t="str">
        <f>IFERROR(VLOOKUP(U81,tbFactorMes,2,FALSE),"")</f>
        <v/>
      </c>
      <c r="W81">
        <f t="shared" si="16"/>
        <v>0</v>
      </c>
      <c r="Z81" t="str">
        <f>IFERROR(VLOOKUP(Y81,tbFactorMes,2,FALSE),"")</f>
        <v/>
      </c>
      <c r="AA81">
        <f t="shared" si="17"/>
        <v>0</v>
      </c>
      <c r="AD81" t="str">
        <f>IFERROR(VLOOKUP(AC81,tbFactorMes,2,FALSE),"")</f>
        <v/>
      </c>
      <c r="AE81">
        <f t="shared" si="18"/>
        <v>0</v>
      </c>
      <c r="AH81" t="str">
        <f>IFERROR(VLOOKUP(AG81,tbFactorMes,2,FALSE),"")</f>
        <v/>
      </c>
      <c r="AI81">
        <f t="shared" si="19"/>
        <v>0</v>
      </c>
      <c r="AL81" t="str">
        <f>IFERROR(VLOOKUP(AK81,tbFactorMes,2,FALSE),"")</f>
        <v/>
      </c>
      <c r="AM81">
        <f t="shared" si="20"/>
        <v>0</v>
      </c>
      <c r="AP81" t="str">
        <f>IFERROR(VLOOKUP(AO81,tbFactorMes,2,FALSE),"")</f>
        <v/>
      </c>
      <c r="AQ81">
        <f t="shared" si="21"/>
        <v>0</v>
      </c>
      <c r="AT81" t="str">
        <f>IFERROR(VLOOKUP(AS81,tbFactorMes,2,FALSE),"")</f>
        <v/>
      </c>
      <c r="AU81">
        <f t="shared" si="22"/>
        <v>0</v>
      </c>
      <c r="AX81" t="str">
        <f>IFERROR(VLOOKUP(AW81,tbFactorMes,2,FALSE),"")</f>
        <v/>
      </c>
      <c r="AY81">
        <f t="shared" si="23"/>
        <v>0</v>
      </c>
      <c r="BB81" t="str">
        <f>IFERROR(VLOOKUP(BA81,tbFactorMes,2,FALSE),"")</f>
        <v/>
      </c>
      <c r="BC81">
        <f t="shared" si="24"/>
        <v>0</v>
      </c>
      <c r="BF81" t="str">
        <f>IFERROR(VLOOKUP(BE81,tbFactorMes,2,FALSE),"")</f>
        <v/>
      </c>
      <c r="BG81">
        <f t="shared" si="25"/>
        <v>0</v>
      </c>
      <c r="BH81">
        <f t="shared" si="26"/>
        <v>0</v>
      </c>
      <c r="BI81">
        <f t="shared" si="27"/>
        <v>0</v>
      </c>
    </row>
    <row r="82" spans="11:61" x14ac:dyDescent="0.35">
      <c r="K82" t="str">
        <f>IFERROR(VLOOKUP(F82,tbTurnos,3,FALSE),"")</f>
        <v/>
      </c>
      <c r="N82" t="str">
        <f>IFERROR(VLOOKUP(M82,tbFactorMes,2,FALSE),"")</f>
        <v/>
      </c>
      <c r="O82">
        <f t="shared" si="14"/>
        <v>0</v>
      </c>
      <c r="R82" t="str">
        <f>IFERROR(VLOOKUP(Q82,tbFactorMes,2,FALSE),"")</f>
        <v/>
      </c>
      <c r="S82">
        <f t="shared" si="15"/>
        <v>0</v>
      </c>
      <c r="V82" t="str">
        <f>IFERROR(VLOOKUP(U82,tbFactorMes,2,FALSE),"")</f>
        <v/>
      </c>
      <c r="W82">
        <f t="shared" si="16"/>
        <v>0</v>
      </c>
      <c r="Z82" t="str">
        <f>IFERROR(VLOOKUP(Y82,tbFactorMes,2,FALSE),"")</f>
        <v/>
      </c>
      <c r="AA82">
        <f t="shared" si="17"/>
        <v>0</v>
      </c>
      <c r="AD82" t="str">
        <f>IFERROR(VLOOKUP(AC82,tbFactorMes,2,FALSE),"")</f>
        <v/>
      </c>
      <c r="AE82">
        <f t="shared" si="18"/>
        <v>0</v>
      </c>
      <c r="AH82" t="str">
        <f>IFERROR(VLOOKUP(AG82,tbFactorMes,2,FALSE),"")</f>
        <v/>
      </c>
      <c r="AI82">
        <f t="shared" si="19"/>
        <v>0</v>
      </c>
      <c r="AL82" t="str">
        <f>IFERROR(VLOOKUP(AK82,tbFactorMes,2,FALSE),"")</f>
        <v/>
      </c>
      <c r="AM82">
        <f t="shared" si="20"/>
        <v>0</v>
      </c>
      <c r="AP82" t="str">
        <f>IFERROR(VLOOKUP(AO82,tbFactorMes,2,FALSE),"")</f>
        <v/>
      </c>
      <c r="AQ82">
        <f t="shared" si="21"/>
        <v>0</v>
      </c>
      <c r="AT82" t="str">
        <f>IFERROR(VLOOKUP(AS82,tbFactorMes,2,FALSE),"")</f>
        <v/>
      </c>
      <c r="AU82">
        <f t="shared" si="22"/>
        <v>0</v>
      </c>
      <c r="AX82" t="str">
        <f>IFERROR(VLOOKUP(AW82,tbFactorMes,2,FALSE),"")</f>
        <v/>
      </c>
      <c r="AY82">
        <f t="shared" si="23"/>
        <v>0</v>
      </c>
      <c r="BB82" t="str">
        <f>IFERROR(VLOOKUP(BA82,tbFactorMes,2,FALSE),"")</f>
        <v/>
      </c>
      <c r="BC82">
        <f t="shared" si="24"/>
        <v>0</v>
      </c>
      <c r="BF82" t="str">
        <f>IFERROR(VLOOKUP(BE82,tbFactorMes,2,FALSE),"")</f>
        <v/>
      </c>
      <c r="BG82">
        <f t="shared" si="25"/>
        <v>0</v>
      </c>
      <c r="BH82">
        <f t="shared" si="26"/>
        <v>0</v>
      </c>
      <c r="BI82">
        <f t="shared" si="27"/>
        <v>0</v>
      </c>
    </row>
    <row r="83" spans="11:61" x14ac:dyDescent="0.35">
      <c r="K83" t="str">
        <f>IFERROR(VLOOKUP(F83,tbTurnos,3,FALSE),"")</f>
        <v/>
      </c>
      <c r="N83" t="str">
        <f>IFERROR(VLOOKUP(M83,tbFactorMes,2,FALSE),"")</f>
        <v/>
      </c>
      <c r="O83">
        <f t="shared" si="14"/>
        <v>0</v>
      </c>
      <c r="R83" t="str">
        <f>IFERROR(VLOOKUP(Q83,tbFactorMes,2,FALSE),"")</f>
        <v/>
      </c>
      <c r="S83">
        <f t="shared" si="15"/>
        <v>0</v>
      </c>
      <c r="V83" t="str">
        <f>IFERROR(VLOOKUP(U83,tbFactorMes,2,FALSE),"")</f>
        <v/>
      </c>
      <c r="W83">
        <f t="shared" si="16"/>
        <v>0</v>
      </c>
      <c r="Z83" t="str">
        <f>IFERROR(VLOOKUP(Y83,tbFactorMes,2,FALSE),"")</f>
        <v/>
      </c>
      <c r="AA83">
        <f t="shared" si="17"/>
        <v>0</v>
      </c>
      <c r="AD83" t="str">
        <f>IFERROR(VLOOKUP(AC83,tbFactorMes,2,FALSE),"")</f>
        <v/>
      </c>
      <c r="AE83">
        <f t="shared" si="18"/>
        <v>0</v>
      </c>
      <c r="AH83" t="str">
        <f>IFERROR(VLOOKUP(AG83,tbFactorMes,2,FALSE),"")</f>
        <v/>
      </c>
      <c r="AI83">
        <f t="shared" si="19"/>
        <v>0</v>
      </c>
      <c r="AL83" t="str">
        <f>IFERROR(VLOOKUP(AK83,tbFactorMes,2,FALSE),"")</f>
        <v/>
      </c>
      <c r="AM83">
        <f t="shared" si="20"/>
        <v>0</v>
      </c>
      <c r="AP83" t="str">
        <f>IFERROR(VLOOKUP(AO83,tbFactorMes,2,FALSE),"")</f>
        <v/>
      </c>
      <c r="AQ83">
        <f t="shared" si="21"/>
        <v>0</v>
      </c>
      <c r="AT83" t="str">
        <f>IFERROR(VLOOKUP(AS83,tbFactorMes,2,FALSE),"")</f>
        <v/>
      </c>
      <c r="AU83">
        <f t="shared" si="22"/>
        <v>0</v>
      </c>
      <c r="AX83" t="str">
        <f>IFERROR(VLOOKUP(AW83,tbFactorMes,2,FALSE),"")</f>
        <v/>
      </c>
      <c r="AY83">
        <f t="shared" si="23"/>
        <v>0</v>
      </c>
      <c r="BB83" t="str">
        <f>IFERROR(VLOOKUP(BA83,tbFactorMes,2,FALSE),"")</f>
        <v/>
      </c>
      <c r="BC83">
        <f t="shared" si="24"/>
        <v>0</v>
      </c>
      <c r="BF83" t="str">
        <f>IFERROR(VLOOKUP(BE83,tbFactorMes,2,FALSE),"")</f>
        <v/>
      </c>
      <c r="BG83">
        <f t="shared" si="25"/>
        <v>0</v>
      </c>
      <c r="BH83">
        <f t="shared" si="26"/>
        <v>0</v>
      </c>
      <c r="BI83">
        <f t="shared" si="27"/>
        <v>0</v>
      </c>
    </row>
    <row r="84" spans="11:61" x14ac:dyDescent="0.35">
      <c r="K84" t="str">
        <f>IFERROR(VLOOKUP(F84,tbTurnos,3,FALSE),"")</f>
        <v/>
      </c>
      <c r="N84" t="str">
        <f>IFERROR(VLOOKUP(M84,tbFactorMes,2,FALSE),"")</f>
        <v/>
      </c>
      <c r="O84">
        <f t="shared" si="14"/>
        <v>0</v>
      </c>
      <c r="R84" t="str">
        <f>IFERROR(VLOOKUP(Q84,tbFactorMes,2,FALSE),"")</f>
        <v/>
      </c>
      <c r="S84">
        <f t="shared" si="15"/>
        <v>0</v>
      </c>
      <c r="V84" t="str">
        <f>IFERROR(VLOOKUP(U84,tbFactorMes,2,FALSE),"")</f>
        <v/>
      </c>
      <c r="W84">
        <f t="shared" si="16"/>
        <v>0</v>
      </c>
      <c r="Z84" t="str">
        <f>IFERROR(VLOOKUP(Y84,tbFactorMes,2,FALSE),"")</f>
        <v/>
      </c>
      <c r="AA84">
        <f t="shared" si="17"/>
        <v>0</v>
      </c>
      <c r="AD84" t="str">
        <f>IFERROR(VLOOKUP(AC84,tbFactorMes,2,FALSE),"")</f>
        <v/>
      </c>
      <c r="AE84">
        <f t="shared" si="18"/>
        <v>0</v>
      </c>
      <c r="AH84" t="str">
        <f>IFERROR(VLOOKUP(AG84,tbFactorMes,2,FALSE),"")</f>
        <v/>
      </c>
      <c r="AI84">
        <f t="shared" si="19"/>
        <v>0</v>
      </c>
      <c r="AL84" t="str">
        <f>IFERROR(VLOOKUP(AK84,tbFactorMes,2,FALSE),"")</f>
        <v/>
      </c>
      <c r="AM84">
        <f t="shared" si="20"/>
        <v>0</v>
      </c>
      <c r="AP84" t="str">
        <f>IFERROR(VLOOKUP(AO84,tbFactorMes,2,FALSE),"")</f>
        <v/>
      </c>
      <c r="AQ84">
        <f t="shared" si="21"/>
        <v>0</v>
      </c>
      <c r="AT84" t="str">
        <f>IFERROR(VLOOKUP(AS84,tbFactorMes,2,FALSE),"")</f>
        <v/>
      </c>
      <c r="AU84">
        <f t="shared" si="22"/>
        <v>0</v>
      </c>
      <c r="AX84" t="str">
        <f>IFERROR(VLOOKUP(AW84,tbFactorMes,2,FALSE),"")</f>
        <v/>
      </c>
      <c r="AY84">
        <f t="shared" si="23"/>
        <v>0</v>
      </c>
      <c r="BB84" t="str">
        <f>IFERROR(VLOOKUP(BA84,tbFactorMes,2,FALSE),"")</f>
        <v/>
      </c>
      <c r="BC84">
        <f t="shared" si="24"/>
        <v>0</v>
      </c>
      <c r="BF84" t="str">
        <f>IFERROR(VLOOKUP(BE84,tbFactorMes,2,FALSE),"")</f>
        <v/>
      </c>
      <c r="BG84">
        <f t="shared" si="25"/>
        <v>0</v>
      </c>
      <c r="BH84">
        <f t="shared" si="26"/>
        <v>0</v>
      </c>
      <c r="BI84">
        <f t="shared" si="27"/>
        <v>0</v>
      </c>
    </row>
    <row r="85" spans="11:61" x14ac:dyDescent="0.35">
      <c r="K85" t="str">
        <f>IFERROR(VLOOKUP(F85,tbTurnos,3,FALSE),"")</f>
        <v/>
      </c>
      <c r="N85" t="str">
        <f>IFERROR(VLOOKUP(M85,tbFactorMes,2,FALSE),"")</f>
        <v/>
      </c>
      <c r="O85">
        <f t="shared" si="14"/>
        <v>0</v>
      </c>
      <c r="R85" t="str">
        <f>IFERROR(VLOOKUP(Q85,tbFactorMes,2,FALSE),"")</f>
        <v/>
      </c>
      <c r="S85">
        <f t="shared" si="15"/>
        <v>0</v>
      </c>
      <c r="V85" t="str">
        <f>IFERROR(VLOOKUP(U85,tbFactorMes,2,FALSE),"")</f>
        <v/>
      </c>
      <c r="W85">
        <f t="shared" si="16"/>
        <v>0</v>
      </c>
      <c r="Z85" t="str">
        <f>IFERROR(VLOOKUP(Y85,tbFactorMes,2,FALSE),"")</f>
        <v/>
      </c>
      <c r="AA85">
        <f t="shared" si="17"/>
        <v>0</v>
      </c>
      <c r="AD85" t="str">
        <f>IFERROR(VLOOKUP(AC85,tbFactorMes,2,FALSE),"")</f>
        <v/>
      </c>
      <c r="AE85">
        <f t="shared" si="18"/>
        <v>0</v>
      </c>
      <c r="AH85" t="str">
        <f>IFERROR(VLOOKUP(AG85,tbFactorMes,2,FALSE),"")</f>
        <v/>
      </c>
      <c r="AI85">
        <f t="shared" si="19"/>
        <v>0</v>
      </c>
      <c r="AL85" t="str">
        <f>IFERROR(VLOOKUP(AK85,tbFactorMes,2,FALSE),"")</f>
        <v/>
      </c>
      <c r="AM85">
        <f t="shared" si="20"/>
        <v>0</v>
      </c>
      <c r="AP85" t="str">
        <f>IFERROR(VLOOKUP(AO85,tbFactorMes,2,FALSE),"")</f>
        <v/>
      </c>
      <c r="AQ85">
        <f t="shared" si="21"/>
        <v>0</v>
      </c>
      <c r="AT85" t="str">
        <f>IFERROR(VLOOKUP(AS85,tbFactorMes,2,FALSE),"")</f>
        <v/>
      </c>
      <c r="AU85">
        <f t="shared" si="22"/>
        <v>0</v>
      </c>
      <c r="AX85" t="str">
        <f>IFERROR(VLOOKUP(AW85,tbFactorMes,2,FALSE),"")</f>
        <v/>
      </c>
      <c r="AY85">
        <f t="shared" si="23"/>
        <v>0</v>
      </c>
      <c r="BB85" t="str">
        <f>IFERROR(VLOOKUP(BA85,tbFactorMes,2,FALSE),"")</f>
        <v/>
      </c>
      <c r="BC85">
        <f t="shared" si="24"/>
        <v>0</v>
      </c>
      <c r="BF85" t="str">
        <f>IFERROR(VLOOKUP(BE85,tbFactorMes,2,FALSE),"")</f>
        <v/>
      </c>
      <c r="BG85">
        <f t="shared" si="25"/>
        <v>0</v>
      </c>
      <c r="BH85">
        <f t="shared" si="26"/>
        <v>0</v>
      </c>
      <c r="BI85">
        <f t="shared" si="27"/>
        <v>0</v>
      </c>
    </row>
    <row r="86" spans="11:61" x14ac:dyDescent="0.35">
      <c r="K86" t="str">
        <f>IFERROR(VLOOKUP(F86,tbTurnos,3,FALSE),"")</f>
        <v/>
      </c>
      <c r="N86" t="str">
        <f>IFERROR(VLOOKUP(M86,tbFactorMes,2,FALSE),"")</f>
        <v/>
      </c>
      <c r="O86">
        <f t="shared" si="14"/>
        <v>0</v>
      </c>
      <c r="R86" t="str">
        <f>IFERROR(VLOOKUP(Q86,tbFactorMes,2,FALSE),"")</f>
        <v/>
      </c>
      <c r="S86">
        <f t="shared" si="15"/>
        <v>0</v>
      </c>
      <c r="V86" t="str">
        <f>IFERROR(VLOOKUP(U86,tbFactorMes,2,FALSE),"")</f>
        <v/>
      </c>
      <c r="W86">
        <f t="shared" si="16"/>
        <v>0</v>
      </c>
      <c r="Z86" t="str">
        <f>IFERROR(VLOOKUP(Y86,tbFactorMes,2,FALSE),"")</f>
        <v/>
      </c>
      <c r="AA86">
        <f t="shared" si="17"/>
        <v>0</v>
      </c>
      <c r="AD86" t="str">
        <f>IFERROR(VLOOKUP(AC86,tbFactorMes,2,FALSE),"")</f>
        <v/>
      </c>
      <c r="AE86">
        <f t="shared" si="18"/>
        <v>0</v>
      </c>
      <c r="AH86" t="str">
        <f>IFERROR(VLOOKUP(AG86,tbFactorMes,2,FALSE),"")</f>
        <v/>
      </c>
      <c r="AI86">
        <f t="shared" si="19"/>
        <v>0</v>
      </c>
      <c r="AL86" t="str">
        <f>IFERROR(VLOOKUP(AK86,tbFactorMes,2,FALSE),"")</f>
        <v/>
      </c>
      <c r="AM86">
        <f t="shared" si="20"/>
        <v>0</v>
      </c>
      <c r="AP86" t="str">
        <f>IFERROR(VLOOKUP(AO86,tbFactorMes,2,FALSE),"")</f>
        <v/>
      </c>
      <c r="AQ86">
        <f t="shared" si="21"/>
        <v>0</v>
      </c>
      <c r="AT86" t="str">
        <f>IFERROR(VLOOKUP(AS86,tbFactorMes,2,FALSE),"")</f>
        <v/>
      </c>
      <c r="AU86">
        <f t="shared" si="22"/>
        <v>0</v>
      </c>
      <c r="AX86" t="str">
        <f>IFERROR(VLOOKUP(AW86,tbFactorMes,2,FALSE),"")</f>
        <v/>
      </c>
      <c r="AY86">
        <f t="shared" si="23"/>
        <v>0</v>
      </c>
      <c r="BB86" t="str">
        <f>IFERROR(VLOOKUP(BA86,tbFactorMes,2,FALSE),"")</f>
        <v/>
      </c>
      <c r="BC86">
        <f t="shared" si="24"/>
        <v>0</v>
      </c>
      <c r="BF86" t="str">
        <f>IFERROR(VLOOKUP(BE86,tbFactorMes,2,FALSE),"")</f>
        <v/>
      </c>
      <c r="BG86">
        <f t="shared" si="25"/>
        <v>0</v>
      </c>
      <c r="BH86">
        <f t="shared" si="26"/>
        <v>0</v>
      </c>
      <c r="BI86">
        <f t="shared" si="27"/>
        <v>0</v>
      </c>
    </row>
    <row r="87" spans="11:61" x14ac:dyDescent="0.35">
      <c r="K87" t="str">
        <f>IFERROR(VLOOKUP(F87,tbTurnos,3,FALSE),"")</f>
        <v/>
      </c>
      <c r="N87" t="str">
        <f>IFERROR(VLOOKUP(M87,tbFactorMes,2,FALSE),"")</f>
        <v/>
      </c>
      <c r="O87">
        <f t="shared" si="14"/>
        <v>0</v>
      </c>
      <c r="R87" t="str">
        <f>IFERROR(VLOOKUP(Q87,tbFactorMes,2,FALSE),"")</f>
        <v/>
      </c>
      <c r="S87">
        <f t="shared" si="15"/>
        <v>0</v>
      </c>
      <c r="V87" t="str">
        <f>IFERROR(VLOOKUP(U87,tbFactorMes,2,FALSE),"")</f>
        <v/>
      </c>
      <c r="W87">
        <f t="shared" si="16"/>
        <v>0</v>
      </c>
      <c r="Z87" t="str">
        <f>IFERROR(VLOOKUP(Y87,tbFactorMes,2,FALSE),"")</f>
        <v/>
      </c>
      <c r="AA87">
        <f t="shared" si="17"/>
        <v>0</v>
      </c>
      <c r="AD87" t="str">
        <f>IFERROR(VLOOKUP(AC87,tbFactorMes,2,FALSE),"")</f>
        <v/>
      </c>
      <c r="AE87">
        <f t="shared" si="18"/>
        <v>0</v>
      </c>
      <c r="AH87" t="str">
        <f>IFERROR(VLOOKUP(AG87,tbFactorMes,2,FALSE),"")</f>
        <v/>
      </c>
      <c r="AI87">
        <f t="shared" si="19"/>
        <v>0</v>
      </c>
      <c r="AL87" t="str">
        <f>IFERROR(VLOOKUP(AK87,tbFactorMes,2,FALSE),"")</f>
        <v/>
      </c>
      <c r="AM87">
        <f t="shared" si="20"/>
        <v>0</v>
      </c>
      <c r="AP87" t="str">
        <f>IFERROR(VLOOKUP(AO87,tbFactorMes,2,FALSE),"")</f>
        <v/>
      </c>
      <c r="AQ87">
        <f t="shared" si="21"/>
        <v>0</v>
      </c>
      <c r="AT87" t="str">
        <f>IFERROR(VLOOKUP(AS87,tbFactorMes,2,FALSE),"")</f>
        <v/>
      </c>
      <c r="AU87">
        <f t="shared" si="22"/>
        <v>0</v>
      </c>
      <c r="AX87" t="str">
        <f>IFERROR(VLOOKUP(AW87,tbFactorMes,2,FALSE),"")</f>
        <v/>
      </c>
      <c r="AY87">
        <f t="shared" si="23"/>
        <v>0</v>
      </c>
      <c r="BB87" t="str">
        <f>IFERROR(VLOOKUP(BA87,tbFactorMes,2,FALSE),"")</f>
        <v/>
      </c>
      <c r="BC87">
        <f t="shared" si="24"/>
        <v>0</v>
      </c>
      <c r="BF87" t="str">
        <f>IFERROR(VLOOKUP(BE87,tbFactorMes,2,FALSE),"")</f>
        <v/>
      </c>
      <c r="BG87">
        <f t="shared" si="25"/>
        <v>0</v>
      </c>
      <c r="BH87">
        <f t="shared" si="26"/>
        <v>0</v>
      </c>
      <c r="BI87">
        <f t="shared" si="27"/>
        <v>0</v>
      </c>
    </row>
    <row r="88" spans="11:61" x14ac:dyDescent="0.35">
      <c r="K88" t="str">
        <f>IFERROR(VLOOKUP(F88,tbTurnos,3,FALSE),"")</f>
        <v/>
      </c>
      <c r="N88" t="str">
        <f>IFERROR(VLOOKUP(M88,tbFactorMes,2,FALSE),"")</f>
        <v/>
      </c>
      <c r="O88">
        <f t="shared" si="14"/>
        <v>0</v>
      </c>
      <c r="R88" t="str">
        <f>IFERROR(VLOOKUP(Q88,tbFactorMes,2,FALSE),"")</f>
        <v/>
      </c>
      <c r="S88">
        <f t="shared" si="15"/>
        <v>0</v>
      </c>
      <c r="V88" t="str">
        <f>IFERROR(VLOOKUP(U88,tbFactorMes,2,FALSE),"")</f>
        <v/>
      </c>
      <c r="W88">
        <f t="shared" si="16"/>
        <v>0</v>
      </c>
      <c r="Z88" t="str">
        <f>IFERROR(VLOOKUP(Y88,tbFactorMes,2,FALSE),"")</f>
        <v/>
      </c>
      <c r="AA88">
        <f t="shared" si="17"/>
        <v>0</v>
      </c>
      <c r="AD88" t="str">
        <f>IFERROR(VLOOKUP(AC88,tbFactorMes,2,FALSE),"")</f>
        <v/>
      </c>
      <c r="AE88">
        <f t="shared" si="18"/>
        <v>0</v>
      </c>
      <c r="AH88" t="str">
        <f>IFERROR(VLOOKUP(AG88,tbFactorMes,2,FALSE),"")</f>
        <v/>
      </c>
      <c r="AI88">
        <f t="shared" si="19"/>
        <v>0</v>
      </c>
      <c r="AL88" t="str">
        <f>IFERROR(VLOOKUP(AK88,tbFactorMes,2,FALSE),"")</f>
        <v/>
      </c>
      <c r="AM88">
        <f t="shared" si="20"/>
        <v>0</v>
      </c>
      <c r="AP88" t="str">
        <f>IFERROR(VLOOKUP(AO88,tbFactorMes,2,FALSE),"")</f>
        <v/>
      </c>
      <c r="AQ88">
        <f t="shared" si="21"/>
        <v>0</v>
      </c>
      <c r="AT88" t="str">
        <f>IFERROR(VLOOKUP(AS88,tbFactorMes,2,FALSE),"")</f>
        <v/>
      </c>
      <c r="AU88">
        <f t="shared" si="22"/>
        <v>0</v>
      </c>
      <c r="AX88" t="str">
        <f>IFERROR(VLOOKUP(AW88,tbFactorMes,2,FALSE),"")</f>
        <v/>
      </c>
      <c r="AY88">
        <f t="shared" si="23"/>
        <v>0</v>
      </c>
      <c r="BB88" t="str">
        <f>IFERROR(VLOOKUP(BA88,tbFactorMes,2,FALSE),"")</f>
        <v/>
      </c>
      <c r="BC88">
        <f t="shared" si="24"/>
        <v>0</v>
      </c>
      <c r="BF88" t="str">
        <f>IFERROR(VLOOKUP(BE88,tbFactorMes,2,FALSE),"")</f>
        <v/>
      </c>
      <c r="BG88">
        <f t="shared" si="25"/>
        <v>0</v>
      </c>
      <c r="BH88">
        <f t="shared" si="26"/>
        <v>0</v>
      </c>
      <c r="BI88">
        <f t="shared" si="27"/>
        <v>0</v>
      </c>
    </row>
    <row r="89" spans="11:61" x14ac:dyDescent="0.35">
      <c r="K89" t="str">
        <f>IFERROR(VLOOKUP(F89,tbTurnos,3,FALSE),"")</f>
        <v/>
      </c>
      <c r="N89" t="str">
        <f>IFERROR(VLOOKUP(M89,tbFactorMes,2,FALSE),"")</f>
        <v/>
      </c>
      <c r="O89">
        <f t="shared" si="14"/>
        <v>0</v>
      </c>
      <c r="R89" t="str">
        <f>IFERROR(VLOOKUP(Q89,tbFactorMes,2,FALSE),"")</f>
        <v/>
      </c>
      <c r="S89">
        <f t="shared" si="15"/>
        <v>0</v>
      </c>
      <c r="V89" t="str">
        <f>IFERROR(VLOOKUP(U89,tbFactorMes,2,FALSE),"")</f>
        <v/>
      </c>
      <c r="W89">
        <f t="shared" si="16"/>
        <v>0</v>
      </c>
      <c r="Z89" t="str">
        <f>IFERROR(VLOOKUP(Y89,tbFactorMes,2,FALSE),"")</f>
        <v/>
      </c>
      <c r="AA89">
        <f t="shared" si="17"/>
        <v>0</v>
      </c>
      <c r="AD89" t="str">
        <f>IFERROR(VLOOKUP(AC89,tbFactorMes,2,FALSE),"")</f>
        <v/>
      </c>
      <c r="AE89">
        <f t="shared" si="18"/>
        <v>0</v>
      </c>
      <c r="AH89" t="str">
        <f>IFERROR(VLOOKUP(AG89,tbFactorMes,2,FALSE),"")</f>
        <v/>
      </c>
      <c r="AI89">
        <f t="shared" si="19"/>
        <v>0</v>
      </c>
      <c r="AL89" t="str">
        <f>IFERROR(VLOOKUP(AK89,tbFactorMes,2,FALSE),"")</f>
        <v/>
      </c>
      <c r="AM89">
        <f t="shared" si="20"/>
        <v>0</v>
      </c>
      <c r="AP89" t="str">
        <f>IFERROR(VLOOKUP(AO89,tbFactorMes,2,FALSE),"")</f>
        <v/>
      </c>
      <c r="AQ89">
        <f t="shared" si="21"/>
        <v>0</v>
      </c>
      <c r="AT89" t="str">
        <f>IFERROR(VLOOKUP(AS89,tbFactorMes,2,FALSE),"")</f>
        <v/>
      </c>
      <c r="AU89">
        <f t="shared" si="22"/>
        <v>0</v>
      </c>
      <c r="AX89" t="str">
        <f>IFERROR(VLOOKUP(AW89,tbFactorMes,2,FALSE),"")</f>
        <v/>
      </c>
      <c r="AY89">
        <f t="shared" si="23"/>
        <v>0</v>
      </c>
      <c r="BB89" t="str">
        <f>IFERROR(VLOOKUP(BA89,tbFactorMes,2,FALSE),"")</f>
        <v/>
      </c>
      <c r="BC89">
        <f t="shared" si="24"/>
        <v>0</v>
      </c>
      <c r="BF89" t="str">
        <f>IFERROR(VLOOKUP(BE89,tbFactorMes,2,FALSE),"")</f>
        <v/>
      </c>
      <c r="BG89">
        <f t="shared" si="25"/>
        <v>0</v>
      </c>
      <c r="BH89">
        <f t="shared" si="26"/>
        <v>0</v>
      </c>
      <c r="BI89">
        <f t="shared" si="27"/>
        <v>0</v>
      </c>
    </row>
    <row r="90" spans="11:61" x14ac:dyDescent="0.35">
      <c r="K90" t="str">
        <f>IFERROR(VLOOKUP(F90,tbTurnos,3,FALSE),"")</f>
        <v/>
      </c>
      <c r="N90" t="str">
        <f>IFERROR(VLOOKUP(M90,tbFactorMes,2,FALSE),"")</f>
        <v/>
      </c>
      <c r="O90">
        <f t="shared" si="14"/>
        <v>0</v>
      </c>
      <c r="R90" t="str">
        <f>IFERROR(VLOOKUP(Q90,tbFactorMes,2,FALSE),"")</f>
        <v/>
      </c>
      <c r="S90">
        <f t="shared" si="15"/>
        <v>0</v>
      </c>
      <c r="V90" t="str">
        <f>IFERROR(VLOOKUP(U90,tbFactorMes,2,FALSE),"")</f>
        <v/>
      </c>
      <c r="W90">
        <f t="shared" si="16"/>
        <v>0</v>
      </c>
      <c r="Z90" t="str">
        <f>IFERROR(VLOOKUP(Y90,tbFactorMes,2,FALSE),"")</f>
        <v/>
      </c>
      <c r="AA90">
        <f t="shared" si="17"/>
        <v>0</v>
      </c>
      <c r="AD90" t="str">
        <f>IFERROR(VLOOKUP(AC90,tbFactorMes,2,FALSE),"")</f>
        <v/>
      </c>
      <c r="AE90">
        <f t="shared" si="18"/>
        <v>0</v>
      </c>
      <c r="AH90" t="str">
        <f>IFERROR(VLOOKUP(AG90,tbFactorMes,2,FALSE),"")</f>
        <v/>
      </c>
      <c r="AI90">
        <f t="shared" si="19"/>
        <v>0</v>
      </c>
      <c r="AL90" t="str">
        <f>IFERROR(VLOOKUP(AK90,tbFactorMes,2,FALSE),"")</f>
        <v/>
      </c>
      <c r="AM90">
        <f t="shared" si="20"/>
        <v>0</v>
      </c>
      <c r="AP90" t="str">
        <f>IFERROR(VLOOKUP(AO90,tbFactorMes,2,FALSE),"")</f>
        <v/>
      </c>
      <c r="AQ90">
        <f t="shared" si="21"/>
        <v>0</v>
      </c>
      <c r="AT90" t="str">
        <f>IFERROR(VLOOKUP(AS90,tbFactorMes,2,FALSE),"")</f>
        <v/>
      </c>
      <c r="AU90">
        <f t="shared" si="22"/>
        <v>0</v>
      </c>
      <c r="AX90" t="str">
        <f>IFERROR(VLOOKUP(AW90,tbFactorMes,2,FALSE),"")</f>
        <v/>
      </c>
      <c r="AY90">
        <f t="shared" si="23"/>
        <v>0</v>
      </c>
      <c r="BB90" t="str">
        <f>IFERROR(VLOOKUP(BA90,tbFactorMes,2,FALSE),"")</f>
        <v/>
      </c>
      <c r="BC90">
        <f t="shared" si="24"/>
        <v>0</v>
      </c>
      <c r="BF90" t="str">
        <f>IFERROR(VLOOKUP(BE90,tbFactorMes,2,FALSE),"")</f>
        <v/>
      </c>
      <c r="BG90">
        <f t="shared" si="25"/>
        <v>0</v>
      </c>
      <c r="BH90">
        <f t="shared" si="26"/>
        <v>0</v>
      </c>
      <c r="BI90">
        <f t="shared" si="27"/>
        <v>0</v>
      </c>
    </row>
    <row r="91" spans="11:61" x14ac:dyDescent="0.35">
      <c r="K91" t="str">
        <f>IFERROR(VLOOKUP(F91,tbTurnos,3,FALSE),"")</f>
        <v/>
      </c>
      <c r="N91" t="str">
        <f>IFERROR(VLOOKUP(M91,tbFactorMes,2,FALSE),"")</f>
        <v/>
      </c>
      <c r="O91">
        <f t="shared" si="14"/>
        <v>0</v>
      </c>
      <c r="R91" t="str">
        <f>IFERROR(VLOOKUP(Q91,tbFactorMes,2,FALSE),"")</f>
        <v/>
      </c>
      <c r="S91">
        <f t="shared" si="15"/>
        <v>0</v>
      </c>
      <c r="V91" t="str">
        <f>IFERROR(VLOOKUP(U91,tbFactorMes,2,FALSE),"")</f>
        <v/>
      </c>
      <c r="W91">
        <f t="shared" si="16"/>
        <v>0</v>
      </c>
      <c r="Z91" t="str">
        <f>IFERROR(VLOOKUP(Y91,tbFactorMes,2,FALSE),"")</f>
        <v/>
      </c>
      <c r="AA91">
        <f t="shared" si="17"/>
        <v>0</v>
      </c>
      <c r="AD91" t="str">
        <f>IFERROR(VLOOKUP(AC91,tbFactorMes,2,FALSE),"")</f>
        <v/>
      </c>
      <c r="AE91">
        <f t="shared" si="18"/>
        <v>0</v>
      </c>
      <c r="AH91" t="str">
        <f>IFERROR(VLOOKUP(AG91,tbFactorMes,2,FALSE),"")</f>
        <v/>
      </c>
      <c r="AI91">
        <f t="shared" si="19"/>
        <v>0</v>
      </c>
      <c r="AL91" t="str">
        <f>IFERROR(VLOOKUP(AK91,tbFactorMes,2,FALSE),"")</f>
        <v/>
      </c>
      <c r="AM91">
        <f t="shared" si="20"/>
        <v>0</v>
      </c>
      <c r="AP91" t="str">
        <f>IFERROR(VLOOKUP(AO91,tbFactorMes,2,FALSE),"")</f>
        <v/>
      </c>
      <c r="AQ91">
        <f t="shared" si="21"/>
        <v>0</v>
      </c>
      <c r="AT91" t="str">
        <f>IFERROR(VLOOKUP(AS91,tbFactorMes,2,FALSE),"")</f>
        <v/>
      </c>
      <c r="AU91">
        <f t="shared" si="22"/>
        <v>0</v>
      </c>
      <c r="AX91" t="str">
        <f>IFERROR(VLOOKUP(AW91,tbFactorMes,2,FALSE),"")</f>
        <v/>
      </c>
      <c r="AY91">
        <f t="shared" si="23"/>
        <v>0</v>
      </c>
      <c r="BB91" t="str">
        <f>IFERROR(VLOOKUP(BA91,tbFactorMes,2,FALSE),"")</f>
        <v/>
      </c>
      <c r="BC91">
        <f t="shared" si="24"/>
        <v>0</v>
      </c>
      <c r="BF91" t="str">
        <f>IFERROR(VLOOKUP(BE91,tbFactorMes,2,FALSE),"")</f>
        <v/>
      </c>
      <c r="BG91">
        <f t="shared" si="25"/>
        <v>0</v>
      </c>
      <c r="BH91">
        <f t="shared" si="26"/>
        <v>0</v>
      </c>
      <c r="BI91">
        <f t="shared" si="27"/>
        <v>0</v>
      </c>
    </row>
    <row r="92" spans="11:61" x14ac:dyDescent="0.35">
      <c r="K92" t="str">
        <f>IFERROR(VLOOKUP(F92,tbTurnos,3,FALSE),"")</f>
        <v/>
      </c>
      <c r="N92" t="str">
        <f>IFERROR(VLOOKUP(M92,tbFactorMes,2,FALSE),"")</f>
        <v/>
      </c>
      <c r="O92">
        <f t="shared" si="14"/>
        <v>0</v>
      </c>
      <c r="R92" t="str">
        <f>IFERROR(VLOOKUP(Q92,tbFactorMes,2,FALSE),"")</f>
        <v/>
      </c>
      <c r="S92">
        <f t="shared" si="15"/>
        <v>0</v>
      </c>
      <c r="V92" t="str">
        <f>IFERROR(VLOOKUP(U92,tbFactorMes,2,FALSE),"")</f>
        <v/>
      </c>
      <c r="W92">
        <f t="shared" si="16"/>
        <v>0</v>
      </c>
      <c r="Z92" t="str">
        <f>IFERROR(VLOOKUP(Y92,tbFactorMes,2,FALSE),"")</f>
        <v/>
      </c>
      <c r="AA92">
        <f t="shared" si="17"/>
        <v>0</v>
      </c>
      <c r="AD92" t="str">
        <f>IFERROR(VLOOKUP(AC92,tbFactorMes,2,FALSE),"")</f>
        <v/>
      </c>
      <c r="AE92">
        <f t="shared" si="18"/>
        <v>0</v>
      </c>
      <c r="AH92" t="str">
        <f>IFERROR(VLOOKUP(AG92,tbFactorMes,2,FALSE),"")</f>
        <v/>
      </c>
      <c r="AI92">
        <f t="shared" si="19"/>
        <v>0</v>
      </c>
      <c r="AL92" t="str">
        <f>IFERROR(VLOOKUP(AK92,tbFactorMes,2,FALSE),"")</f>
        <v/>
      </c>
      <c r="AM92">
        <f t="shared" si="20"/>
        <v>0</v>
      </c>
      <c r="AP92" t="str">
        <f>IFERROR(VLOOKUP(AO92,tbFactorMes,2,FALSE),"")</f>
        <v/>
      </c>
      <c r="AQ92">
        <f t="shared" si="21"/>
        <v>0</v>
      </c>
      <c r="AT92" t="str">
        <f>IFERROR(VLOOKUP(AS92,tbFactorMes,2,FALSE),"")</f>
        <v/>
      </c>
      <c r="AU92">
        <f t="shared" si="22"/>
        <v>0</v>
      </c>
      <c r="AX92" t="str">
        <f>IFERROR(VLOOKUP(AW92,tbFactorMes,2,FALSE),"")</f>
        <v/>
      </c>
      <c r="AY92">
        <f t="shared" si="23"/>
        <v>0</v>
      </c>
      <c r="BB92" t="str">
        <f>IFERROR(VLOOKUP(BA92,tbFactorMes,2,FALSE),"")</f>
        <v/>
      </c>
      <c r="BC92">
        <f t="shared" si="24"/>
        <v>0</v>
      </c>
      <c r="BF92" t="str">
        <f>IFERROR(VLOOKUP(BE92,tbFactorMes,2,FALSE),"")</f>
        <v/>
      </c>
      <c r="BG92">
        <f t="shared" si="25"/>
        <v>0</v>
      </c>
      <c r="BH92">
        <f t="shared" si="26"/>
        <v>0</v>
      </c>
      <c r="BI92">
        <f t="shared" si="27"/>
        <v>0</v>
      </c>
    </row>
    <row r="93" spans="11:61" x14ac:dyDescent="0.35">
      <c r="K93" t="str">
        <f>IFERROR(VLOOKUP(F93,tbTurnos,3,FALSE),"")</f>
        <v/>
      </c>
      <c r="N93" t="str">
        <f>IFERROR(VLOOKUP(M93,tbFactorMes,2,FALSE),"")</f>
        <v/>
      </c>
      <c r="O93">
        <f t="shared" si="14"/>
        <v>0</v>
      </c>
      <c r="R93" t="str">
        <f>IFERROR(VLOOKUP(Q93,tbFactorMes,2,FALSE),"")</f>
        <v/>
      </c>
      <c r="S93">
        <f t="shared" si="15"/>
        <v>0</v>
      </c>
      <c r="V93" t="str">
        <f>IFERROR(VLOOKUP(U93,tbFactorMes,2,FALSE),"")</f>
        <v/>
      </c>
      <c r="W93">
        <f t="shared" si="16"/>
        <v>0</v>
      </c>
      <c r="Z93" t="str">
        <f>IFERROR(VLOOKUP(Y93,tbFactorMes,2,FALSE),"")</f>
        <v/>
      </c>
      <c r="AA93">
        <f t="shared" si="17"/>
        <v>0</v>
      </c>
      <c r="AD93" t="str">
        <f>IFERROR(VLOOKUP(AC93,tbFactorMes,2,FALSE),"")</f>
        <v/>
      </c>
      <c r="AE93">
        <f t="shared" si="18"/>
        <v>0</v>
      </c>
      <c r="AH93" t="str">
        <f>IFERROR(VLOOKUP(AG93,tbFactorMes,2,FALSE),"")</f>
        <v/>
      </c>
      <c r="AI93">
        <f t="shared" si="19"/>
        <v>0</v>
      </c>
      <c r="AL93" t="str">
        <f>IFERROR(VLOOKUP(AK93,tbFactorMes,2,FALSE),"")</f>
        <v/>
      </c>
      <c r="AM93">
        <f t="shared" si="20"/>
        <v>0</v>
      </c>
      <c r="AP93" t="str">
        <f>IFERROR(VLOOKUP(AO93,tbFactorMes,2,FALSE),"")</f>
        <v/>
      </c>
      <c r="AQ93">
        <f t="shared" si="21"/>
        <v>0</v>
      </c>
      <c r="AT93" t="str">
        <f>IFERROR(VLOOKUP(AS93,tbFactorMes,2,FALSE),"")</f>
        <v/>
      </c>
      <c r="AU93">
        <f t="shared" si="22"/>
        <v>0</v>
      </c>
      <c r="AX93" t="str">
        <f>IFERROR(VLOOKUP(AW93,tbFactorMes,2,FALSE),"")</f>
        <v/>
      </c>
      <c r="AY93">
        <f t="shared" si="23"/>
        <v>0</v>
      </c>
      <c r="BB93" t="str">
        <f>IFERROR(VLOOKUP(BA93,tbFactorMes,2,FALSE),"")</f>
        <v/>
      </c>
      <c r="BC93">
        <f t="shared" si="24"/>
        <v>0</v>
      </c>
      <c r="BF93" t="str">
        <f>IFERROR(VLOOKUP(BE93,tbFactorMes,2,FALSE),"")</f>
        <v/>
      </c>
      <c r="BG93">
        <f t="shared" si="25"/>
        <v>0</v>
      </c>
      <c r="BH93">
        <f t="shared" si="26"/>
        <v>0</v>
      </c>
      <c r="BI93">
        <f t="shared" si="27"/>
        <v>0</v>
      </c>
    </row>
    <row r="94" spans="11:61" x14ac:dyDescent="0.35">
      <c r="K94" t="str">
        <f>IFERROR(VLOOKUP(F94,tbTurnos,3,FALSE),"")</f>
        <v/>
      </c>
      <c r="N94" t="str">
        <f>IFERROR(VLOOKUP(M94,tbFactorMes,2,FALSE),"")</f>
        <v/>
      </c>
      <c r="O94">
        <f t="shared" si="14"/>
        <v>0</v>
      </c>
      <c r="R94" t="str">
        <f>IFERROR(VLOOKUP(Q94,tbFactorMes,2,FALSE),"")</f>
        <v/>
      </c>
      <c r="S94">
        <f t="shared" si="15"/>
        <v>0</v>
      </c>
      <c r="V94" t="str">
        <f>IFERROR(VLOOKUP(U94,tbFactorMes,2,FALSE),"")</f>
        <v/>
      </c>
      <c r="W94">
        <f t="shared" si="16"/>
        <v>0</v>
      </c>
      <c r="Z94" t="str">
        <f>IFERROR(VLOOKUP(Y94,tbFactorMes,2,FALSE),"")</f>
        <v/>
      </c>
      <c r="AA94">
        <f t="shared" si="17"/>
        <v>0</v>
      </c>
      <c r="AD94" t="str">
        <f>IFERROR(VLOOKUP(AC94,tbFactorMes,2,FALSE),"")</f>
        <v/>
      </c>
      <c r="AE94">
        <f t="shared" si="18"/>
        <v>0</v>
      </c>
      <c r="AH94" t="str">
        <f>IFERROR(VLOOKUP(AG94,tbFactorMes,2,FALSE),"")</f>
        <v/>
      </c>
      <c r="AI94">
        <f t="shared" si="19"/>
        <v>0</v>
      </c>
      <c r="AL94" t="str">
        <f>IFERROR(VLOOKUP(AK94,tbFactorMes,2,FALSE),"")</f>
        <v/>
      </c>
      <c r="AM94">
        <f t="shared" si="20"/>
        <v>0</v>
      </c>
      <c r="AP94" t="str">
        <f>IFERROR(VLOOKUP(AO94,tbFactorMes,2,FALSE),"")</f>
        <v/>
      </c>
      <c r="AQ94">
        <f t="shared" si="21"/>
        <v>0</v>
      </c>
      <c r="AT94" t="str">
        <f>IFERROR(VLOOKUP(AS94,tbFactorMes,2,FALSE),"")</f>
        <v/>
      </c>
      <c r="AU94">
        <f t="shared" si="22"/>
        <v>0</v>
      </c>
      <c r="AX94" t="str">
        <f>IFERROR(VLOOKUP(AW94,tbFactorMes,2,FALSE),"")</f>
        <v/>
      </c>
      <c r="AY94">
        <f t="shared" si="23"/>
        <v>0</v>
      </c>
      <c r="BB94" t="str">
        <f>IFERROR(VLOOKUP(BA94,tbFactorMes,2,FALSE),"")</f>
        <v/>
      </c>
      <c r="BC94">
        <f t="shared" si="24"/>
        <v>0</v>
      </c>
      <c r="BF94" t="str">
        <f>IFERROR(VLOOKUP(BE94,tbFactorMes,2,FALSE),"")</f>
        <v/>
      </c>
      <c r="BG94">
        <f t="shared" si="25"/>
        <v>0</v>
      </c>
      <c r="BH94">
        <f t="shared" si="26"/>
        <v>0</v>
      </c>
      <c r="BI94">
        <f t="shared" si="27"/>
        <v>0</v>
      </c>
    </row>
    <row r="95" spans="11:61" x14ac:dyDescent="0.35">
      <c r="K95" t="str">
        <f>IFERROR(VLOOKUP(F95,tbTurnos,3,FALSE),"")</f>
        <v/>
      </c>
      <c r="N95" t="str">
        <f>IFERROR(VLOOKUP(M95,tbFactorMes,2,FALSE),"")</f>
        <v/>
      </c>
      <c r="O95">
        <f t="shared" si="14"/>
        <v>0</v>
      </c>
      <c r="R95" t="str">
        <f>IFERROR(VLOOKUP(Q95,tbFactorMes,2,FALSE),"")</f>
        <v/>
      </c>
      <c r="S95">
        <f t="shared" si="15"/>
        <v>0</v>
      </c>
      <c r="V95" t="str">
        <f>IFERROR(VLOOKUP(U95,tbFactorMes,2,FALSE),"")</f>
        <v/>
      </c>
      <c r="W95">
        <f t="shared" si="16"/>
        <v>0</v>
      </c>
      <c r="Z95" t="str">
        <f>IFERROR(VLOOKUP(Y95,tbFactorMes,2,FALSE),"")</f>
        <v/>
      </c>
      <c r="AA95">
        <f t="shared" si="17"/>
        <v>0</v>
      </c>
      <c r="AD95" t="str">
        <f>IFERROR(VLOOKUP(AC95,tbFactorMes,2,FALSE),"")</f>
        <v/>
      </c>
      <c r="AE95">
        <f t="shared" si="18"/>
        <v>0</v>
      </c>
      <c r="AH95" t="str">
        <f>IFERROR(VLOOKUP(AG95,tbFactorMes,2,FALSE),"")</f>
        <v/>
      </c>
      <c r="AI95">
        <f t="shared" si="19"/>
        <v>0</v>
      </c>
      <c r="AL95" t="str">
        <f>IFERROR(VLOOKUP(AK95,tbFactorMes,2,FALSE),"")</f>
        <v/>
      </c>
      <c r="AM95">
        <f t="shared" si="20"/>
        <v>0</v>
      </c>
      <c r="AP95" t="str">
        <f>IFERROR(VLOOKUP(AO95,tbFactorMes,2,FALSE),"")</f>
        <v/>
      </c>
      <c r="AQ95">
        <f t="shared" si="21"/>
        <v>0</v>
      </c>
      <c r="AT95" t="str">
        <f>IFERROR(VLOOKUP(AS95,tbFactorMes,2,FALSE),"")</f>
        <v/>
      </c>
      <c r="AU95">
        <f t="shared" si="22"/>
        <v>0</v>
      </c>
      <c r="AX95" t="str">
        <f>IFERROR(VLOOKUP(AW95,tbFactorMes,2,FALSE),"")</f>
        <v/>
      </c>
      <c r="AY95">
        <f t="shared" si="23"/>
        <v>0</v>
      </c>
      <c r="BB95" t="str">
        <f>IFERROR(VLOOKUP(BA95,tbFactorMes,2,FALSE),"")</f>
        <v/>
      </c>
      <c r="BC95">
        <f t="shared" si="24"/>
        <v>0</v>
      </c>
      <c r="BF95" t="str">
        <f>IFERROR(VLOOKUP(BE95,tbFactorMes,2,FALSE),"")</f>
        <v/>
      </c>
      <c r="BG95">
        <f t="shared" si="25"/>
        <v>0</v>
      </c>
      <c r="BH95">
        <f t="shared" si="26"/>
        <v>0</v>
      </c>
      <c r="BI95">
        <f t="shared" si="27"/>
        <v>0</v>
      </c>
    </row>
    <row r="96" spans="11:61" x14ac:dyDescent="0.35">
      <c r="K96" t="str">
        <f>IFERROR(VLOOKUP(F96,tbTurnos,3,FALSE),"")</f>
        <v/>
      </c>
      <c r="N96" t="str">
        <f>IFERROR(VLOOKUP(M96,tbFactorMes,2,FALSE),"")</f>
        <v/>
      </c>
      <c r="O96">
        <f t="shared" si="14"/>
        <v>0</v>
      </c>
      <c r="R96" t="str">
        <f>IFERROR(VLOOKUP(Q96,tbFactorMes,2,FALSE),"")</f>
        <v/>
      </c>
      <c r="S96">
        <f t="shared" si="15"/>
        <v>0</v>
      </c>
      <c r="V96" t="str">
        <f>IFERROR(VLOOKUP(U96,tbFactorMes,2,FALSE),"")</f>
        <v/>
      </c>
      <c r="W96">
        <f t="shared" si="16"/>
        <v>0</v>
      </c>
      <c r="Z96" t="str">
        <f>IFERROR(VLOOKUP(Y96,tbFactorMes,2,FALSE),"")</f>
        <v/>
      </c>
      <c r="AA96">
        <f t="shared" si="17"/>
        <v>0</v>
      </c>
      <c r="AD96" t="str">
        <f>IFERROR(VLOOKUP(AC96,tbFactorMes,2,FALSE),"")</f>
        <v/>
      </c>
      <c r="AE96">
        <f t="shared" si="18"/>
        <v>0</v>
      </c>
      <c r="AH96" t="str">
        <f>IFERROR(VLOOKUP(AG96,tbFactorMes,2,FALSE),"")</f>
        <v/>
      </c>
      <c r="AI96">
        <f t="shared" si="19"/>
        <v>0</v>
      </c>
      <c r="AL96" t="str">
        <f>IFERROR(VLOOKUP(AK96,tbFactorMes,2,FALSE),"")</f>
        <v/>
      </c>
      <c r="AM96">
        <f t="shared" si="20"/>
        <v>0</v>
      </c>
      <c r="AP96" t="str">
        <f>IFERROR(VLOOKUP(AO96,tbFactorMes,2,FALSE),"")</f>
        <v/>
      </c>
      <c r="AQ96">
        <f t="shared" si="21"/>
        <v>0</v>
      </c>
      <c r="AT96" t="str">
        <f>IFERROR(VLOOKUP(AS96,tbFactorMes,2,FALSE),"")</f>
        <v/>
      </c>
      <c r="AU96">
        <f t="shared" si="22"/>
        <v>0</v>
      </c>
      <c r="AX96" t="str">
        <f>IFERROR(VLOOKUP(AW96,tbFactorMes,2,FALSE),"")</f>
        <v/>
      </c>
      <c r="AY96">
        <f t="shared" si="23"/>
        <v>0</v>
      </c>
      <c r="BB96" t="str">
        <f>IFERROR(VLOOKUP(BA96,tbFactorMes,2,FALSE),"")</f>
        <v/>
      </c>
      <c r="BC96">
        <f t="shared" si="24"/>
        <v>0</v>
      </c>
      <c r="BF96" t="str">
        <f>IFERROR(VLOOKUP(BE96,tbFactorMes,2,FALSE),"")</f>
        <v/>
      </c>
      <c r="BG96">
        <f t="shared" si="25"/>
        <v>0</v>
      </c>
      <c r="BH96">
        <f t="shared" si="26"/>
        <v>0</v>
      </c>
      <c r="BI96">
        <f t="shared" si="27"/>
        <v>0</v>
      </c>
    </row>
    <row r="97" spans="11:61" x14ac:dyDescent="0.35">
      <c r="K97" t="str">
        <f>IFERROR(VLOOKUP(F97,tbTurnos,3,FALSE),"")</f>
        <v/>
      </c>
      <c r="N97" t="str">
        <f>IFERROR(VLOOKUP(M97,tbFactorMes,2,FALSE),"")</f>
        <v/>
      </c>
      <c r="O97">
        <f t="shared" si="14"/>
        <v>0</v>
      </c>
      <c r="R97" t="str">
        <f>IFERROR(VLOOKUP(Q97,tbFactorMes,2,FALSE),"")</f>
        <v/>
      </c>
      <c r="S97">
        <f t="shared" si="15"/>
        <v>0</v>
      </c>
      <c r="V97" t="str">
        <f>IFERROR(VLOOKUP(U97,tbFactorMes,2,FALSE),"")</f>
        <v/>
      </c>
      <c r="W97">
        <f t="shared" si="16"/>
        <v>0</v>
      </c>
      <c r="Z97" t="str">
        <f>IFERROR(VLOOKUP(Y97,tbFactorMes,2,FALSE),"")</f>
        <v/>
      </c>
      <c r="AA97">
        <f t="shared" si="17"/>
        <v>0</v>
      </c>
      <c r="AD97" t="str">
        <f>IFERROR(VLOOKUP(AC97,tbFactorMes,2,FALSE),"")</f>
        <v/>
      </c>
      <c r="AE97">
        <f t="shared" si="18"/>
        <v>0</v>
      </c>
      <c r="AH97" t="str">
        <f>IFERROR(VLOOKUP(AG97,tbFactorMes,2,FALSE),"")</f>
        <v/>
      </c>
      <c r="AI97">
        <f t="shared" si="19"/>
        <v>0</v>
      </c>
      <c r="AL97" t="str">
        <f>IFERROR(VLOOKUP(AK97,tbFactorMes,2,FALSE),"")</f>
        <v/>
      </c>
      <c r="AM97">
        <f t="shared" si="20"/>
        <v>0</v>
      </c>
      <c r="AP97" t="str">
        <f>IFERROR(VLOOKUP(AO97,tbFactorMes,2,FALSE),"")</f>
        <v/>
      </c>
      <c r="AQ97">
        <f t="shared" si="21"/>
        <v>0</v>
      </c>
      <c r="AT97" t="str">
        <f>IFERROR(VLOOKUP(AS97,tbFactorMes,2,FALSE),"")</f>
        <v/>
      </c>
      <c r="AU97">
        <f t="shared" si="22"/>
        <v>0</v>
      </c>
      <c r="AX97" t="str">
        <f>IFERROR(VLOOKUP(AW97,tbFactorMes,2,FALSE),"")</f>
        <v/>
      </c>
      <c r="AY97">
        <f t="shared" si="23"/>
        <v>0</v>
      </c>
      <c r="BB97" t="str">
        <f>IFERROR(VLOOKUP(BA97,tbFactorMes,2,FALSE),"")</f>
        <v/>
      </c>
      <c r="BC97">
        <f t="shared" si="24"/>
        <v>0</v>
      </c>
      <c r="BF97" t="str">
        <f>IFERROR(VLOOKUP(BE97,tbFactorMes,2,FALSE),"")</f>
        <v/>
      </c>
      <c r="BG97">
        <f t="shared" si="25"/>
        <v>0</v>
      </c>
      <c r="BH97">
        <f t="shared" si="26"/>
        <v>0</v>
      </c>
      <c r="BI97">
        <f t="shared" si="27"/>
        <v>0</v>
      </c>
    </row>
    <row r="98" spans="11:61" x14ac:dyDescent="0.35">
      <c r="K98" t="str">
        <f>IFERROR(VLOOKUP(F98,tbTurnos,3,FALSE),"")</f>
        <v/>
      </c>
      <c r="N98" t="str">
        <f>IFERROR(VLOOKUP(M98,tbFactorMes,2,FALSE),"")</f>
        <v/>
      </c>
      <c r="O98">
        <f t="shared" si="14"/>
        <v>0</v>
      </c>
      <c r="R98" t="str">
        <f>IFERROR(VLOOKUP(Q98,tbFactorMes,2,FALSE),"")</f>
        <v/>
      </c>
      <c r="S98">
        <f t="shared" si="15"/>
        <v>0</v>
      </c>
      <c r="V98" t="str">
        <f>IFERROR(VLOOKUP(U98,tbFactorMes,2,FALSE),"")</f>
        <v/>
      </c>
      <c r="W98">
        <f t="shared" si="16"/>
        <v>0</v>
      </c>
      <c r="Z98" t="str">
        <f>IFERROR(VLOOKUP(Y98,tbFactorMes,2,FALSE),"")</f>
        <v/>
      </c>
      <c r="AA98">
        <f t="shared" si="17"/>
        <v>0</v>
      </c>
      <c r="AD98" t="str">
        <f>IFERROR(VLOOKUP(AC98,tbFactorMes,2,FALSE),"")</f>
        <v/>
      </c>
      <c r="AE98">
        <f t="shared" si="18"/>
        <v>0</v>
      </c>
      <c r="AH98" t="str">
        <f>IFERROR(VLOOKUP(AG98,tbFactorMes,2,FALSE),"")</f>
        <v/>
      </c>
      <c r="AI98">
        <f t="shared" si="19"/>
        <v>0</v>
      </c>
      <c r="AL98" t="str">
        <f>IFERROR(VLOOKUP(AK98,tbFactorMes,2,FALSE),"")</f>
        <v/>
      </c>
      <c r="AM98">
        <f t="shared" si="20"/>
        <v>0</v>
      </c>
      <c r="AP98" t="str">
        <f>IFERROR(VLOOKUP(AO98,tbFactorMes,2,FALSE),"")</f>
        <v/>
      </c>
      <c r="AQ98">
        <f t="shared" si="21"/>
        <v>0</v>
      </c>
      <c r="AT98" t="str">
        <f>IFERROR(VLOOKUP(AS98,tbFactorMes,2,FALSE),"")</f>
        <v/>
      </c>
      <c r="AU98">
        <f t="shared" si="22"/>
        <v>0</v>
      </c>
      <c r="AX98" t="str">
        <f>IFERROR(VLOOKUP(AW98,tbFactorMes,2,FALSE),"")</f>
        <v/>
      </c>
      <c r="AY98">
        <f t="shared" si="23"/>
        <v>0</v>
      </c>
      <c r="BB98" t="str">
        <f>IFERROR(VLOOKUP(BA98,tbFactorMes,2,FALSE),"")</f>
        <v/>
      </c>
      <c r="BC98">
        <f t="shared" si="24"/>
        <v>0</v>
      </c>
      <c r="BF98" t="str">
        <f>IFERROR(VLOOKUP(BE98,tbFactorMes,2,FALSE),"")</f>
        <v/>
      </c>
      <c r="BG98">
        <f t="shared" si="25"/>
        <v>0</v>
      </c>
      <c r="BH98">
        <f t="shared" si="26"/>
        <v>0</v>
      </c>
      <c r="BI98">
        <f t="shared" si="27"/>
        <v>0</v>
      </c>
    </row>
    <row r="99" spans="11:61" x14ac:dyDescent="0.35">
      <c r="K99" t="str">
        <f>IFERROR(VLOOKUP(F99,tbTurnos,3,FALSE),"")</f>
        <v/>
      </c>
      <c r="N99" t="str">
        <f>IFERROR(VLOOKUP(M99,tbFactorMes,2,FALSE),"")</f>
        <v/>
      </c>
      <c r="O99">
        <f t="shared" si="14"/>
        <v>0</v>
      </c>
      <c r="R99" t="str">
        <f>IFERROR(VLOOKUP(Q99,tbFactorMes,2,FALSE),"")</f>
        <v/>
      </c>
      <c r="S99">
        <f t="shared" si="15"/>
        <v>0</v>
      </c>
      <c r="V99" t="str">
        <f>IFERROR(VLOOKUP(U99,tbFactorMes,2,FALSE),"")</f>
        <v/>
      </c>
      <c r="W99">
        <f t="shared" si="16"/>
        <v>0</v>
      </c>
      <c r="Z99" t="str">
        <f>IFERROR(VLOOKUP(Y99,tbFactorMes,2,FALSE),"")</f>
        <v/>
      </c>
      <c r="AA99">
        <f t="shared" si="17"/>
        <v>0</v>
      </c>
      <c r="AD99" t="str">
        <f>IFERROR(VLOOKUP(AC99,tbFactorMes,2,FALSE),"")</f>
        <v/>
      </c>
      <c r="AE99">
        <f t="shared" si="18"/>
        <v>0</v>
      </c>
      <c r="AH99" t="str">
        <f>IFERROR(VLOOKUP(AG99,tbFactorMes,2,FALSE),"")</f>
        <v/>
      </c>
      <c r="AI99">
        <f t="shared" si="19"/>
        <v>0</v>
      </c>
      <c r="AL99" t="str">
        <f>IFERROR(VLOOKUP(AK99,tbFactorMes,2,FALSE),"")</f>
        <v/>
      </c>
      <c r="AM99">
        <f t="shared" si="20"/>
        <v>0</v>
      </c>
      <c r="AP99" t="str">
        <f>IFERROR(VLOOKUP(AO99,tbFactorMes,2,FALSE),"")</f>
        <v/>
      </c>
      <c r="AQ99">
        <f t="shared" si="21"/>
        <v>0</v>
      </c>
      <c r="AT99" t="str">
        <f>IFERROR(VLOOKUP(AS99,tbFactorMes,2,FALSE),"")</f>
        <v/>
      </c>
      <c r="AU99">
        <f t="shared" si="22"/>
        <v>0</v>
      </c>
      <c r="AX99" t="str">
        <f>IFERROR(VLOOKUP(AW99,tbFactorMes,2,FALSE),"")</f>
        <v/>
      </c>
      <c r="AY99">
        <f t="shared" si="23"/>
        <v>0</v>
      </c>
      <c r="BB99" t="str">
        <f>IFERROR(VLOOKUP(BA99,tbFactorMes,2,FALSE),"")</f>
        <v/>
      </c>
      <c r="BC99">
        <f t="shared" si="24"/>
        <v>0</v>
      </c>
      <c r="BF99" t="str">
        <f>IFERROR(VLOOKUP(BE99,tbFactorMes,2,FALSE),"")</f>
        <v/>
      </c>
      <c r="BG99">
        <f t="shared" si="25"/>
        <v>0</v>
      </c>
      <c r="BH99">
        <f t="shared" si="26"/>
        <v>0</v>
      </c>
      <c r="BI99">
        <f t="shared" si="27"/>
        <v>0</v>
      </c>
    </row>
    <row r="100" spans="11:61" x14ac:dyDescent="0.35">
      <c r="K100" t="str">
        <f>IFERROR(VLOOKUP(F100,tbTurnos,3,FALSE),"")</f>
        <v/>
      </c>
      <c r="N100" t="str">
        <f>IFERROR(VLOOKUP(M100,tbFactorMes,2,FALSE),"")</f>
        <v/>
      </c>
      <c r="O100">
        <f t="shared" si="14"/>
        <v>0</v>
      </c>
      <c r="R100" t="str">
        <f>IFERROR(VLOOKUP(Q100,tbFactorMes,2,FALSE),"")</f>
        <v/>
      </c>
      <c r="S100">
        <f t="shared" si="15"/>
        <v>0</v>
      </c>
      <c r="V100" t="str">
        <f>IFERROR(VLOOKUP(U100,tbFactorMes,2,FALSE),"")</f>
        <v/>
      </c>
      <c r="W100">
        <f t="shared" si="16"/>
        <v>0</v>
      </c>
      <c r="Z100" t="str">
        <f>IFERROR(VLOOKUP(Y100,tbFactorMes,2,FALSE),"")</f>
        <v/>
      </c>
      <c r="AA100">
        <f t="shared" si="17"/>
        <v>0</v>
      </c>
      <c r="AD100" t="str">
        <f>IFERROR(VLOOKUP(AC100,tbFactorMes,2,FALSE),"")</f>
        <v/>
      </c>
      <c r="AE100">
        <f t="shared" si="18"/>
        <v>0</v>
      </c>
      <c r="AH100" t="str">
        <f>IFERROR(VLOOKUP(AG100,tbFactorMes,2,FALSE),"")</f>
        <v/>
      </c>
      <c r="AI100">
        <f t="shared" si="19"/>
        <v>0</v>
      </c>
      <c r="AL100" t="str">
        <f>IFERROR(VLOOKUP(AK100,tbFactorMes,2,FALSE),"")</f>
        <v/>
      </c>
      <c r="AM100">
        <f t="shared" si="20"/>
        <v>0</v>
      </c>
      <c r="AP100" t="str">
        <f>IFERROR(VLOOKUP(AO100,tbFactorMes,2,FALSE),"")</f>
        <v/>
      </c>
      <c r="AQ100">
        <f t="shared" si="21"/>
        <v>0</v>
      </c>
      <c r="AT100" t="str">
        <f>IFERROR(VLOOKUP(AS100,tbFactorMes,2,FALSE),"")</f>
        <v/>
      </c>
      <c r="AU100">
        <f t="shared" si="22"/>
        <v>0</v>
      </c>
      <c r="AX100" t="str">
        <f>IFERROR(VLOOKUP(AW100,tbFactorMes,2,FALSE),"")</f>
        <v/>
      </c>
      <c r="AY100">
        <f t="shared" si="23"/>
        <v>0</v>
      </c>
      <c r="BB100" t="str">
        <f>IFERROR(VLOOKUP(BA100,tbFactorMes,2,FALSE),"")</f>
        <v/>
      </c>
      <c r="BC100">
        <f t="shared" si="24"/>
        <v>0</v>
      </c>
      <c r="BF100" t="str">
        <f>IFERROR(VLOOKUP(BE100,tbFactorMes,2,FALSE),"")</f>
        <v/>
      </c>
      <c r="BG100">
        <f t="shared" si="25"/>
        <v>0</v>
      </c>
      <c r="BH100">
        <f t="shared" si="26"/>
        <v>0</v>
      </c>
      <c r="BI100">
        <f t="shared" si="27"/>
        <v>0</v>
      </c>
    </row>
    <row r="101" spans="11:61" x14ac:dyDescent="0.35">
      <c r="K101" t="str">
        <f>IFERROR(VLOOKUP(F101,tbTurnos,3,FALSE),"")</f>
        <v/>
      </c>
      <c r="N101" t="str">
        <f>IFERROR(VLOOKUP(M101,tbFactorMes,2,FALSE),"")</f>
        <v/>
      </c>
      <c r="O101">
        <f t="shared" si="14"/>
        <v>0</v>
      </c>
      <c r="R101" t="str">
        <f>IFERROR(VLOOKUP(Q101,tbFactorMes,2,FALSE),"")</f>
        <v/>
      </c>
      <c r="S101">
        <f t="shared" si="15"/>
        <v>0</v>
      </c>
      <c r="V101" t="str">
        <f>IFERROR(VLOOKUP(U101,tbFactorMes,2,FALSE),"")</f>
        <v/>
      </c>
      <c r="W101">
        <f t="shared" si="16"/>
        <v>0</v>
      </c>
      <c r="Z101" t="str">
        <f>IFERROR(VLOOKUP(Y101,tbFactorMes,2,FALSE),"")</f>
        <v/>
      </c>
      <c r="AA101">
        <f t="shared" si="17"/>
        <v>0</v>
      </c>
      <c r="AD101" t="str">
        <f>IFERROR(VLOOKUP(AC101,tbFactorMes,2,FALSE),"")</f>
        <v/>
      </c>
      <c r="AE101">
        <f t="shared" si="18"/>
        <v>0</v>
      </c>
      <c r="AH101" t="str">
        <f>IFERROR(VLOOKUP(AG101,tbFactorMes,2,FALSE),"")</f>
        <v/>
      </c>
      <c r="AI101">
        <f t="shared" si="19"/>
        <v>0</v>
      </c>
      <c r="AL101" t="str">
        <f>IFERROR(VLOOKUP(AK101,tbFactorMes,2,FALSE),"")</f>
        <v/>
      </c>
      <c r="AM101">
        <f t="shared" si="20"/>
        <v>0</v>
      </c>
      <c r="AP101" t="str">
        <f>IFERROR(VLOOKUP(AO101,tbFactorMes,2,FALSE),"")</f>
        <v/>
      </c>
      <c r="AQ101">
        <f t="shared" si="21"/>
        <v>0</v>
      </c>
      <c r="AT101" t="str">
        <f>IFERROR(VLOOKUP(AS101,tbFactorMes,2,FALSE),"")</f>
        <v/>
      </c>
      <c r="AU101">
        <f t="shared" si="22"/>
        <v>0</v>
      </c>
      <c r="AX101" t="str">
        <f>IFERROR(VLOOKUP(AW101,tbFactorMes,2,FALSE),"")</f>
        <v/>
      </c>
      <c r="AY101">
        <f t="shared" si="23"/>
        <v>0</v>
      </c>
      <c r="BB101" t="str">
        <f>IFERROR(VLOOKUP(BA101,tbFactorMes,2,FALSE),"")</f>
        <v/>
      </c>
      <c r="BC101">
        <f t="shared" si="24"/>
        <v>0</v>
      </c>
      <c r="BF101" t="str">
        <f>IFERROR(VLOOKUP(BE101,tbFactorMes,2,FALSE),"")</f>
        <v/>
      </c>
      <c r="BG101">
        <f t="shared" si="25"/>
        <v>0</v>
      </c>
      <c r="BH101">
        <f t="shared" si="26"/>
        <v>0</v>
      </c>
      <c r="BI101">
        <f t="shared" si="27"/>
        <v>0</v>
      </c>
    </row>
    <row r="102" spans="11:61" x14ac:dyDescent="0.35">
      <c r="K102" t="str">
        <f>IFERROR(VLOOKUP(F102,tbTurnos,3,FALSE),"")</f>
        <v/>
      </c>
      <c r="N102" t="str">
        <f>IFERROR(VLOOKUP(M102,tbFactorMes,2,FALSE),"")</f>
        <v/>
      </c>
      <c r="O102">
        <f t="shared" si="14"/>
        <v>0</v>
      </c>
      <c r="R102" t="str">
        <f>IFERROR(VLOOKUP(Q102,tbFactorMes,2,FALSE),"")</f>
        <v/>
      </c>
      <c r="S102">
        <f t="shared" si="15"/>
        <v>0</v>
      </c>
      <c r="V102" t="str">
        <f>IFERROR(VLOOKUP(U102,tbFactorMes,2,FALSE),"")</f>
        <v/>
      </c>
      <c r="W102">
        <f t="shared" si="16"/>
        <v>0</v>
      </c>
      <c r="Z102" t="str">
        <f>IFERROR(VLOOKUP(Y102,tbFactorMes,2,FALSE),"")</f>
        <v/>
      </c>
      <c r="AA102">
        <f t="shared" si="17"/>
        <v>0</v>
      </c>
      <c r="AD102" t="str">
        <f>IFERROR(VLOOKUP(AC102,tbFactorMes,2,FALSE),"")</f>
        <v/>
      </c>
      <c r="AE102">
        <f t="shared" si="18"/>
        <v>0</v>
      </c>
      <c r="AH102" t="str">
        <f>IFERROR(VLOOKUP(AG102,tbFactorMes,2,FALSE),"")</f>
        <v/>
      </c>
      <c r="AI102">
        <f t="shared" si="19"/>
        <v>0</v>
      </c>
      <c r="AL102" t="str">
        <f>IFERROR(VLOOKUP(AK102,tbFactorMes,2,FALSE),"")</f>
        <v/>
      </c>
      <c r="AM102">
        <f t="shared" si="20"/>
        <v>0</v>
      </c>
      <c r="AP102" t="str">
        <f>IFERROR(VLOOKUP(AO102,tbFactorMes,2,FALSE),"")</f>
        <v/>
      </c>
      <c r="AQ102">
        <f t="shared" si="21"/>
        <v>0</v>
      </c>
      <c r="AT102" t="str">
        <f>IFERROR(VLOOKUP(AS102,tbFactorMes,2,FALSE),"")</f>
        <v/>
      </c>
      <c r="AU102">
        <f t="shared" si="22"/>
        <v>0</v>
      </c>
      <c r="AX102" t="str">
        <f>IFERROR(VLOOKUP(AW102,tbFactorMes,2,FALSE),"")</f>
        <v/>
      </c>
      <c r="AY102">
        <f t="shared" si="23"/>
        <v>0</v>
      </c>
      <c r="BB102" t="str">
        <f>IFERROR(VLOOKUP(BA102,tbFactorMes,2,FALSE),"")</f>
        <v/>
      </c>
      <c r="BC102">
        <f t="shared" si="24"/>
        <v>0</v>
      </c>
      <c r="BF102" t="str">
        <f>IFERROR(VLOOKUP(BE102,tbFactorMes,2,FALSE),"")</f>
        <v/>
      </c>
      <c r="BG102">
        <f t="shared" si="25"/>
        <v>0</v>
      </c>
      <c r="BH102">
        <f t="shared" si="26"/>
        <v>0</v>
      </c>
      <c r="BI102">
        <f t="shared" si="27"/>
        <v>0</v>
      </c>
    </row>
    <row r="103" spans="11:61" x14ac:dyDescent="0.35">
      <c r="K103" t="str">
        <f>IFERROR(VLOOKUP(F103,tbTurnos,3,FALSE),"")</f>
        <v/>
      </c>
      <c r="N103" t="str">
        <f>IFERROR(VLOOKUP(M103,tbFactorMes,2,FALSE),"")</f>
        <v/>
      </c>
      <c r="O103">
        <f t="shared" si="14"/>
        <v>0</v>
      </c>
      <c r="R103" t="str">
        <f>IFERROR(VLOOKUP(Q103,tbFactorMes,2,FALSE),"")</f>
        <v/>
      </c>
      <c r="S103">
        <f t="shared" si="15"/>
        <v>0</v>
      </c>
      <c r="V103" t="str">
        <f>IFERROR(VLOOKUP(U103,tbFactorMes,2,FALSE),"")</f>
        <v/>
      </c>
      <c r="W103">
        <f t="shared" si="16"/>
        <v>0</v>
      </c>
      <c r="Z103" t="str">
        <f>IFERROR(VLOOKUP(Y103,tbFactorMes,2,FALSE),"")</f>
        <v/>
      </c>
      <c r="AA103">
        <f t="shared" si="17"/>
        <v>0</v>
      </c>
      <c r="AD103" t="str">
        <f>IFERROR(VLOOKUP(AC103,tbFactorMes,2,FALSE),"")</f>
        <v/>
      </c>
      <c r="AE103">
        <f t="shared" si="18"/>
        <v>0</v>
      </c>
      <c r="AH103" t="str">
        <f>IFERROR(VLOOKUP(AG103,tbFactorMes,2,FALSE),"")</f>
        <v/>
      </c>
      <c r="AI103">
        <f t="shared" si="19"/>
        <v>0</v>
      </c>
      <c r="AL103" t="str">
        <f>IFERROR(VLOOKUP(AK103,tbFactorMes,2,FALSE),"")</f>
        <v/>
      </c>
      <c r="AM103">
        <f t="shared" si="20"/>
        <v>0</v>
      </c>
      <c r="AP103" t="str">
        <f>IFERROR(VLOOKUP(AO103,tbFactorMes,2,FALSE),"")</f>
        <v/>
      </c>
      <c r="AQ103">
        <f t="shared" si="21"/>
        <v>0</v>
      </c>
      <c r="AT103" t="str">
        <f>IFERROR(VLOOKUP(AS103,tbFactorMes,2,FALSE),"")</f>
        <v/>
      </c>
      <c r="AU103">
        <f t="shared" si="22"/>
        <v>0</v>
      </c>
      <c r="AX103" t="str">
        <f>IFERROR(VLOOKUP(AW103,tbFactorMes,2,FALSE),"")</f>
        <v/>
      </c>
      <c r="AY103">
        <f t="shared" si="23"/>
        <v>0</v>
      </c>
      <c r="BB103" t="str">
        <f>IFERROR(VLOOKUP(BA103,tbFactorMes,2,FALSE),"")</f>
        <v/>
      </c>
      <c r="BC103">
        <f t="shared" si="24"/>
        <v>0</v>
      </c>
      <c r="BF103" t="str">
        <f>IFERROR(VLOOKUP(BE103,tbFactorMes,2,FALSE),"")</f>
        <v/>
      </c>
      <c r="BG103">
        <f t="shared" si="25"/>
        <v>0</v>
      </c>
      <c r="BH103">
        <f t="shared" si="26"/>
        <v>0</v>
      </c>
      <c r="BI103">
        <f t="shared" si="27"/>
        <v>0</v>
      </c>
    </row>
    <row r="104" spans="11:61" x14ac:dyDescent="0.35">
      <c r="K104" t="str">
        <f>IFERROR(VLOOKUP(F104,tbTurnos,3,FALSE),"")</f>
        <v/>
      </c>
      <c r="N104" t="str">
        <f>IFERROR(VLOOKUP(M104,tbFactorMes,2,FALSE),"")</f>
        <v/>
      </c>
      <c r="O104">
        <f t="shared" si="14"/>
        <v>0</v>
      </c>
      <c r="R104" t="str">
        <f>IFERROR(VLOOKUP(Q104,tbFactorMes,2,FALSE),"")</f>
        <v/>
      </c>
      <c r="S104">
        <f t="shared" si="15"/>
        <v>0</v>
      </c>
      <c r="V104" t="str">
        <f>IFERROR(VLOOKUP(U104,tbFactorMes,2,FALSE),"")</f>
        <v/>
      </c>
      <c r="W104">
        <f t="shared" si="16"/>
        <v>0</v>
      </c>
      <c r="Z104" t="str">
        <f>IFERROR(VLOOKUP(Y104,tbFactorMes,2,FALSE),"")</f>
        <v/>
      </c>
      <c r="AA104">
        <f t="shared" si="17"/>
        <v>0</v>
      </c>
      <c r="AD104" t="str">
        <f>IFERROR(VLOOKUP(AC104,tbFactorMes,2,FALSE),"")</f>
        <v/>
      </c>
      <c r="AE104">
        <f t="shared" si="18"/>
        <v>0</v>
      </c>
      <c r="AH104" t="str">
        <f>IFERROR(VLOOKUP(AG104,tbFactorMes,2,FALSE),"")</f>
        <v/>
      </c>
      <c r="AI104">
        <f t="shared" si="19"/>
        <v>0</v>
      </c>
      <c r="AL104" t="str">
        <f>IFERROR(VLOOKUP(AK104,tbFactorMes,2,FALSE),"")</f>
        <v/>
      </c>
      <c r="AM104">
        <f t="shared" si="20"/>
        <v>0</v>
      </c>
      <c r="AP104" t="str">
        <f>IFERROR(VLOOKUP(AO104,tbFactorMes,2,FALSE),"")</f>
        <v/>
      </c>
      <c r="AQ104">
        <f t="shared" si="21"/>
        <v>0</v>
      </c>
      <c r="AT104" t="str">
        <f>IFERROR(VLOOKUP(AS104,tbFactorMes,2,FALSE),"")</f>
        <v/>
      </c>
      <c r="AU104">
        <f t="shared" si="22"/>
        <v>0</v>
      </c>
      <c r="AX104" t="str">
        <f>IFERROR(VLOOKUP(AW104,tbFactorMes,2,FALSE),"")</f>
        <v/>
      </c>
      <c r="AY104">
        <f t="shared" si="23"/>
        <v>0</v>
      </c>
      <c r="BB104" t="str">
        <f>IFERROR(VLOOKUP(BA104,tbFactorMes,2,FALSE),"")</f>
        <v/>
      </c>
      <c r="BC104">
        <f t="shared" si="24"/>
        <v>0</v>
      </c>
      <c r="BF104" t="str">
        <f>IFERROR(VLOOKUP(BE104,tbFactorMes,2,FALSE),"")</f>
        <v/>
      </c>
      <c r="BG104">
        <f t="shared" si="25"/>
        <v>0</v>
      </c>
      <c r="BH104">
        <f t="shared" si="26"/>
        <v>0</v>
      </c>
      <c r="BI104">
        <f t="shared" si="27"/>
        <v>0</v>
      </c>
    </row>
    <row r="105" spans="11:61" x14ac:dyDescent="0.35">
      <c r="K105" t="str">
        <f>IFERROR(VLOOKUP(F105,tbTurnos,3,FALSE),"")</f>
        <v/>
      </c>
      <c r="N105" t="str">
        <f>IFERROR(VLOOKUP(M105,tbFactorMes,2,FALSE),"")</f>
        <v/>
      </c>
      <c r="O105">
        <f t="shared" si="14"/>
        <v>0</v>
      </c>
      <c r="R105" t="str">
        <f>IFERROR(VLOOKUP(Q105,tbFactorMes,2,FALSE),"")</f>
        <v/>
      </c>
      <c r="S105">
        <f t="shared" si="15"/>
        <v>0</v>
      </c>
      <c r="V105" t="str">
        <f>IFERROR(VLOOKUP(U105,tbFactorMes,2,FALSE),"")</f>
        <v/>
      </c>
      <c r="W105">
        <f t="shared" si="16"/>
        <v>0</v>
      </c>
      <c r="Z105" t="str">
        <f>IFERROR(VLOOKUP(Y105,tbFactorMes,2,FALSE),"")</f>
        <v/>
      </c>
      <c r="AA105">
        <f t="shared" si="17"/>
        <v>0</v>
      </c>
      <c r="AD105" t="str">
        <f>IFERROR(VLOOKUP(AC105,tbFactorMes,2,FALSE),"")</f>
        <v/>
      </c>
      <c r="AE105">
        <f t="shared" si="18"/>
        <v>0</v>
      </c>
      <c r="AH105" t="str">
        <f>IFERROR(VLOOKUP(AG105,tbFactorMes,2,FALSE),"")</f>
        <v/>
      </c>
      <c r="AI105">
        <f t="shared" si="19"/>
        <v>0</v>
      </c>
      <c r="AL105" t="str">
        <f>IFERROR(VLOOKUP(AK105,tbFactorMes,2,FALSE),"")</f>
        <v/>
      </c>
      <c r="AM105">
        <f t="shared" si="20"/>
        <v>0</v>
      </c>
      <c r="AP105" t="str">
        <f>IFERROR(VLOOKUP(AO105,tbFactorMes,2,FALSE),"")</f>
        <v/>
      </c>
      <c r="AQ105">
        <f t="shared" si="21"/>
        <v>0</v>
      </c>
      <c r="AT105" t="str">
        <f>IFERROR(VLOOKUP(AS105,tbFactorMes,2,FALSE),"")</f>
        <v/>
      </c>
      <c r="AU105">
        <f t="shared" si="22"/>
        <v>0</v>
      </c>
      <c r="AX105" t="str">
        <f>IFERROR(VLOOKUP(AW105,tbFactorMes,2,FALSE),"")</f>
        <v/>
      </c>
      <c r="AY105">
        <f t="shared" si="23"/>
        <v>0</v>
      </c>
      <c r="BB105" t="str">
        <f>IFERROR(VLOOKUP(BA105,tbFactorMes,2,FALSE),"")</f>
        <v/>
      </c>
      <c r="BC105">
        <f t="shared" si="24"/>
        <v>0</v>
      </c>
      <c r="BF105" t="str">
        <f>IFERROR(VLOOKUP(BE105,tbFactorMes,2,FALSE),"")</f>
        <v/>
      </c>
      <c r="BG105">
        <f t="shared" si="25"/>
        <v>0</v>
      </c>
      <c r="BH105">
        <f t="shared" si="26"/>
        <v>0</v>
      </c>
      <c r="BI105">
        <f t="shared" si="27"/>
        <v>0</v>
      </c>
    </row>
    <row r="106" spans="11:61" x14ac:dyDescent="0.35">
      <c r="K106" t="str">
        <f>IFERROR(VLOOKUP(F106,tbTurnos,3,FALSE),"")</f>
        <v/>
      </c>
      <c r="N106" t="str">
        <f>IFERROR(VLOOKUP(M106,tbFactorMes,2,FALSE),"")</f>
        <v/>
      </c>
      <c r="O106">
        <f t="shared" si="14"/>
        <v>0</v>
      </c>
      <c r="R106" t="str">
        <f>IFERROR(VLOOKUP(Q106,tbFactorMes,2,FALSE),"")</f>
        <v/>
      </c>
      <c r="S106">
        <f t="shared" si="15"/>
        <v>0</v>
      </c>
      <c r="V106" t="str">
        <f>IFERROR(VLOOKUP(U106,tbFactorMes,2,FALSE),"")</f>
        <v/>
      </c>
      <c r="W106">
        <f t="shared" si="16"/>
        <v>0</v>
      </c>
      <c r="Z106" t="str">
        <f>IFERROR(VLOOKUP(Y106,tbFactorMes,2,FALSE),"")</f>
        <v/>
      </c>
      <c r="AA106">
        <f t="shared" si="17"/>
        <v>0</v>
      </c>
      <c r="AD106" t="str">
        <f>IFERROR(VLOOKUP(AC106,tbFactorMes,2,FALSE),"")</f>
        <v/>
      </c>
      <c r="AE106">
        <f t="shared" si="18"/>
        <v>0</v>
      </c>
      <c r="AH106" t="str">
        <f>IFERROR(VLOOKUP(AG106,tbFactorMes,2,FALSE),"")</f>
        <v/>
      </c>
      <c r="AI106">
        <f t="shared" si="19"/>
        <v>0</v>
      </c>
      <c r="AL106" t="str">
        <f>IFERROR(VLOOKUP(AK106,tbFactorMes,2,FALSE),"")</f>
        <v/>
      </c>
      <c r="AM106">
        <f t="shared" si="20"/>
        <v>0</v>
      </c>
      <c r="AP106" t="str">
        <f>IFERROR(VLOOKUP(AO106,tbFactorMes,2,FALSE),"")</f>
        <v/>
      </c>
      <c r="AQ106">
        <f t="shared" si="21"/>
        <v>0</v>
      </c>
      <c r="AT106" t="str">
        <f>IFERROR(VLOOKUP(AS106,tbFactorMes,2,FALSE),"")</f>
        <v/>
      </c>
      <c r="AU106">
        <f t="shared" si="22"/>
        <v>0</v>
      </c>
      <c r="AX106" t="str">
        <f>IFERROR(VLOOKUP(AW106,tbFactorMes,2,FALSE),"")</f>
        <v/>
      </c>
      <c r="AY106">
        <f t="shared" si="23"/>
        <v>0</v>
      </c>
      <c r="BB106" t="str">
        <f>IFERROR(VLOOKUP(BA106,tbFactorMes,2,FALSE),"")</f>
        <v/>
      </c>
      <c r="BC106">
        <f t="shared" si="24"/>
        <v>0</v>
      </c>
      <c r="BF106" t="str">
        <f>IFERROR(VLOOKUP(BE106,tbFactorMes,2,FALSE),"")</f>
        <v/>
      </c>
      <c r="BG106">
        <f t="shared" si="25"/>
        <v>0</v>
      </c>
      <c r="BH106">
        <f t="shared" si="26"/>
        <v>0</v>
      </c>
      <c r="BI106">
        <f t="shared" si="27"/>
        <v>0</v>
      </c>
    </row>
    <row r="107" spans="11:61" x14ac:dyDescent="0.35">
      <c r="K107" t="str">
        <f>IFERROR(VLOOKUP(F107,tbTurnos,3,FALSE),"")</f>
        <v/>
      </c>
      <c r="N107" t="str">
        <f>IFERROR(VLOOKUP(M107,tbFactorMes,2,FALSE),"")</f>
        <v/>
      </c>
      <c r="O107">
        <f t="shared" si="14"/>
        <v>0</v>
      </c>
      <c r="R107" t="str">
        <f>IFERROR(VLOOKUP(Q107,tbFactorMes,2,FALSE),"")</f>
        <v/>
      </c>
      <c r="S107">
        <f t="shared" si="15"/>
        <v>0</v>
      </c>
      <c r="V107" t="str">
        <f>IFERROR(VLOOKUP(U107,tbFactorMes,2,FALSE),"")</f>
        <v/>
      </c>
      <c r="W107">
        <f t="shared" si="16"/>
        <v>0</v>
      </c>
      <c r="Z107" t="str">
        <f>IFERROR(VLOOKUP(Y107,tbFactorMes,2,FALSE),"")</f>
        <v/>
      </c>
      <c r="AA107">
        <f t="shared" si="17"/>
        <v>0</v>
      </c>
      <c r="AD107" t="str">
        <f>IFERROR(VLOOKUP(AC107,tbFactorMes,2,FALSE),"")</f>
        <v/>
      </c>
      <c r="AE107">
        <f t="shared" si="18"/>
        <v>0</v>
      </c>
      <c r="AH107" t="str">
        <f>IFERROR(VLOOKUP(AG107,tbFactorMes,2,FALSE),"")</f>
        <v/>
      </c>
      <c r="AI107">
        <f t="shared" si="19"/>
        <v>0</v>
      </c>
      <c r="AL107" t="str">
        <f>IFERROR(VLOOKUP(AK107,tbFactorMes,2,FALSE),"")</f>
        <v/>
      </c>
      <c r="AM107">
        <f t="shared" si="20"/>
        <v>0</v>
      </c>
      <c r="AP107" t="str">
        <f>IFERROR(VLOOKUP(AO107,tbFactorMes,2,FALSE),"")</f>
        <v/>
      </c>
      <c r="AQ107">
        <f t="shared" si="21"/>
        <v>0</v>
      </c>
      <c r="AT107" t="str">
        <f>IFERROR(VLOOKUP(AS107,tbFactorMes,2,FALSE),"")</f>
        <v/>
      </c>
      <c r="AU107">
        <f t="shared" si="22"/>
        <v>0</v>
      </c>
      <c r="AX107" t="str">
        <f>IFERROR(VLOOKUP(AW107,tbFactorMes,2,FALSE),"")</f>
        <v/>
      </c>
      <c r="AY107">
        <f t="shared" si="23"/>
        <v>0</v>
      </c>
      <c r="BB107" t="str">
        <f>IFERROR(VLOOKUP(BA107,tbFactorMes,2,FALSE),"")</f>
        <v/>
      </c>
      <c r="BC107">
        <f t="shared" si="24"/>
        <v>0</v>
      </c>
      <c r="BF107" t="str">
        <f>IFERROR(VLOOKUP(BE107,tbFactorMes,2,FALSE),"")</f>
        <v/>
      </c>
      <c r="BG107">
        <f t="shared" si="25"/>
        <v>0</v>
      </c>
      <c r="BH107">
        <f t="shared" si="26"/>
        <v>0</v>
      </c>
      <c r="BI107">
        <f t="shared" si="27"/>
        <v>0</v>
      </c>
    </row>
    <row r="108" spans="11:61" x14ac:dyDescent="0.35">
      <c r="K108" t="str">
        <f>IFERROR(VLOOKUP(F108,tbTurnos,3,FALSE),"")</f>
        <v/>
      </c>
      <c r="N108" t="str">
        <f>IFERROR(VLOOKUP(M108,tbFactorMes,2,FALSE),"")</f>
        <v/>
      </c>
      <c r="O108">
        <f t="shared" si="14"/>
        <v>0</v>
      </c>
      <c r="R108" t="str">
        <f>IFERROR(VLOOKUP(Q108,tbFactorMes,2,FALSE),"")</f>
        <v/>
      </c>
      <c r="S108">
        <f t="shared" si="15"/>
        <v>0</v>
      </c>
      <c r="V108" t="str">
        <f>IFERROR(VLOOKUP(U108,tbFactorMes,2,FALSE),"")</f>
        <v/>
      </c>
      <c r="W108">
        <f t="shared" si="16"/>
        <v>0</v>
      </c>
      <c r="Z108" t="str">
        <f>IFERROR(VLOOKUP(Y108,tbFactorMes,2,FALSE),"")</f>
        <v/>
      </c>
      <c r="AA108">
        <f t="shared" si="17"/>
        <v>0</v>
      </c>
      <c r="AD108" t="str">
        <f>IFERROR(VLOOKUP(AC108,tbFactorMes,2,FALSE),"")</f>
        <v/>
      </c>
      <c r="AE108">
        <f t="shared" si="18"/>
        <v>0</v>
      </c>
      <c r="AH108" t="str">
        <f>IFERROR(VLOOKUP(AG108,tbFactorMes,2,FALSE),"")</f>
        <v/>
      </c>
      <c r="AI108">
        <f t="shared" si="19"/>
        <v>0</v>
      </c>
      <c r="AL108" t="str">
        <f>IFERROR(VLOOKUP(AK108,tbFactorMes,2,FALSE),"")</f>
        <v/>
      </c>
      <c r="AM108">
        <f t="shared" si="20"/>
        <v>0</v>
      </c>
      <c r="AP108" t="str">
        <f>IFERROR(VLOOKUP(AO108,tbFactorMes,2,FALSE),"")</f>
        <v/>
      </c>
      <c r="AQ108">
        <f t="shared" si="21"/>
        <v>0</v>
      </c>
      <c r="AT108" t="str">
        <f>IFERROR(VLOOKUP(AS108,tbFactorMes,2,FALSE),"")</f>
        <v/>
      </c>
      <c r="AU108">
        <f t="shared" si="22"/>
        <v>0</v>
      </c>
      <c r="AX108" t="str">
        <f>IFERROR(VLOOKUP(AW108,tbFactorMes,2,FALSE),"")</f>
        <v/>
      </c>
      <c r="AY108">
        <f t="shared" si="23"/>
        <v>0</v>
      </c>
      <c r="BB108" t="str">
        <f>IFERROR(VLOOKUP(BA108,tbFactorMes,2,FALSE),"")</f>
        <v/>
      </c>
      <c r="BC108">
        <f t="shared" si="24"/>
        <v>0</v>
      </c>
      <c r="BF108" t="str">
        <f>IFERROR(VLOOKUP(BE108,tbFactorMes,2,FALSE),"")</f>
        <v/>
      </c>
      <c r="BG108">
        <f t="shared" si="25"/>
        <v>0</v>
      </c>
      <c r="BH108">
        <f t="shared" si="26"/>
        <v>0</v>
      </c>
      <c r="BI108">
        <f t="shared" si="27"/>
        <v>0</v>
      </c>
    </row>
    <row r="109" spans="11:61" x14ac:dyDescent="0.35">
      <c r="K109" t="str">
        <f>IFERROR(VLOOKUP(F109,tbTurnos,3,FALSE),"")</f>
        <v/>
      </c>
      <c r="N109" t="str">
        <f>IFERROR(VLOOKUP(M109,tbFactorMes,2,FALSE),"")</f>
        <v/>
      </c>
      <c r="O109">
        <f t="shared" si="14"/>
        <v>0</v>
      </c>
      <c r="R109" t="str">
        <f>IFERROR(VLOOKUP(Q109,tbFactorMes,2,FALSE),"")</f>
        <v/>
      </c>
      <c r="S109">
        <f t="shared" si="15"/>
        <v>0</v>
      </c>
      <c r="V109" t="str">
        <f>IFERROR(VLOOKUP(U109,tbFactorMes,2,FALSE),"")</f>
        <v/>
      </c>
      <c r="W109">
        <f t="shared" si="16"/>
        <v>0</v>
      </c>
      <c r="Z109" t="str">
        <f>IFERROR(VLOOKUP(Y109,tbFactorMes,2,FALSE),"")</f>
        <v/>
      </c>
      <c r="AA109">
        <f t="shared" si="17"/>
        <v>0</v>
      </c>
      <c r="AD109" t="str">
        <f>IFERROR(VLOOKUP(AC109,tbFactorMes,2,FALSE),"")</f>
        <v/>
      </c>
      <c r="AE109">
        <f t="shared" si="18"/>
        <v>0</v>
      </c>
      <c r="AH109" t="str">
        <f>IFERROR(VLOOKUP(AG109,tbFactorMes,2,FALSE),"")</f>
        <v/>
      </c>
      <c r="AI109">
        <f t="shared" si="19"/>
        <v>0</v>
      </c>
      <c r="AL109" t="str">
        <f>IFERROR(VLOOKUP(AK109,tbFactorMes,2,FALSE),"")</f>
        <v/>
      </c>
      <c r="AM109">
        <f t="shared" si="20"/>
        <v>0</v>
      </c>
      <c r="AP109" t="str">
        <f>IFERROR(VLOOKUP(AO109,tbFactorMes,2,FALSE),"")</f>
        <v/>
      </c>
      <c r="AQ109">
        <f t="shared" si="21"/>
        <v>0</v>
      </c>
      <c r="AT109" t="str">
        <f>IFERROR(VLOOKUP(AS109,tbFactorMes,2,FALSE),"")</f>
        <v/>
      </c>
      <c r="AU109">
        <f t="shared" si="22"/>
        <v>0</v>
      </c>
      <c r="AX109" t="str">
        <f>IFERROR(VLOOKUP(AW109,tbFactorMes,2,FALSE),"")</f>
        <v/>
      </c>
      <c r="AY109">
        <f t="shared" si="23"/>
        <v>0</v>
      </c>
      <c r="BB109" t="str">
        <f>IFERROR(VLOOKUP(BA109,tbFactorMes,2,FALSE),"")</f>
        <v/>
      </c>
      <c r="BC109">
        <f t="shared" si="24"/>
        <v>0</v>
      </c>
      <c r="BF109" t="str">
        <f>IFERROR(VLOOKUP(BE109,tbFactorMes,2,FALSE),"")</f>
        <v/>
      </c>
      <c r="BG109">
        <f t="shared" si="25"/>
        <v>0</v>
      </c>
      <c r="BH109">
        <f t="shared" si="26"/>
        <v>0</v>
      </c>
      <c r="BI109">
        <f t="shared" si="27"/>
        <v>0</v>
      </c>
    </row>
    <row r="110" spans="11:61" x14ac:dyDescent="0.35">
      <c r="K110" t="str">
        <f>IFERROR(VLOOKUP(F110,tbTurnos,3,FALSE),"")</f>
        <v/>
      </c>
      <c r="N110" t="str">
        <f>IFERROR(VLOOKUP(M110,tbFactorMes,2,FALSE),"")</f>
        <v/>
      </c>
      <c r="O110">
        <f t="shared" si="14"/>
        <v>0</v>
      </c>
      <c r="R110" t="str">
        <f>IFERROR(VLOOKUP(Q110,tbFactorMes,2,FALSE),"")</f>
        <v/>
      </c>
      <c r="S110">
        <f t="shared" si="15"/>
        <v>0</v>
      </c>
      <c r="V110" t="str">
        <f>IFERROR(VLOOKUP(U110,tbFactorMes,2,FALSE),"")</f>
        <v/>
      </c>
      <c r="W110">
        <f t="shared" si="16"/>
        <v>0</v>
      </c>
      <c r="Z110" t="str">
        <f>IFERROR(VLOOKUP(Y110,tbFactorMes,2,FALSE),"")</f>
        <v/>
      </c>
      <c r="AA110">
        <f t="shared" si="17"/>
        <v>0</v>
      </c>
      <c r="AD110" t="str">
        <f>IFERROR(VLOOKUP(AC110,tbFactorMes,2,FALSE),"")</f>
        <v/>
      </c>
      <c r="AE110">
        <f t="shared" si="18"/>
        <v>0</v>
      </c>
      <c r="AH110" t="str">
        <f>IFERROR(VLOOKUP(AG110,tbFactorMes,2,FALSE),"")</f>
        <v/>
      </c>
      <c r="AI110">
        <f t="shared" si="19"/>
        <v>0</v>
      </c>
      <c r="AL110" t="str">
        <f>IFERROR(VLOOKUP(AK110,tbFactorMes,2,FALSE),"")</f>
        <v/>
      </c>
      <c r="AM110">
        <f t="shared" si="20"/>
        <v>0</v>
      </c>
      <c r="AP110" t="str">
        <f>IFERROR(VLOOKUP(AO110,tbFactorMes,2,FALSE),"")</f>
        <v/>
      </c>
      <c r="AQ110">
        <f t="shared" si="21"/>
        <v>0</v>
      </c>
      <c r="AT110" t="str">
        <f>IFERROR(VLOOKUP(AS110,tbFactorMes,2,FALSE),"")</f>
        <v/>
      </c>
      <c r="AU110">
        <f t="shared" si="22"/>
        <v>0</v>
      </c>
      <c r="AX110" t="str">
        <f>IFERROR(VLOOKUP(AW110,tbFactorMes,2,FALSE),"")</f>
        <v/>
      </c>
      <c r="AY110">
        <f t="shared" si="23"/>
        <v>0</v>
      </c>
      <c r="BB110" t="str">
        <f>IFERROR(VLOOKUP(BA110,tbFactorMes,2,FALSE),"")</f>
        <v/>
      </c>
      <c r="BC110">
        <f t="shared" si="24"/>
        <v>0</v>
      </c>
      <c r="BF110" t="str">
        <f>IFERROR(VLOOKUP(BE110,tbFactorMes,2,FALSE),"")</f>
        <v/>
      </c>
      <c r="BG110">
        <f t="shared" si="25"/>
        <v>0</v>
      </c>
      <c r="BH110">
        <f t="shared" si="26"/>
        <v>0</v>
      </c>
      <c r="BI110">
        <f t="shared" si="27"/>
        <v>0</v>
      </c>
    </row>
    <row r="111" spans="11:61" x14ac:dyDescent="0.35">
      <c r="K111" t="str">
        <f>IFERROR(VLOOKUP(F111,tbTurnos,3,FALSE),"")</f>
        <v/>
      </c>
      <c r="N111" t="str">
        <f>IFERROR(VLOOKUP(M111,tbFactorMes,2,FALSE),"")</f>
        <v/>
      </c>
      <c r="O111">
        <f t="shared" si="14"/>
        <v>0</v>
      </c>
      <c r="R111" t="str">
        <f>IFERROR(VLOOKUP(Q111,tbFactorMes,2,FALSE),"")</f>
        <v/>
      </c>
      <c r="S111">
        <f t="shared" si="15"/>
        <v>0</v>
      </c>
      <c r="V111" t="str">
        <f>IFERROR(VLOOKUP(U111,tbFactorMes,2,FALSE),"")</f>
        <v/>
      </c>
      <c r="W111">
        <f t="shared" si="16"/>
        <v>0</v>
      </c>
      <c r="Z111" t="str">
        <f>IFERROR(VLOOKUP(Y111,tbFactorMes,2,FALSE),"")</f>
        <v/>
      </c>
      <c r="AA111">
        <f t="shared" si="17"/>
        <v>0</v>
      </c>
      <c r="AD111" t="str">
        <f>IFERROR(VLOOKUP(AC111,tbFactorMes,2,FALSE),"")</f>
        <v/>
      </c>
      <c r="AE111">
        <f t="shared" si="18"/>
        <v>0</v>
      </c>
      <c r="AH111" t="str">
        <f>IFERROR(VLOOKUP(AG111,tbFactorMes,2,FALSE),"")</f>
        <v/>
      </c>
      <c r="AI111">
        <f t="shared" si="19"/>
        <v>0</v>
      </c>
      <c r="AL111" t="str">
        <f>IFERROR(VLOOKUP(AK111,tbFactorMes,2,FALSE),"")</f>
        <v/>
      </c>
      <c r="AM111">
        <f t="shared" si="20"/>
        <v>0</v>
      </c>
      <c r="AP111" t="str">
        <f>IFERROR(VLOOKUP(AO111,tbFactorMes,2,FALSE),"")</f>
        <v/>
      </c>
      <c r="AQ111">
        <f t="shared" si="21"/>
        <v>0</v>
      </c>
      <c r="AT111" t="str">
        <f>IFERROR(VLOOKUP(AS111,tbFactorMes,2,FALSE),"")</f>
        <v/>
      </c>
      <c r="AU111">
        <f t="shared" si="22"/>
        <v>0</v>
      </c>
      <c r="AX111" t="str">
        <f>IFERROR(VLOOKUP(AW111,tbFactorMes,2,FALSE),"")</f>
        <v/>
      </c>
      <c r="AY111">
        <f t="shared" si="23"/>
        <v>0</v>
      </c>
      <c r="BB111" t="str">
        <f>IFERROR(VLOOKUP(BA111,tbFactorMes,2,FALSE),"")</f>
        <v/>
      </c>
      <c r="BC111">
        <f t="shared" si="24"/>
        <v>0</v>
      </c>
      <c r="BF111" t="str">
        <f>IFERROR(VLOOKUP(BE111,tbFactorMes,2,FALSE),"")</f>
        <v/>
      </c>
      <c r="BG111">
        <f t="shared" si="25"/>
        <v>0</v>
      </c>
      <c r="BH111">
        <f t="shared" si="26"/>
        <v>0</v>
      </c>
      <c r="BI111">
        <f t="shared" si="27"/>
        <v>0</v>
      </c>
    </row>
    <row r="112" spans="11:61" x14ac:dyDescent="0.35">
      <c r="K112" t="str">
        <f>IFERROR(VLOOKUP(F112,tbTurnos,3,FALSE),"")</f>
        <v/>
      </c>
      <c r="N112" t="str">
        <f>IFERROR(VLOOKUP(M112,tbFactorMes,2,FALSE),"")</f>
        <v/>
      </c>
      <c r="O112">
        <f t="shared" si="14"/>
        <v>0</v>
      </c>
      <c r="R112" t="str">
        <f>IFERROR(VLOOKUP(Q112,tbFactorMes,2,FALSE),"")</f>
        <v/>
      </c>
      <c r="S112">
        <f t="shared" si="15"/>
        <v>0</v>
      </c>
      <c r="V112" t="str">
        <f>IFERROR(VLOOKUP(U112,tbFactorMes,2,FALSE),"")</f>
        <v/>
      </c>
      <c r="W112">
        <f t="shared" si="16"/>
        <v>0</v>
      </c>
      <c r="Z112" t="str">
        <f>IFERROR(VLOOKUP(Y112,tbFactorMes,2,FALSE),"")</f>
        <v/>
      </c>
      <c r="AA112">
        <f t="shared" si="17"/>
        <v>0</v>
      </c>
      <c r="AD112" t="str">
        <f>IFERROR(VLOOKUP(AC112,tbFactorMes,2,FALSE),"")</f>
        <v/>
      </c>
      <c r="AE112">
        <f t="shared" si="18"/>
        <v>0</v>
      </c>
      <c r="AH112" t="str">
        <f>IFERROR(VLOOKUP(AG112,tbFactorMes,2,FALSE),"")</f>
        <v/>
      </c>
      <c r="AI112">
        <f t="shared" si="19"/>
        <v>0</v>
      </c>
      <c r="AL112" t="str">
        <f>IFERROR(VLOOKUP(AK112,tbFactorMes,2,FALSE),"")</f>
        <v/>
      </c>
      <c r="AM112">
        <f t="shared" si="20"/>
        <v>0</v>
      </c>
      <c r="AP112" t="str">
        <f>IFERROR(VLOOKUP(AO112,tbFactorMes,2,FALSE),"")</f>
        <v/>
      </c>
      <c r="AQ112">
        <f t="shared" si="21"/>
        <v>0</v>
      </c>
      <c r="AT112" t="str">
        <f>IFERROR(VLOOKUP(AS112,tbFactorMes,2,FALSE),"")</f>
        <v/>
      </c>
      <c r="AU112">
        <f t="shared" si="22"/>
        <v>0</v>
      </c>
      <c r="AX112" t="str">
        <f>IFERROR(VLOOKUP(AW112,tbFactorMes,2,FALSE),"")</f>
        <v/>
      </c>
      <c r="AY112">
        <f t="shared" si="23"/>
        <v>0</v>
      </c>
      <c r="BB112" t="str">
        <f>IFERROR(VLOOKUP(BA112,tbFactorMes,2,FALSE),"")</f>
        <v/>
      </c>
      <c r="BC112">
        <f t="shared" si="24"/>
        <v>0</v>
      </c>
      <c r="BF112" t="str">
        <f>IFERROR(VLOOKUP(BE112,tbFactorMes,2,FALSE),"")</f>
        <v/>
      </c>
      <c r="BG112">
        <f t="shared" si="25"/>
        <v>0</v>
      </c>
      <c r="BH112">
        <f t="shared" si="26"/>
        <v>0</v>
      </c>
      <c r="BI112">
        <f t="shared" si="27"/>
        <v>0</v>
      </c>
    </row>
    <row r="113" spans="11:61" x14ac:dyDescent="0.35">
      <c r="K113" t="str">
        <f>IFERROR(VLOOKUP(F113,tbTurnos,3,FALSE),"")</f>
        <v/>
      </c>
      <c r="N113" t="str">
        <f>IFERROR(VLOOKUP(M113,tbFactorMes,2,FALSE),"")</f>
        <v/>
      </c>
      <c r="O113">
        <f t="shared" si="14"/>
        <v>0</v>
      </c>
      <c r="R113" t="str">
        <f>IFERROR(VLOOKUP(Q113,tbFactorMes,2,FALSE),"")</f>
        <v/>
      </c>
      <c r="S113">
        <f t="shared" si="15"/>
        <v>0</v>
      </c>
      <c r="V113" t="str">
        <f>IFERROR(VLOOKUP(U113,tbFactorMes,2,FALSE),"")</f>
        <v/>
      </c>
      <c r="W113">
        <f t="shared" si="16"/>
        <v>0</v>
      </c>
      <c r="Z113" t="str">
        <f>IFERROR(VLOOKUP(Y113,tbFactorMes,2,FALSE),"")</f>
        <v/>
      </c>
      <c r="AA113">
        <f t="shared" si="17"/>
        <v>0</v>
      </c>
      <c r="AD113" t="str">
        <f>IFERROR(VLOOKUP(AC113,tbFactorMes,2,FALSE),"")</f>
        <v/>
      </c>
      <c r="AE113">
        <f t="shared" si="18"/>
        <v>0</v>
      </c>
      <c r="AH113" t="str">
        <f>IFERROR(VLOOKUP(AG113,tbFactorMes,2,FALSE),"")</f>
        <v/>
      </c>
      <c r="AI113">
        <f t="shared" si="19"/>
        <v>0</v>
      </c>
      <c r="AL113" t="str">
        <f>IFERROR(VLOOKUP(AK113,tbFactorMes,2,FALSE),"")</f>
        <v/>
      </c>
      <c r="AM113">
        <f t="shared" si="20"/>
        <v>0</v>
      </c>
      <c r="AP113" t="str">
        <f>IFERROR(VLOOKUP(AO113,tbFactorMes,2,FALSE),"")</f>
        <v/>
      </c>
      <c r="AQ113">
        <f t="shared" si="21"/>
        <v>0</v>
      </c>
      <c r="AT113" t="str">
        <f>IFERROR(VLOOKUP(AS113,tbFactorMes,2,FALSE),"")</f>
        <v/>
      </c>
      <c r="AU113">
        <f t="shared" si="22"/>
        <v>0</v>
      </c>
      <c r="AX113" t="str">
        <f>IFERROR(VLOOKUP(AW113,tbFactorMes,2,FALSE),"")</f>
        <v/>
      </c>
      <c r="AY113">
        <f t="shared" si="23"/>
        <v>0</v>
      </c>
      <c r="BB113" t="str">
        <f>IFERROR(VLOOKUP(BA113,tbFactorMes,2,FALSE),"")</f>
        <v/>
      </c>
      <c r="BC113">
        <f t="shared" si="24"/>
        <v>0</v>
      </c>
      <c r="BF113" t="str">
        <f>IFERROR(VLOOKUP(BE113,tbFactorMes,2,FALSE),"")</f>
        <v/>
      </c>
      <c r="BG113">
        <f t="shared" si="25"/>
        <v>0</v>
      </c>
      <c r="BH113">
        <f t="shared" si="26"/>
        <v>0</v>
      </c>
      <c r="BI113">
        <f t="shared" si="27"/>
        <v>0</v>
      </c>
    </row>
    <row r="114" spans="11:61" x14ac:dyDescent="0.35">
      <c r="K114" t="str">
        <f>IFERROR(VLOOKUP(F114,tbTurnos,3,FALSE),"")</f>
        <v/>
      </c>
      <c r="N114" t="str">
        <f>IFERROR(VLOOKUP(M114,tbFactorMes,2,FALSE),"")</f>
        <v/>
      </c>
      <c r="O114">
        <f t="shared" si="14"/>
        <v>0</v>
      </c>
      <c r="R114" t="str">
        <f>IFERROR(VLOOKUP(Q114,tbFactorMes,2,FALSE),"")</f>
        <v/>
      </c>
      <c r="S114">
        <f t="shared" si="15"/>
        <v>0</v>
      </c>
      <c r="V114" t="str">
        <f>IFERROR(VLOOKUP(U114,tbFactorMes,2,FALSE),"")</f>
        <v/>
      </c>
      <c r="W114">
        <f t="shared" si="16"/>
        <v>0</v>
      </c>
      <c r="Z114" t="str">
        <f>IFERROR(VLOOKUP(Y114,tbFactorMes,2,FALSE),"")</f>
        <v/>
      </c>
      <c r="AA114">
        <f t="shared" si="17"/>
        <v>0</v>
      </c>
      <c r="AD114" t="str">
        <f>IFERROR(VLOOKUP(AC114,tbFactorMes,2,FALSE),"")</f>
        <v/>
      </c>
      <c r="AE114">
        <f t="shared" si="18"/>
        <v>0</v>
      </c>
      <c r="AH114" t="str">
        <f>IFERROR(VLOOKUP(AG114,tbFactorMes,2,FALSE),"")</f>
        <v/>
      </c>
      <c r="AI114">
        <f t="shared" si="19"/>
        <v>0</v>
      </c>
      <c r="AL114" t="str">
        <f>IFERROR(VLOOKUP(AK114,tbFactorMes,2,FALSE),"")</f>
        <v/>
      </c>
      <c r="AM114">
        <f t="shared" si="20"/>
        <v>0</v>
      </c>
      <c r="AP114" t="str">
        <f>IFERROR(VLOOKUP(AO114,tbFactorMes,2,FALSE),"")</f>
        <v/>
      </c>
      <c r="AQ114">
        <f t="shared" si="21"/>
        <v>0</v>
      </c>
      <c r="AT114" t="str">
        <f>IFERROR(VLOOKUP(AS114,tbFactorMes,2,FALSE),"")</f>
        <v/>
      </c>
      <c r="AU114">
        <f t="shared" si="22"/>
        <v>0</v>
      </c>
      <c r="AX114" t="str">
        <f>IFERROR(VLOOKUP(AW114,tbFactorMes,2,FALSE),"")</f>
        <v/>
      </c>
      <c r="AY114">
        <f t="shared" si="23"/>
        <v>0</v>
      </c>
      <c r="BB114" t="str">
        <f>IFERROR(VLOOKUP(BA114,tbFactorMes,2,FALSE),"")</f>
        <v/>
      </c>
      <c r="BC114">
        <f t="shared" si="24"/>
        <v>0</v>
      </c>
      <c r="BF114" t="str">
        <f>IFERROR(VLOOKUP(BE114,tbFactorMes,2,FALSE),"")</f>
        <v/>
      </c>
      <c r="BG114">
        <f t="shared" si="25"/>
        <v>0</v>
      </c>
      <c r="BH114">
        <f t="shared" si="26"/>
        <v>0</v>
      </c>
      <c r="BI114">
        <f t="shared" si="27"/>
        <v>0</v>
      </c>
    </row>
    <row r="115" spans="11:61" x14ac:dyDescent="0.35">
      <c r="K115" t="str">
        <f>IFERROR(VLOOKUP(F115,tbTurnos,3,FALSE),"")</f>
        <v/>
      </c>
      <c r="N115" t="str">
        <f>IFERROR(VLOOKUP(M115,tbFactorMes,2,FALSE),"")</f>
        <v/>
      </c>
      <c r="O115">
        <f t="shared" si="14"/>
        <v>0</v>
      </c>
      <c r="R115" t="str">
        <f>IFERROR(VLOOKUP(Q115,tbFactorMes,2,FALSE),"")</f>
        <v/>
      </c>
      <c r="S115">
        <f t="shared" si="15"/>
        <v>0</v>
      </c>
      <c r="V115" t="str">
        <f>IFERROR(VLOOKUP(U115,tbFactorMes,2,FALSE),"")</f>
        <v/>
      </c>
      <c r="W115">
        <f t="shared" si="16"/>
        <v>0</v>
      </c>
      <c r="Z115" t="str">
        <f>IFERROR(VLOOKUP(Y115,tbFactorMes,2,FALSE),"")</f>
        <v/>
      </c>
      <c r="AA115">
        <f t="shared" si="17"/>
        <v>0</v>
      </c>
      <c r="AD115" t="str">
        <f>IFERROR(VLOOKUP(AC115,tbFactorMes,2,FALSE),"")</f>
        <v/>
      </c>
      <c r="AE115">
        <f t="shared" si="18"/>
        <v>0</v>
      </c>
      <c r="AH115" t="str">
        <f>IFERROR(VLOOKUP(AG115,tbFactorMes,2,FALSE),"")</f>
        <v/>
      </c>
      <c r="AI115">
        <f t="shared" si="19"/>
        <v>0</v>
      </c>
      <c r="AL115" t="str">
        <f>IFERROR(VLOOKUP(AK115,tbFactorMes,2,FALSE),"")</f>
        <v/>
      </c>
      <c r="AM115">
        <f t="shared" si="20"/>
        <v>0</v>
      </c>
      <c r="AP115" t="str">
        <f>IFERROR(VLOOKUP(AO115,tbFactorMes,2,FALSE),"")</f>
        <v/>
      </c>
      <c r="AQ115">
        <f t="shared" si="21"/>
        <v>0</v>
      </c>
      <c r="AT115" t="str">
        <f>IFERROR(VLOOKUP(AS115,tbFactorMes,2,FALSE),"")</f>
        <v/>
      </c>
      <c r="AU115">
        <f t="shared" si="22"/>
        <v>0</v>
      </c>
      <c r="AX115" t="str">
        <f>IFERROR(VLOOKUP(AW115,tbFactorMes,2,FALSE),"")</f>
        <v/>
      </c>
      <c r="AY115">
        <f t="shared" si="23"/>
        <v>0</v>
      </c>
      <c r="BB115" t="str">
        <f>IFERROR(VLOOKUP(BA115,tbFactorMes,2,FALSE),"")</f>
        <v/>
      </c>
      <c r="BC115">
        <f t="shared" si="24"/>
        <v>0</v>
      </c>
      <c r="BF115" t="str">
        <f>IFERROR(VLOOKUP(BE115,tbFactorMes,2,FALSE),"")</f>
        <v/>
      </c>
      <c r="BG115">
        <f t="shared" si="25"/>
        <v>0</v>
      </c>
      <c r="BH115">
        <f t="shared" si="26"/>
        <v>0</v>
      </c>
      <c r="BI115">
        <f t="shared" si="27"/>
        <v>0</v>
      </c>
    </row>
    <row r="116" spans="11:61" x14ac:dyDescent="0.35">
      <c r="K116" t="str">
        <f>IFERROR(VLOOKUP(F116,tbTurnos,3,FALSE),"")</f>
        <v/>
      </c>
      <c r="N116" t="str">
        <f>IFERROR(VLOOKUP(M116,tbFactorMes,2,FALSE),"")</f>
        <v/>
      </c>
      <c r="O116">
        <f t="shared" si="14"/>
        <v>0</v>
      </c>
      <c r="R116" t="str">
        <f>IFERROR(VLOOKUP(Q116,tbFactorMes,2,FALSE),"")</f>
        <v/>
      </c>
      <c r="S116">
        <f t="shared" si="15"/>
        <v>0</v>
      </c>
      <c r="V116" t="str">
        <f>IFERROR(VLOOKUP(U116,tbFactorMes,2,FALSE),"")</f>
        <v/>
      </c>
      <c r="W116">
        <f t="shared" si="16"/>
        <v>0</v>
      </c>
      <c r="Z116" t="str">
        <f>IFERROR(VLOOKUP(Y116,tbFactorMes,2,FALSE),"")</f>
        <v/>
      </c>
      <c r="AA116">
        <f t="shared" si="17"/>
        <v>0</v>
      </c>
      <c r="AD116" t="str">
        <f>IFERROR(VLOOKUP(AC116,tbFactorMes,2,FALSE),"")</f>
        <v/>
      </c>
      <c r="AE116">
        <f t="shared" si="18"/>
        <v>0</v>
      </c>
      <c r="AH116" t="str">
        <f>IFERROR(VLOOKUP(AG116,tbFactorMes,2,FALSE),"")</f>
        <v/>
      </c>
      <c r="AI116">
        <f t="shared" si="19"/>
        <v>0</v>
      </c>
      <c r="AL116" t="str">
        <f>IFERROR(VLOOKUP(AK116,tbFactorMes,2,FALSE),"")</f>
        <v/>
      </c>
      <c r="AM116">
        <f t="shared" si="20"/>
        <v>0</v>
      </c>
      <c r="AP116" t="str">
        <f>IFERROR(VLOOKUP(AO116,tbFactorMes,2,FALSE),"")</f>
        <v/>
      </c>
      <c r="AQ116">
        <f t="shared" si="21"/>
        <v>0</v>
      </c>
      <c r="AT116" t="str">
        <f>IFERROR(VLOOKUP(AS116,tbFactorMes,2,FALSE),"")</f>
        <v/>
      </c>
      <c r="AU116">
        <f t="shared" si="22"/>
        <v>0</v>
      </c>
      <c r="AX116" t="str">
        <f>IFERROR(VLOOKUP(AW116,tbFactorMes,2,FALSE),"")</f>
        <v/>
      </c>
      <c r="AY116">
        <f t="shared" si="23"/>
        <v>0</v>
      </c>
      <c r="BB116" t="str">
        <f>IFERROR(VLOOKUP(BA116,tbFactorMes,2,FALSE),"")</f>
        <v/>
      </c>
      <c r="BC116">
        <f t="shared" si="24"/>
        <v>0</v>
      </c>
      <c r="BF116" t="str">
        <f>IFERROR(VLOOKUP(BE116,tbFactorMes,2,FALSE),"")</f>
        <v/>
      </c>
      <c r="BG116">
        <f t="shared" si="25"/>
        <v>0</v>
      </c>
      <c r="BH116">
        <f t="shared" si="26"/>
        <v>0</v>
      </c>
      <c r="BI116">
        <f t="shared" si="27"/>
        <v>0</v>
      </c>
    </row>
    <row r="117" spans="11:61" x14ac:dyDescent="0.35">
      <c r="K117" t="str">
        <f>IFERROR(VLOOKUP(F117,tbTurnos,3,FALSE),"")</f>
        <v/>
      </c>
      <c r="N117" t="str">
        <f>IFERROR(VLOOKUP(M117,tbFactorMes,2,FALSE),"")</f>
        <v/>
      </c>
      <c r="O117">
        <f t="shared" si="14"/>
        <v>0</v>
      </c>
      <c r="R117" t="str">
        <f>IFERROR(VLOOKUP(Q117,tbFactorMes,2,FALSE),"")</f>
        <v/>
      </c>
      <c r="S117">
        <f t="shared" si="15"/>
        <v>0</v>
      </c>
      <c r="V117" t="str">
        <f>IFERROR(VLOOKUP(U117,tbFactorMes,2,FALSE),"")</f>
        <v/>
      </c>
      <c r="W117">
        <f t="shared" si="16"/>
        <v>0</v>
      </c>
      <c r="Z117" t="str">
        <f>IFERROR(VLOOKUP(Y117,tbFactorMes,2,FALSE),"")</f>
        <v/>
      </c>
      <c r="AA117">
        <f t="shared" si="17"/>
        <v>0</v>
      </c>
      <c r="AD117" t="str">
        <f>IFERROR(VLOOKUP(AC117,tbFactorMes,2,FALSE),"")</f>
        <v/>
      </c>
      <c r="AE117">
        <f t="shared" si="18"/>
        <v>0</v>
      </c>
      <c r="AH117" t="str">
        <f>IFERROR(VLOOKUP(AG117,tbFactorMes,2,FALSE),"")</f>
        <v/>
      </c>
      <c r="AI117">
        <f t="shared" si="19"/>
        <v>0</v>
      </c>
      <c r="AL117" t="str">
        <f>IFERROR(VLOOKUP(AK117,tbFactorMes,2,FALSE),"")</f>
        <v/>
      </c>
      <c r="AM117">
        <f t="shared" si="20"/>
        <v>0</v>
      </c>
      <c r="AP117" t="str">
        <f>IFERROR(VLOOKUP(AO117,tbFactorMes,2,FALSE),"")</f>
        <v/>
      </c>
      <c r="AQ117">
        <f t="shared" si="21"/>
        <v>0</v>
      </c>
      <c r="AT117" t="str">
        <f>IFERROR(VLOOKUP(AS117,tbFactorMes,2,FALSE),"")</f>
        <v/>
      </c>
      <c r="AU117">
        <f t="shared" si="22"/>
        <v>0</v>
      </c>
      <c r="AX117" t="str">
        <f>IFERROR(VLOOKUP(AW117,tbFactorMes,2,FALSE),"")</f>
        <v/>
      </c>
      <c r="AY117">
        <f t="shared" si="23"/>
        <v>0</v>
      </c>
      <c r="BB117" t="str">
        <f>IFERROR(VLOOKUP(BA117,tbFactorMes,2,FALSE),"")</f>
        <v/>
      </c>
      <c r="BC117">
        <f t="shared" si="24"/>
        <v>0</v>
      </c>
      <c r="BF117" t="str">
        <f>IFERROR(VLOOKUP(BE117,tbFactorMes,2,FALSE),"")</f>
        <v/>
      </c>
      <c r="BG117">
        <f t="shared" si="25"/>
        <v>0</v>
      </c>
      <c r="BH117">
        <f t="shared" si="26"/>
        <v>0</v>
      </c>
      <c r="BI117">
        <f t="shared" si="27"/>
        <v>0</v>
      </c>
    </row>
    <row r="118" spans="11:61" x14ac:dyDescent="0.35">
      <c r="K118" t="str">
        <f>IFERROR(VLOOKUP(F118,tbTurnos,3,FALSE),"")</f>
        <v/>
      </c>
      <c r="N118" t="str">
        <f>IFERROR(VLOOKUP(M118,tbFactorMes,2,FALSE),"")</f>
        <v/>
      </c>
      <c r="O118">
        <f t="shared" si="14"/>
        <v>0</v>
      </c>
      <c r="R118" t="str">
        <f>IFERROR(VLOOKUP(Q118,tbFactorMes,2,FALSE),"")</f>
        <v/>
      </c>
      <c r="S118">
        <f t="shared" si="15"/>
        <v>0</v>
      </c>
      <c r="V118" t="str">
        <f>IFERROR(VLOOKUP(U118,tbFactorMes,2,FALSE),"")</f>
        <v/>
      </c>
      <c r="W118">
        <f t="shared" si="16"/>
        <v>0</v>
      </c>
      <c r="Z118" t="str">
        <f>IFERROR(VLOOKUP(Y118,tbFactorMes,2,FALSE),"")</f>
        <v/>
      </c>
      <c r="AA118">
        <f t="shared" si="17"/>
        <v>0</v>
      </c>
      <c r="AD118" t="str">
        <f>IFERROR(VLOOKUP(AC118,tbFactorMes,2,FALSE),"")</f>
        <v/>
      </c>
      <c r="AE118">
        <f t="shared" si="18"/>
        <v>0</v>
      </c>
      <c r="AH118" t="str">
        <f>IFERROR(VLOOKUP(AG118,tbFactorMes,2,FALSE),"")</f>
        <v/>
      </c>
      <c r="AI118">
        <f t="shared" si="19"/>
        <v>0</v>
      </c>
      <c r="AL118" t="str">
        <f>IFERROR(VLOOKUP(AK118,tbFactorMes,2,FALSE),"")</f>
        <v/>
      </c>
      <c r="AM118">
        <f t="shared" si="20"/>
        <v>0</v>
      </c>
      <c r="AP118" t="str">
        <f>IFERROR(VLOOKUP(AO118,tbFactorMes,2,FALSE),"")</f>
        <v/>
      </c>
      <c r="AQ118">
        <f t="shared" si="21"/>
        <v>0</v>
      </c>
      <c r="AT118" t="str">
        <f>IFERROR(VLOOKUP(AS118,tbFactorMes,2,FALSE),"")</f>
        <v/>
      </c>
      <c r="AU118">
        <f t="shared" si="22"/>
        <v>0</v>
      </c>
      <c r="AX118" t="str">
        <f>IFERROR(VLOOKUP(AW118,tbFactorMes,2,FALSE),"")</f>
        <v/>
      </c>
      <c r="AY118">
        <f t="shared" si="23"/>
        <v>0</v>
      </c>
      <c r="BB118" t="str">
        <f>IFERROR(VLOOKUP(BA118,tbFactorMes,2,FALSE),"")</f>
        <v/>
      </c>
      <c r="BC118">
        <f t="shared" si="24"/>
        <v>0</v>
      </c>
      <c r="BF118" t="str">
        <f>IFERROR(VLOOKUP(BE118,tbFactorMes,2,FALSE),"")</f>
        <v/>
      </c>
      <c r="BG118">
        <f t="shared" si="25"/>
        <v>0</v>
      </c>
      <c r="BH118">
        <f t="shared" si="26"/>
        <v>0</v>
      </c>
      <c r="BI118">
        <f t="shared" si="27"/>
        <v>0</v>
      </c>
    </row>
    <row r="119" spans="11:61" x14ac:dyDescent="0.35">
      <c r="K119" t="str">
        <f>IFERROR(VLOOKUP(F119,tbTurnos,3,FALSE),"")</f>
        <v/>
      </c>
      <c r="N119" t="str">
        <f>IFERROR(VLOOKUP(M119,tbFactorMes,2,FALSE),"")</f>
        <v/>
      </c>
      <c r="O119">
        <f t="shared" si="14"/>
        <v>0</v>
      </c>
      <c r="R119" t="str">
        <f>IFERROR(VLOOKUP(Q119,tbFactorMes,2,FALSE),"")</f>
        <v/>
      </c>
      <c r="S119">
        <f t="shared" si="15"/>
        <v>0</v>
      </c>
      <c r="V119" t="str">
        <f>IFERROR(VLOOKUP(U119,tbFactorMes,2,FALSE),"")</f>
        <v/>
      </c>
      <c r="W119">
        <f t="shared" si="16"/>
        <v>0</v>
      </c>
      <c r="Z119" t="str">
        <f>IFERROR(VLOOKUP(Y119,tbFactorMes,2,FALSE),"")</f>
        <v/>
      </c>
      <c r="AA119">
        <f t="shared" si="17"/>
        <v>0</v>
      </c>
      <c r="AD119" t="str">
        <f>IFERROR(VLOOKUP(AC119,tbFactorMes,2,FALSE),"")</f>
        <v/>
      </c>
      <c r="AE119">
        <f t="shared" si="18"/>
        <v>0</v>
      </c>
      <c r="AH119" t="str">
        <f>IFERROR(VLOOKUP(AG119,tbFactorMes,2,FALSE),"")</f>
        <v/>
      </c>
      <c r="AI119">
        <f t="shared" si="19"/>
        <v>0</v>
      </c>
      <c r="AL119" t="str">
        <f>IFERROR(VLOOKUP(AK119,tbFactorMes,2,FALSE),"")</f>
        <v/>
      </c>
      <c r="AM119">
        <f t="shared" si="20"/>
        <v>0</v>
      </c>
      <c r="AP119" t="str">
        <f>IFERROR(VLOOKUP(AO119,tbFactorMes,2,FALSE),"")</f>
        <v/>
      </c>
      <c r="AQ119">
        <f t="shared" si="21"/>
        <v>0</v>
      </c>
      <c r="AT119" t="str">
        <f>IFERROR(VLOOKUP(AS119,tbFactorMes,2,FALSE),"")</f>
        <v/>
      </c>
      <c r="AU119">
        <f t="shared" si="22"/>
        <v>0</v>
      </c>
      <c r="AX119" t="str">
        <f>IFERROR(VLOOKUP(AW119,tbFactorMes,2,FALSE),"")</f>
        <v/>
      </c>
      <c r="AY119">
        <f t="shared" si="23"/>
        <v>0</v>
      </c>
      <c r="BB119" t="str">
        <f>IFERROR(VLOOKUP(BA119,tbFactorMes,2,FALSE),"")</f>
        <v/>
      </c>
      <c r="BC119">
        <f t="shared" si="24"/>
        <v>0</v>
      </c>
      <c r="BF119" t="str">
        <f>IFERROR(VLOOKUP(BE119,tbFactorMes,2,FALSE),"")</f>
        <v/>
      </c>
      <c r="BG119">
        <f t="shared" si="25"/>
        <v>0</v>
      </c>
      <c r="BH119">
        <f t="shared" si="26"/>
        <v>0</v>
      </c>
      <c r="BI119">
        <f t="shared" si="27"/>
        <v>0</v>
      </c>
    </row>
    <row r="120" spans="11:61" x14ac:dyDescent="0.35">
      <c r="K120" t="str">
        <f>IFERROR(VLOOKUP(F120,tbTurnos,3,FALSE),"")</f>
        <v/>
      </c>
      <c r="N120" t="str">
        <f>IFERROR(VLOOKUP(M120,tbFactorMes,2,FALSE),"")</f>
        <v/>
      </c>
      <c r="O120">
        <f t="shared" si="14"/>
        <v>0</v>
      </c>
      <c r="R120" t="str">
        <f>IFERROR(VLOOKUP(Q120,tbFactorMes,2,FALSE),"")</f>
        <v/>
      </c>
      <c r="S120">
        <f t="shared" si="15"/>
        <v>0</v>
      </c>
      <c r="V120" t="str">
        <f>IFERROR(VLOOKUP(U120,tbFactorMes,2,FALSE),"")</f>
        <v/>
      </c>
      <c r="W120">
        <f t="shared" si="16"/>
        <v>0</v>
      </c>
      <c r="Z120" t="str">
        <f>IFERROR(VLOOKUP(Y120,tbFactorMes,2,FALSE),"")</f>
        <v/>
      </c>
      <c r="AA120">
        <f t="shared" si="17"/>
        <v>0</v>
      </c>
      <c r="AD120" t="str">
        <f>IFERROR(VLOOKUP(AC120,tbFactorMes,2,FALSE),"")</f>
        <v/>
      </c>
      <c r="AE120">
        <f t="shared" si="18"/>
        <v>0</v>
      </c>
      <c r="AH120" t="str">
        <f>IFERROR(VLOOKUP(AG120,tbFactorMes,2,FALSE),"")</f>
        <v/>
      </c>
      <c r="AI120">
        <f t="shared" si="19"/>
        <v>0</v>
      </c>
      <c r="AL120" t="str">
        <f>IFERROR(VLOOKUP(AK120,tbFactorMes,2,FALSE),"")</f>
        <v/>
      </c>
      <c r="AM120">
        <f t="shared" si="20"/>
        <v>0</v>
      </c>
      <c r="AP120" t="str">
        <f>IFERROR(VLOOKUP(AO120,tbFactorMes,2,FALSE),"")</f>
        <v/>
      </c>
      <c r="AQ120">
        <f t="shared" si="21"/>
        <v>0</v>
      </c>
      <c r="AT120" t="str">
        <f>IFERROR(VLOOKUP(AS120,tbFactorMes,2,FALSE),"")</f>
        <v/>
      </c>
      <c r="AU120">
        <f t="shared" si="22"/>
        <v>0</v>
      </c>
      <c r="AX120" t="str">
        <f>IFERROR(VLOOKUP(AW120,tbFactorMes,2,FALSE),"")</f>
        <v/>
      </c>
      <c r="AY120">
        <f t="shared" si="23"/>
        <v>0</v>
      </c>
      <c r="BB120" t="str">
        <f>IFERROR(VLOOKUP(BA120,tbFactorMes,2,FALSE),"")</f>
        <v/>
      </c>
      <c r="BC120">
        <f t="shared" si="24"/>
        <v>0</v>
      </c>
      <c r="BF120" t="str">
        <f>IFERROR(VLOOKUP(BE120,tbFactorMes,2,FALSE),"")</f>
        <v/>
      </c>
      <c r="BG120">
        <f t="shared" si="25"/>
        <v>0</v>
      </c>
      <c r="BH120">
        <f t="shared" si="26"/>
        <v>0</v>
      </c>
      <c r="BI120">
        <f t="shared" si="27"/>
        <v>0</v>
      </c>
    </row>
    <row r="121" spans="11:61" x14ac:dyDescent="0.35">
      <c r="K121" t="str">
        <f>IFERROR(VLOOKUP(F121,tbTurnos,3,FALSE),"")</f>
        <v/>
      </c>
      <c r="N121" t="str">
        <f>IFERROR(VLOOKUP(M121,tbFactorMes,2,FALSE),"")</f>
        <v/>
      </c>
      <c r="O121">
        <f t="shared" si="14"/>
        <v>0</v>
      </c>
      <c r="R121" t="str">
        <f>IFERROR(VLOOKUP(Q121,tbFactorMes,2,FALSE),"")</f>
        <v/>
      </c>
      <c r="S121">
        <f t="shared" si="15"/>
        <v>0</v>
      </c>
      <c r="V121" t="str">
        <f>IFERROR(VLOOKUP(U121,tbFactorMes,2,FALSE),"")</f>
        <v/>
      </c>
      <c r="W121">
        <f t="shared" si="16"/>
        <v>0</v>
      </c>
      <c r="Z121" t="str">
        <f>IFERROR(VLOOKUP(Y121,tbFactorMes,2,FALSE),"")</f>
        <v/>
      </c>
      <c r="AA121">
        <f t="shared" si="17"/>
        <v>0</v>
      </c>
      <c r="AD121" t="str">
        <f>IFERROR(VLOOKUP(AC121,tbFactorMes,2,FALSE),"")</f>
        <v/>
      </c>
      <c r="AE121">
        <f t="shared" si="18"/>
        <v>0</v>
      </c>
      <c r="AH121" t="str">
        <f>IFERROR(VLOOKUP(AG121,tbFactorMes,2,FALSE),"")</f>
        <v/>
      </c>
      <c r="AI121">
        <f t="shared" si="19"/>
        <v>0</v>
      </c>
      <c r="AL121" t="str">
        <f>IFERROR(VLOOKUP(AK121,tbFactorMes,2,FALSE),"")</f>
        <v/>
      </c>
      <c r="AM121">
        <f t="shared" si="20"/>
        <v>0</v>
      </c>
      <c r="AP121" t="str">
        <f>IFERROR(VLOOKUP(AO121,tbFactorMes,2,FALSE),"")</f>
        <v/>
      </c>
      <c r="AQ121">
        <f t="shared" si="21"/>
        <v>0</v>
      </c>
      <c r="AT121" t="str">
        <f>IFERROR(VLOOKUP(AS121,tbFactorMes,2,FALSE),"")</f>
        <v/>
      </c>
      <c r="AU121">
        <f t="shared" si="22"/>
        <v>0</v>
      </c>
      <c r="AX121" t="str">
        <f>IFERROR(VLOOKUP(AW121,tbFactorMes,2,FALSE),"")</f>
        <v/>
      </c>
      <c r="AY121">
        <f t="shared" si="23"/>
        <v>0</v>
      </c>
      <c r="BB121" t="str">
        <f>IFERROR(VLOOKUP(BA121,tbFactorMes,2,FALSE),"")</f>
        <v/>
      </c>
      <c r="BC121">
        <f t="shared" si="24"/>
        <v>0</v>
      </c>
      <c r="BF121" t="str">
        <f>IFERROR(VLOOKUP(BE121,tbFactorMes,2,FALSE),"")</f>
        <v/>
      </c>
      <c r="BG121">
        <f t="shared" si="25"/>
        <v>0</v>
      </c>
      <c r="BH121">
        <f t="shared" si="26"/>
        <v>0</v>
      </c>
      <c r="BI121">
        <f t="shared" si="27"/>
        <v>0</v>
      </c>
    </row>
    <row r="122" spans="11:61" x14ac:dyDescent="0.35">
      <c r="K122" t="str">
        <f>IFERROR(VLOOKUP(F122,tbTurnos,3,FALSE),"")</f>
        <v/>
      </c>
      <c r="N122" t="str">
        <f>IFERROR(VLOOKUP(M122,tbFactorMes,2,FALSE),"")</f>
        <v/>
      </c>
      <c r="O122">
        <f t="shared" si="14"/>
        <v>0</v>
      </c>
      <c r="R122" t="str">
        <f>IFERROR(VLOOKUP(Q122,tbFactorMes,2,FALSE),"")</f>
        <v/>
      </c>
      <c r="S122">
        <f t="shared" si="15"/>
        <v>0</v>
      </c>
      <c r="V122" t="str">
        <f>IFERROR(VLOOKUP(U122,tbFactorMes,2,FALSE),"")</f>
        <v/>
      </c>
      <c r="W122">
        <f t="shared" si="16"/>
        <v>0</v>
      </c>
      <c r="Z122" t="str">
        <f>IFERROR(VLOOKUP(Y122,tbFactorMes,2,FALSE),"")</f>
        <v/>
      </c>
      <c r="AA122">
        <f t="shared" si="17"/>
        <v>0</v>
      </c>
      <c r="AD122" t="str">
        <f>IFERROR(VLOOKUP(AC122,tbFactorMes,2,FALSE),"")</f>
        <v/>
      </c>
      <c r="AE122">
        <f t="shared" si="18"/>
        <v>0</v>
      </c>
      <c r="AH122" t="str">
        <f>IFERROR(VLOOKUP(AG122,tbFactorMes,2,FALSE),"")</f>
        <v/>
      </c>
      <c r="AI122">
        <f t="shared" si="19"/>
        <v>0</v>
      </c>
      <c r="AL122" t="str">
        <f>IFERROR(VLOOKUP(AK122,tbFactorMes,2,FALSE),"")</f>
        <v/>
      </c>
      <c r="AM122">
        <f t="shared" si="20"/>
        <v>0</v>
      </c>
      <c r="AP122" t="str">
        <f>IFERROR(VLOOKUP(AO122,tbFactorMes,2,FALSE),"")</f>
        <v/>
      </c>
      <c r="AQ122">
        <f t="shared" si="21"/>
        <v>0</v>
      </c>
      <c r="AT122" t="str">
        <f>IFERROR(VLOOKUP(AS122,tbFactorMes,2,FALSE),"")</f>
        <v/>
      </c>
      <c r="AU122">
        <f t="shared" si="22"/>
        <v>0</v>
      </c>
      <c r="AX122" t="str">
        <f>IFERROR(VLOOKUP(AW122,tbFactorMes,2,FALSE),"")</f>
        <v/>
      </c>
      <c r="AY122">
        <f t="shared" si="23"/>
        <v>0</v>
      </c>
      <c r="BB122" t="str">
        <f>IFERROR(VLOOKUP(BA122,tbFactorMes,2,FALSE),"")</f>
        <v/>
      </c>
      <c r="BC122">
        <f t="shared" si="24"/>
        <v>0</v>
      </c>
      <c r="BF122" t="str">
        <f>IFERROR(VLOOKUP(BE122,tbFactorMes,2,FALSE),"")</f>
        <v/>
      </c>
      <c r="BG122">
        <f t="shared" si="25"/>
        <v>0</v>
      </c>
      <c r="BH122">
        <f t="shared" si="26"/>
        <v>0</v>
      </c>
      <c r="BI122">
        <f t="shared" si="27"/>
        <v>0</v>
      </c>
    </row>
    <row r="123" spans="11:61" x14ac:dyDescent="0.35">
      <c r="K123" t="str">
        <f>IFERROR(VLOOKUP(F123,tbTurnos,3,FALSE),"")</f>
        <v/>
      </c>
      <c r="N123" t="str">
        <f>IFERROR(VLOOKUP(M123,tbFactorMes,2,FALSE),"")</f>
        <v/>
      </c>
      <c r="O123">
        <f t="shared" si="14"/>
        <v>0</v>
      </c>
      <c r="R123" t="str">
        <f>IFERROR(VLOOKUP(Q123,tbFactorMes,2,FALSE),"")</f>
        <v/>
      </c>
      <c r="S123">
        <f t="shared" si="15"/>
        <v>0</v>
      </c>
      <c r="V123" t="str">
        <f>IFERROR(VLOOKUP(U123,tbFactorMes,2,FALSE),"")</f>
        <v/>
      </c>
      <c r="W123">
        <f t="shared" si="16"/>
        <v>0</v>
      </c>
      <c r="Z123" t="str">
        <f>IFERROR(VLOOKUP(Y123,tbFactorMes,2,FALSE),"")</f>
        <v/>
      </c>
      <c r="AA123">
        <f t="shared" si="17"/>
        <v>0</v>
      </c>
      <c r="AD123" t="str">
        <f>IFERROR(VLOOKUP(AC123,tbFactorMes,2,FALSE),"")</f>
        <v/>
      </c>
      <c r="AE123">
        <f t="shared" si="18"/>
        <v>0</v>
      </c>
      <c r="AH123" t="str">
        <f>IFERROR(VLOOKUP(AG123,tbFactorMes,2,FALSE),"")</f>
        <v/>
      </c>
      <c r="AI123">
        <f t="shared" si="19"/>
        <v>0</v>
      </c>
      <c r="AL123" t="str">
        <f>IFERROR(VLOOKUP(AK123,tbFactorMes,2,FALSE),"")</f>
        <v/>
      </c>
      <c r="AM123">
        <f t="shared" si="20"/>
        <v>0</v>
      </c>
      <c r="AP123" t="str">
        <f>IFERROR(VLOOKUP(AO123,tbFactorMes,2,FALSE),"")</f>
        <v/>
      </c>
      <c r="AQ123">
        <f t="shared" si="21"/>
        <v>0</v>
      </c>
      <c r="AT123" t="str">
        <f>IFERROR(VLOOKUP(AS123,tbFactorMes,2,FALSE),"")</f>
        <v/>
      </c>
      <c r="AU123">
        <f t="shared" si="22"/>
        <v>0</v>
      </c>
      <c r="AX123" t="str">
        <f>IFERROR(VLOOKUP(AW123,tbFactorMes,2,FALSE),"")</f>
        <v/>
      </c>
      <c r="AY123">
        <f t="shared" si="23"/>
        <v>0</v>
      </c>
      <c r="BB123" t="str">
        <f>IFERROR(VLOOKUP(BA123,tbFactorMes,2,FALSE),"")</f>
        <v/>
      </c>
      <c r="BC123">
        <f t="shared" si="24"/>
        <v>0</v>
      </c>
      <c r="BF123" t="str">
        <f>IFERROR(VLOOKUP(BE123,tbFactorMes,2,FALSE),"")</f>
        <v/>
      </c>
      <c r="BG123">
        <f t="shared" si="25"/>
        <v>0</v>
      </c>
      <c r="BH123">
        <f t="shared" si="26"/>
        <v>0</v>
      </c>
      <c r="BI123">
        <f t="shared" si="27"/>
        <v>0</v>
      </c>
    </row>
    <row r="124" spans="11:61" x14ac:dyDescent="0.35">
      <c r="K124" t="str">
        <f>IFERROR(VLOOKUP(F124,tbTurnos,3,FALSE),"")</f>
        <v/>
      </c>
      <c r="N124" t="str">
        <f>IFERROR(VLOOKUP(M124,tbFactorMes,2,FALSE),"")</f>
        <v/>
      </c>
      <c r="O124">
        <f t="shared" si="14"/>
        <v>0</v>
      </c>
      <c r="R124" t="str">
        <f>IFERROR(VLOOKUP(Q124,tbFactorMes,2,FALSE),"")</f>
        <v/>
      </c>
      <c r="S124">
        <f t="shared" si="15"/>
        <v>0</v>
      </c>
      <c r="V124" t="str">
        <f>IFERROR(VLOOKUP(U124,tbFactorMes,2,FALSE),"")</f>
        <v/>
      </c>
      <c r="W124">
        <f t="shared" si="16"/>
        <v>0</v>
      </c>
      <c r="Z124" t="str">
        <f>IFERROR(VLOOKUP(Y124,tbFactorMes,2,FALSE),"")</f>
        <v/>
      </c>
      <c r="AA124">
        <f t="shared" si="17"/>
        <v>0</v>
      </c>
      <c r="AD124" t="str">
        <f>IFERROR(VLOOKUP(AC124,tbFactorMes,2,FALSE),"")</f>
        <v/>
      </c>
      <c r="AE124">
        <f t="shared" si="18"/>
        <v>0</v>
      </c>
      <c r="AH124" t="str">
        <f>IFERROR(VLOOKUP(AG124,tbFactorMes,2,FALSE),"")</f>
        <v/>
      </c>
      <c r="AI124">
        <f t="shared" si="19"/>
        <v>0</v>
      </c>
      <c r="AL124" t="str">
        <f>IFERROR(VLOOKUP(AK124,tbFactorMes,2,FALSE),"")</f>
        <v/>
      </c>
      <c r="AM124">
        <f t="shared" si="20"/>
        <v>0</v>
      </c>
      <c r="AP124" t="str">
        <f>IFERROR(VLOOKUP(AO124,tbFactorMes,2,FALSE),"")</f>
        <v/>
      </c>
      <c r="AQ124">
        <f t="shared" si="21"/>
        <v>0</v>
      </c>
      <c r="AT124" t="str">
        <f>IFERROR(VLOOKUP(AS124,tbFactorMes,2,FALSE),"")</f>
        <v/>
      </c>
      <c r="AU124">
        <f t="shared" si="22"/>
        <v>0</v>
      </c>
      <c r="AX124" t="str">
        <f>IFERROR(VLOOKUP(AW124,tbFactorMes,2,FALSE),"")</f>
        <v/>
      </c>
      <c r="AY124">
        <f t="shared" si="23"/>
        <v>0</v>
      </c>
      <c r="BB124" t="str">
        <f>IFERROR(VLOOKUP(BA124,tbFactorMes,2,FALSE),"")</f>
        <v/>
      </c>
      <c r="BC124">
        <f t="shared" si="24"/>
        <v>0</v>
      </c>
      <c r="BF124" t="str">
        <f>IFERROR(VLOOKUP(BE124,tbFactorMes,2,FALSE),"")</f>
        <v/>
      </c>
      <c r="BG124">
        <f t="shared" si="25"/>
        <v>0</v>
      </c>
      <c r="BH124">
        <f t="shared" si="26"/>
        <v>0</v>
      </c>
      <c r="BI124">
        <f t="shared" si="27"/>
        <v>0</v>
      </c>
    </row>
    <row r="125" spans="11:61" x14ac:dyDescent="0.35">
      <c r="K125" t="str">
        <f>IFERROR(VLOOKUP(F125,tbTurnos,3,FALSE),"")</f>
        <v/>
      </c>
      <c r="N125" t="str">
        <f>IFERROR(VLOOKUP(M125,tbFactorMes,2,FALSE),"")</f>
        <v/>
      </c>
      <c r="O125">
        <f t="shared" si="14"/>
        <v>0</v>
      </c>
      <c r="R125" t="str">
        <f>IFERROR(VLOOKUP(Q125,tbFactorMes,2,FALSE),"")</f>
        <v/>
      </c>
      <c r="S125">
        <f t="shared" si="15"/>
        <v>0</v>
      </c>
      <c r="V125" t="str">
        <f>IFERROR(VLOOKUP(U125,tbFactorMes,2,FALSE),"")</f>
        <v/>
      </c>
      <c r="W125">
        <f t="shared" si="16"/>
        <v>0</v>
      </c>
      <c r="Z125" t="str">
        <f>IFERROR(VLOOKUP(Y125,tbFactorMes,2,FALSE),"")</f>
        <v/>
      </c>
      <c r="AA125">
        <f t="shared" si="17"/>
        <v>0</v>
      </c>
      <c r="AD125" t="str">
        <f>IFERROR(VLOOKUP(AC125,tbFactorMes,2,FALSE),"")</f>
        <v/>
      </c>
      <c r="AE125">
        <f t="shared" si="18"/>
        <v>0</v>
      </c>
      <c r="AH125" t="str">
        <f>IFERROR(VLOOKUP(AG125,tbFactorMes,2,FALSE),"")</f>
        <v/>
      </c>
      <c r="AI125">
        <f t="shared" si="19"/>
        <v>0</v>
      </c>
      <c r="AL125" t="str">
        <f>IFERROR(VLOOKUP(AK125,tbFactorMes,2,FALSE),"")</f>
        <v/>
      </c>
      <c r="AM125">
        <f t="shared" si="20"/>
        <v>0</v>
      </c>
      <c r="AP125" t="str">
        <f>IFERROR(VLOOKUP(AO125,tbFactorMes,2,FALSE),"")</f>
        <v/>
      </c>
      <c r="AQ125">
        <f t="shared" si="21"/>
        <v>0</v>
      </c>
      <c r="AT125" t="str">
        <f>IFERROR(VLOOKUP(AS125,tbFactorMes,2,FALSE),"")</f>
        <v/>
      </c>
      <c r="AU125">
        <f t="shared" si="22"/>
        <v>0</v>
      </c>
      <c r="AX125" t="str">
        <f>IFERROR(VLOOKUP(AW125,tbFactorMes,2,FALSE),"")</f>
        <v/>
      </c>
      <c r="AY125">
        <f t="shared" si="23"/>
        <v>0</v>
      </c>
      <c r="BB125" t="str">
        <f>IFERROR(VLOOKUP(BA125,tbFactorMes,2,FALSE),"")</f>
        <v/>
      </c>
      <c r="BC125">
        <f t="shared" si="24"/>
        <v>0</v>
      </c>
      <c r="BF125" t="str">
        <f>IFERROR(VLOOKUP(BE125,tbFactorMes,2,FALSE),"")</f>
        <v/>
      </c>
      <c r="BG125">
        <f t="shared" si="25"/>
        <v>0</v>
      </c>
      <c r="BH125">
        <f t="shared" si="26"/>
        <v>0</v>
      </c>
      <c r="BI125">
        <f t="shared" si="27"/>
        <v>0</v>
      </c>
    </row>
    <row r="126" spans="11:61" x14ac:dyDescent="0.35">
      <c r="K126" t="str">
        <f>IFERROR(VLOOKUP(F126,tbTurnos,3,FALSE),"")</f>
        <v/>
      </c>
      <c r="N126" t="str">
        <f>IFERROR(VLOOKUP(M126,tbFactorMes,2,FALSE),"")</f>
        <v/>
      </c>
      <c r="O126">
        <f t="shared" si="14"/>
        <v>0</v>
      </c>
      <c r="R126" t="str">
        <f>IFERROR(VLOOKUP(Q126,tbFactorMes,2,FALSE),"")</f>
        <v/>
      </c>
      <c r="S126">
        <f t="shared" si="15"/>
        <v>0</v>
      </c>
      <c r="V126" t="str">
        <f>IFERROR(VLOOKUP(U126,tbFactorMes,2,FALSE),"")</f>
        <v/>
      </c>
      <c r="W126">
        <f t="shared" si="16"/>
        <v>0</v>
      </c>
      <c r="Z126" t="str">
        <f>IFERROR(VLOOKUP(Y126,tbFactorMes,2,FALSE),"")</f>
        <v/>
      </c>
      <c r="AA126">
        <f t="shared" si="17"/>
        <v>0</v>
      </c>
      <c r="AD126" t="str">
        <f>IFERROR(VLOOKUP(AC126,tbFactorMes,2,FALSE),"")</f>
        <v/>
      </c>
      <c r="AE126">
        <f t="shared" si="18"/>
        <v>0</v>
      </c>
      <c r="AH126" t="str">
        <f>IFERROR(VLOOKUP(AG126,tbFactorMes,2,FALSE),"")</f>
        <v/>
      </c>
      <c r="AI126">
        <f t="shared" si="19"/>
        <v>0</v>
      </c>
      <c r="AL126" t="str">
        <f>IFERROR(VLOOKUP(AK126,tbFactorMes,2,FALSE),"")</f>
        <v/>
      </c>
      <c r="AM126">
        <f t="shared" si="20"/>
        <v>0</v>
      </c>
      <c r="AP126" t="str">
        <f>IFERROR(VLOOKUP(AO126,tbFactorMes,2,FALSE),"")</f>
        <v/>
      </c>
      <c r="AQ126">
        <f t="shared" si="21"/>
        <v>0</v>
      </c>
      <c r="AT126" t="str">
        <f>IFERROR(VLOOKUP(AS126,tbFactorMes,2,FALSE),"")</f>
        <v/>
      </c>
      <c r="AU126">
        <f t="shared" si="22"/>
        <v>0</v>
      </c>
      <c r="AX126" t="str">
        <f>IFERROR(VLOOKUP(AW126,tbFactorMes,2,FALSE),"")</f>
        <v/>
      </c>
      <c r="AY126">
        <f t="shared" si="23"/>
        <v>0</v>
      </c>
      <c r="BB126" t="str">
        <f>IFERROR(VLOOKUP(BA126,tbFactorMes,2,FALSE),"")</f>
        <v/>
      </c>
      <c r="BC126">
        <f t="shared" si="24"/>
        <v>0</v>
      </c>
      <c r="BF126" t="str">
        <f>IFERROR(VLOOKUP(BE126,tbFactorMes,2,FALSE),"")</f>
        <v/>
      </c>
      <c r="BG126">
        <f t="shared" si="25"/>
        <v>0</v>
      </c>
      <c r="BH126">
        <f t="shared" si="26"/>
        <v>0</v>
      </c>
      <c r="BI126">
        <f t="shared" si="27"/>
        <v>0</v>
      </c>
    </row>
    <row r="127" spans="11:61" x14ac:dyDescent="0.35">
      <c r="K127" t="str">
        <f>IFERROR(VLOOKUP(F127,tbTurnos,3,FALSE),"")</f>
        <v/>
      </c>
      <c r="N127" t="str">
        <f>IFERROR(VLOOKUP(M127,tbFactorMes,2,FALSE),"")</f>
        <v/>
      </c>
      <c r="O127">
        <f t="shared" si="14"/>
        <v>0</v>
      </c>
      <c r="R127" t="str">
        <f>IFERROR(VLOOKUP(Q127,tbFactorMes,2,FALSE),"")</f>
        <v/>
      </c>
      <c r="S127">
        <f t="shared" si="15"/>
        <v>0</v>
      </c>
      <c r="V127" t="str">
        <f>IFERROR(VLOOKUP(U127,tbFactorMes,2,FALSE),"")</f>
        <v/>
      </c>
      <c r="W127">
        <f t="shared" si="16"/>
        <v>0</v>
      </c>
      <c r="Z127" t="str">
        <f>IFERROR(VLOOKUP(Y127,tbFactorMes,2,FALSE),"")</f>
        <v/>
      </c>
      <c r="AA127">
        <f t="shared" si="17"/>
        <v>0</v>
      </c>
      <c r="AD127" t="str">
        <f>IFERROR(VLOOKUP(AC127,tbFactorMes,2,FALSE),"")</f>
        <v/>
      </c>
      <c r="AE127">
        <f t="shared" si="18"/>
        <v>0</v>
      </c>
      <c r="AH127" t="str">
        <f>IFERROR(VLOOKUP(AG127,tbFactorMes,2,FALSE),"")</f>
        <v/>
      </c>
      <c r="AI127">
        <f t="shared" si="19"/>
        <v>0</v>
      </c>
      <c r="AL127" t="str">
        <f>IFERROR(VLOOKUP(AK127,tbFactorMes,2,FALSE),"")</f>
        <v/>
      </c>
      <c r="AM127">
        <f t="shared" si="20"/>
        <v>0</v>
      </c>
      <c r="AP127" t="str">
        <f>IFERROR(VLOOKUP(AO127,tbFactorMes,2,FALSE),"")</f>
        <v/>
      </c>
      <c r="AQ127">
        <f t="shared" si="21"/>
        <v>0</v>
      </c>
      <c r="AT127" t="str">
        <f>IFERROR(VLOOKUP(AS127,tbFactorMes,2,FALSE),"")</f>
        <v/>
      </c>
      <c r="AU127">
        <f t="shared" si="22"/>
        <v>0</v>
      </c>
      <c r="AX127" t="str">
        <f>IFERROR(VLOOKUP(AW127,tbFactorMes,2,FALSE),"")</f>
        <v/>
      </c>
      <c r="AY127">
        <f t="shared" si="23"/>
        <v>0</v>
      </c>
      <c r="BB127" t="str">
        <f>IFERROR(VLOOKUP(BA127,tbFactorMes,2,FALSE),"")</f>
        <v/>
      </c>
      <c r="BC127">
        <f t="shared" si="24"/>
        <v>0</v>
      </c>
      <c r="BF127" t="str">
        <f>IFERROR(VLOOKUP(BE127,tbFactorMes,2,FALSE),"")</f>
        <v/>
      </c>
      <c r="BG127">
        <f t="shared" si="25"/>
        <v>0</v>
      </c>
      <c r="BH127">
        <f t="shared" si="26"/>
        <v>0</v>
      </c>
      <c r="BI127">
        <f t="shared" si="27"/>
        <v>0</v>
      </c>
    </row>
    <row r="128" spans="11:61" x14ac:dyDescent="0.35">
      <c r="K128" t="str">
        <f>IFERROR(VLOOKUP(F128,tbTurnos,3,FALSE),"")</f>
        <v/>
      </c>
      <c r="N128" t="str">
        <f>IFERROR(VLOOKUP(M128,tbFactorMes,2,FALSE),"")</f>
        <v/>
      </c>
      <c r="O128">
        <f t="shared" si="14"/>
        <v>0</v>
      </c>
      <c r="R128" t="str">
        <f>IFERROR(VLOOKUP(Q128,tbFactorMes,2,FALSE),"")</f>
        <v/>
      </c>
      <c r="S128">
        <f t="shared" si="15"/>
        <v>0</v>
      </c>
      <c r="V128" t="str">
        <f>IFERROR(VLOOKUP(U128,tbFactorMes,2,FALSE),"")</f>
        <v/>
      </c>
      <c r="W128">
        <f t="shared" si="16"/>
        <v>0</v>
      </c>
      <c r="Z128" t="str">
        <f>IFERROR(VLOOKUP(Y128,tbFactorMes,2,FALSE),"")</f>
        <v/>
      </c>
      <c r="AA128">
        <f t="shared" si="17"/>
        <v>0</v>
      </c>
      <c r="AD128" t="str">
        <f>IFERROR(VLOOKUP(AC128,tbFactorMes,2,FALSE),"")</f>
        <v/>
      </c>
      <c r="AE128">
        <f t="shared" si="18"/>
        <v>0</v>
      </c>
      <c r="AH128" t="str">
        <f>IFERROR(VLOOKUP(AG128,tbFactorMes,2,FALSE),"")</f>
        <v/>
      </c>
      <c r="AI128">
        <f t="shared" si="19"/>
        <v>0</v>
      </c>
      <c r="AL128" t="str">
        <f>IFERROR(VLOOKUP(AK128,tbFactorMes,2,FALSE),"")</f>
        <v/>
      </c>
      <c r="AM128">
        <f t="shared" si="20"/>
        <v>0</v>
      </c>
      <c r="AP128" t="str">
        <f>IFERROR(VLOOKUP(AO128,tbFactorMes,2,FALSE),"")</f>
        <v/>
      </c>
      <c r="AQ128">
        <f t="shared" si="21"/>
        <v>0</v>
      </c>
      <c r="AT128" t="str">
        <f>IFERROR(VLOOKUP(AS128,tbFactorMes,2,FALSE),"")</f>
        <v/>
      </c>
      <c r="AU128">
        <f t="shared" si="22"/>
        <v>0</v>
      </c>
      <c r="AX128" t="str">
        <f>IFERROR(VLOOKUP(AW128,tbFactorMes,2,FALSE),"")</f>
        <v/>
      </c>
      <c r="AY128">
        <f t="shared" si="23"/>
        <v>0</v>
      </c>
      <c r="BB128" t="str">
        <f>IFERROR(VLOOKUP(BA128,tbFactorMes,2,FALSE),"")</f>
        <v/>
      </c>
      <c r="BC128">
        <f t="shared" si="24"/>
        <v>0</v>
      </c>
      <c r="BF128" t="str">
        <f>IFERROR(VLOOKUP(BE128,tbFactorMes,2,FALSE),"")</f>
        <v/>
      </c>
      <c r="BG128">
        <f t="shared" si="25"/>
        <v>0</v>
      </c>
      <c r="BH128">
        <f t="shared" si="26"/>
        <v>0</v>
      </c>
      <c r="BI128">
        <f t="shared" si="27"/>
        <v>0</v>
      </c>
    </row>
    <row r="129" spans="11:61" x14ac:dyDescent="0.35">
      <c r="K129" t="str">
        <f>IFERROR(VLOOKUP(F129,tbTurnos,3,FALSE),"")</f>
        <v/>
      </c>
      <c r="N129" t="str">
        <f>IFERROR(VLOOKUP(M129,tbFactorMes,2,FALSE),"")</f>
        <v/>
      </c>
      <c r="O129">
        <f t="shared" si="14"/>
        <v>0</v>
      </c>
      <c r="R129" t="str">
        <f>IFERROR(VLOOKUP(Q129,tbFactorMes,2,FALSE),"")</f>
        <v/>
      </c>
      <c r="S129">
        <f t="shared" si="15"/>
        <v>0</v>
      </c>
      <c r="V129" t="str">
        <f>IFERROR(VLOOKUP(U129,tbFactorMes,2,FALSE),"")</f>
        <v/>
      </c>
      <c r="W129">
        <f t="shared" si="16"/>
        <v>0</v>
      </c>
      <c r="Z129" t="str">
        <f>IFERROR(VLOOKUP(Y129,tbFactorMes,2,FALSE),"")</f>
        <v/>
      </c>
      <c r="AA129">
        <f t="shared" si="17"/>
        <v>0</v>
      </c>
      <c r="AD129" t="str">
        <f>IFERROR(VLOOKUP(AC129,tbFactorMes,2,FALSE),"")</f>
        <v/>
      </c>
      <c r="AE129">
        <f t="shared" si="18"/>
        <v>0</v>
      </c>
      <c r="AH129" t="str">
        <f>IFERROR(VLOOKUP(AG129,tbFactorMes,2,FALSE),"")</f>
        <v/>
      </c>
      <c r="AI129">
        <f t="shared" si="19"/>
        <v>0</v>
      </c>
      <c r="AL129" t="str">
        <f>IFERROR(VLOOKUP(AK129,tbFactorMes,2,FALSE),"")</f>
        <v/>
      </c>
      <c r="AM129">
        <f t="shared" si="20"/>
        <v>0</v>
      </c>
      <c r="AP129" t="str">
        <f>IFERROR(VLOOKUP(AO129,tbFactorMes,2,FALSE),"")</f>
        <v/>
      </c>
      <c r="AQ129">
        <f t="shared" si="21"/>
        <v>0</v>
      </c>
      <c r="AT129" t="str">
        <f>IFERROR(VLOOKUP(AS129,tbFactorMes,2,FALSE),"")</f>
        <v/>
      </c>
      <c r="AU129">
        <f t="shared" si="22"/>
        <v>0</v>
      </c>
      <c r="AX129" t="str">
        <f>IFERROR(VLOOKUP(AW129,tbFactorMes,2,FALSE),"")</f>
        <v/>
      </c>
      <c r="AY129">
        <f t="shared" si="23"/>
        <v>0</v>
      </c>
      <c r="BB129" t="str">
        <f>IFERROR(VLOOKUP(BA129,tbFactorMes,2,FALSE),"")</f>
        <v/>
      </c>
      <c r="BC129">
        <f t="shared" si="24"/>
        <v>0</v>
      </c>
      <c r="BF129" t="str">
        <f>IFERROR(VLOOKUP(BE129,tbFactorMes,2,FALSE),"")</f>
        <v/>
      </c>
      <c r="BG129">
        <f t="shared" si="25"/>
        <v>0</v>
      </c>
      <c r="BH129">
        <f t="shared" si="26"/>
        <v>0</v>
      </c>
      <c r="BI129">
        <f t="shared" si="27"/>
        <v>0</v>
      </c>
    </row>
    <row r="130" spans="11:61" x14ac:dyDescent="0.35">
      <c r="K130" t="str">
        <f>IFERROR(VLOOKUP(F130,tbTurnos,3,FALSE),"")</f>
        <v/>
      </c>
      <c r="N130" t="str">
        <f>IFERROR(VLOOKUP(M130,tbFactorMes,2,FALSE),"")</f>
        <v/>
      </c>
      <c r="O130">
        <f t="shared" ref="O130:O193" si="28">IFERROR((L130*$K130)/N130,0)*$J130</f>
        <v>0</v>
      </c>
      <c r="R130" t="str">
        <f>IFERROR(VLOOKUP(Q130,tbFactorMes,2,FALSE),"")</f>
        <v/>
      </c>
      <c r="S130">
        <f t="shared" ref="S130:S193" si="29">IFERROR((P130*$K130)/R130,0)*$J130</f>
        <v>0</v>
      </c>
      <c r="V130" t="str">
        <f>IFERROR(VLOOKUP(U130,tbFactorMes,2,FALSE),"")</f>
        <v/>
      </c>
      <c r="W130">
        <f t="shared" ref="W130:W193" si="30">IFERROR((T130*$K130)/V130,0)*$J130</f>
        <v>0</v>
      </c>
      <c r="Z130" t="str">
        <f>IFERROR(VLOOKUP(Y130,tbFactorMes,2,FALSE),"")</f>
        <v/>
      </c>
      <c r="AA130">
        <f t="shared" ref="AA130:AA193" si="31">IFERROR((X130*$K130)/Z130,0)*$J130</f>
        <v>0</v>
      </c>
      <c r="AD130" t="str">
        <f>IFERROR(VLOOKUP(AC130,tbFactorMes,2,FALSE),"")</f>
        <v/>
      </c>
      <c r="AE130">
        <f t="shared" ref="AE130:AE193" si="32">IFERROR((AB130*$K130)/AD130,0)*$J130</f>
        <v>0</v>
      </c>
      <c r="AH130" t="str">
        <f>IFERROR(VLOOKUP(AG130,tbFactorMes,2,FALSE),"")</f>
        <v/>
      </c>
      <c r="AI130">
        <f t="shared" ref="AI130:AI193" si="33">IFERROR((AF130*$K130)/AH130,0)*$J130</f>
        <v>0</v>
      </c>
      <c r="AL130" t="str">
        <f>IFERROR(VLOOKUP(AK130,tbFactorMes,2,FALSE),"")</f>
        <v/>
      </c>
      <c r="AM130">
        <f t="shared" ref="AM130:AM193" si="34">IFERROR((AJ130*$K130)/AL130,0)*$J130</f>
        <v>0</v>
      </c>
      <c r="AP130" t="str">
        <f>IFERROR(VLOOKUP(AO130,tbFactorMes,2,FALSE),"")</f>
        <v/>
      </c>
      <c r="AQ130">
        <f t="shared" ref="AQ130:AQ193" si="35">IFERROR((AN130*$K130)/AP130,0)*$J130</f>
        <v>0</v>
      </c>
      <c r="AT130" t="str">
        <f>IFERROR(VLOOKUP(AS130,tbFactorMes,2,FALSE),"")</f>
        <v/>
      </c>
      <c r="AU130">
        <f t="shared" ref="AU130:AU193" si="36">IFERROR((AR130*$K130)/AT130,0)*$J130</f>
        <v>0</v>
      </c>
      <c r="AX130" t="str">
        <f>IFERROR(VLOOKUP(AW130,tbFactorMes,2,FALSE),"")</f>
        <v/>
      </c>
      <c r="AY130">
        <f t="shared" ref="AY130:AY193" si="37">IFERROR((AV130*$K130)/AX130,0)*$J130</f>
        <v>0</v>
      </c>
      <c r="BB130" t="str">
        <f>IFERROR(VLOOKUP(BA130,tbFactorMes,2,FALSE),"")</f>
        <v/>
      </c>
      <c r="BC130">
        <f t="shared" ref="BC130:BC193" si="38">IFERROR((AZ130*$K130)/BB130,0)*$J130</f>
        <v>0</v>
      </c>
      <c r="BF130" t="str">
        <f>IFERROR(VLOOKUP(BE130,tbFactorMes,2,FALSE),"")</f>
        <v/>
      </c>
      <c r="BG130">
        <f t="shared" ref="BG130:BG193" si="39">IFERROR((BD130*$K130)/BF130,0)*$J130</f>
        <v>0</v>
      </c>
      <c r="BH130">
        <f t="shared" ref="BH130:BH193" si="40">IFERROR(SUM(O130,S130,W130,AA130,AE130,AI130,AM130,AQ130,AU130,AY130,BC130,BG130),0)</f>
        <v>0</v>
      </c>
      <c r="BI130">
        <f t="shared" ref="BI130:BI193" si="41">IFERROR(BH130*(1-$I130),0)</f>
        <v>0</v>
      </c>
    </row>
    <row r="131" spans="11:61" x14ac:dyDescent="0.35">
      <c r="K131" t="str">
        <f>IFERROR(VLOOKUP(F131,tbTurnos,3,FALSE),"")</f>
        <v/>
      </c>
      <c r="N131" t="str">
        <f>IFERROR(VLOOKUP(M131,tbFactorMes,2,FALSE),"")</f>
        <v/>
      </c>
      <c r="O131">
        <f t="shared" si="28"/>
        <v>0</v>
      </c>
      <c r="R131" t="str">
        <f>IFERROR(VLOOKUP(Q131,tbFactorMes,2,FALSE),"")</f>
        <v/>
      </c>
      <c r="S131">
        <f t="shared" si="29"/>
        <v>0</v>
      </c>
      <c r="V131" t="str">
        <f>IFERROR(VLOOKUP(U131,tbFactorMes,2,FALSE),"")</f>
        <v/>
      </c>
      <c r="W131">
        <f t="shared" si="30"/>
        <v>0</v>
      </c>
      <c r="Z131" t="str">
        <f>IFERROR(VLOOKUP(Y131,tbFactorMes,2,FALSE),"")</f>
        <v/>
      </c>
      <c r="AA131">
        <f t="shared" si="31"/>
        <v>0</v>
      </c>
      <c r="AD131" t="str">
        <f>IFERROR(VLOOKUP(AC131,tbFactorMes,2,FALSE),"")</f>
        <v/>
      </c>
      <c r="AE131">
        <f t="shared" si="32"/>
        <v>0</v>
      </c>
      <c r="AH131" t="str">
        <f>IFERROR(VLOOKUP(AG131,tbFactorMes,2,FALSE),"")</f>
        <v/>
      </c>
      <c r="AI131">
        <f t="shared" si="33"/>
        <v>0</v>
      </c>
      <c r="AL131" t="str">
        <f>IFERROR(VLOOKUP(AK131,tbFactorMes,2,FALSE),"")</f>
        <v/>
      </c>
      <c r="AM131">
        <f t="shared" si="34"/>
        <v>0</v>
      </c>
      <c r="AP131" t="str">
        <f>IFERROR(VLOOKUP(AO131,tbFactorMes,2,FALSE),"")</f>
        <v/>
      </c>
      <c r="AQ131">
        <f t="shared" si="35"/>
        <v>0</v>
      </c>
      <c r="AT131" t="str">
        <f>IFERROR(VLOOKUP(AS131,tbFactorMes,2,FALSE),"")</f>
        <v/>
      </c>
      <c r="AU131">
        <f t="shared" si="36"/>
        <v>0</v>
      </c>
      <c r="AX131" t="str">
        <f>IFERROR(VLOOKUP(AW131,tbFactorMes,2,FALSE),"")</f>
        <v/>
      </c>
      <c r="AY131">
        <f t="shared" si="37"/>
        <v>0</v>
      </c>
      <c r="BB131" t="str">
        <f>IFERROR(VLOOKUP(BA131,tbFactorMes,2,FALSE),"")</f>
        <v/>
      </c>
      <c r="BC131">
        <f t="shared" si="38"/>
        <v>0</v>
      </c>
      <c r="BF131" t="str">
        <f>IFERROR(VLOOKUP(BE131,tbFactorMes,2,FALSE),"")</f>
        <v/>
      </c>
      <c r="BG131">
        <f t="shared" si="39"/>
        <v>0</v>
      </c>
      <c r="BH131">
        <f t="shared" si="40"/>
        <v>0</v>
      </c>
      <c r="BI131">
        <f t="shared" si="41"/>
        <v>0</v>
      </c>
    </row>
    <row r="132" spans="11:61" x14ac:dyDescent="0.35">
      <c r="K132" t="str">
        <f>IFERROR(VLOOKUP(F132,tbTurnos,3,FALSE),"")</f>
        <v/>
      </c>
      <c r="N132" t="str">
        <f>IFERROR(VLOOKUP(M132,tbFactorMes,2,FALSE),"")</f>
        <v/>
      </c>
      <c r="O132">
        <f t="shared" si="28"/>
        <v>0</v>
      </c>
      <c r="R132" t="str">
        <f>IFERROR(VLOOKUP(Q132,tbFactorMes,2,FALSE),"")</f>
        <v/>
      </c>
      <c r="S132">
        <f t="shared" si="29"/>
        <v>0</v>
      </c>
      <c r="V132" t="str">
        <f>IFERROR(VLOOKUP(U132,tbFactorMes,2,FALSE),"")</f>
        <v/>
      </c>
      <c r="W132">
        <f t="shared" si="30"/>
        <v>0</v>
      </c>
      <c r="Z132" t="str">
        <f>IFERROR(VLOOKUP(Y132,tbFactorMes,2,FALSE),"")</f>
        <v/>
      </c>
      <c r="AA132">
        <f t="shared" si="31"/>
        <v>0</v>
      </c>
      <c r="AD132" t="str">
        <f>IFERROR(VLOOKUP(AC132,tbFactorMes,2,FALSE),"")</f>
        <v/>
      </c>
      <c r="AE132">
        <f t="shared" si="32"/>
        <v>0</v>
      </c>
      <c r="AH132" t="str">
        <f>IFERROR(VLOOKUP(AG132,tbFactorMes,2,FALSE),"")</f>
        <v/>
      </c>
      <c r="AI132">
        <f t="shared" si="33"/>
        <v>0</v>
      </c>
      <c r="AL132" t="str">
        <f>IFERROR(VLOOKUP(AK132,tbFactorMes,2,FALSE),"")</f>
        <v/>
      </c>
      <c r="AM132">
        <f t="shared" si="34"/>
        <v>0</v>
      </c>
      <c r="AP132" t="str">
        <f>IFERROR(VLOOKUP(AO132,tbFactorMes,2,FALSE),"")</f>
        <v/>
      </c>
      <c r="AQ132">
        <f t="shared" si="35"/>
        <v>0</v>
      </c>
      <c r="AT132" t="str">
        <f>IFERROR(VLOOKUP(AS132,tbFactorMes,2,FALSE),"")</f>
        <v/>
      </c>
      <c r="AU132">
        <f t="shared" si="36"/>
        <v>0</v>
      </c>
      <c r="AX132" t="str">
        <f>IFERROR(VLOOKUP(AW132,tbFactorMes,2,FALSE),"")</f>
        <v/>
      </c>
      <c r="AY132">
        <f t="shared" si="37"/>
        <v>0</v>
      </c>
      <c r="BB132" t="str">
        <f>IFERROR(VLOOKUP(BA132,tbFactorMes,2,FALSE),"")</f>
        <v/>
      </c>
      <c r="BC132">
        <f t="shared" si="38"/>
        <v>0</v>
      </c>
      <c r="BF132" t="str">
        <f>IFERROR(VLOOKUP(BE132,tbFactorMes,2,FALSE),"")</f>
        <v/>
      </c>
      <c r="BG132">
        <f t="shared" si="39"/>
        <v>0</v>
      </c>
      <c r="BH132">
        <f t="shared" si="40"/>
        <v>0</v>
      </c>
      <c r="BI132">
        <f t="shared" si="41"/>
        <v>0</v>
      </c>
    </row>
    <row r="133" spans="11:61" x14ac:dyDescent="0.35">
      <c r="K133" t="str">
        <f>IFERROR(VLOOKUP(F133,tbTurnos,3,FALSE),"")</f>
        <v/>
      </c>
      <c r="N133" t="str">
        <f>IFERROR(VLOOKUP(M133,tbFactorMes,2,FALSE),"")</f>
        <v/>
      </c>
      <c r="O133">
        <f t="shared" si="28"/>
        <v>0</v>
      </c>
      <c r="R133" t="str">
        <f>IFERROR(VLOOKUP(Q133,tbFactorMes,2,FALSE),"")</f>
        <v/>
      </c>
      <c r="S133">
        <f t="shared" si="29"/>
        <v>0</v>
      </c>
      <c r="V133" t="str">
        <f>IFERROR(VLOOKUP(U133,tbFactorMes,2,FALSE),"")</f>
        <v/>
      </c>
      <c r="W133">
        <f t="shared" si="30"/>
        <v>0</v>
      </c>
      <c r="Z133" t="str">
        <f>IFERROR(VLOOKUP(Y133,tbFactorMes,2,FALSE),"")</f>
        <v/>
      </c>
      <c r="AA133">
        <f t="shared" si="31"/>
        <v>0</v>
      </c>
      <c r="AD133" t="str">
        <f>IFERROR(VLOOKUP(AC133,tbFactorMes,2,FALSE),"")</f>
        <v/>
      </c>
      <c r="AE133">
        <f t="shared" si="32"/>
        <v>0</v>
      </c>
      <c r="AH133" t="str">
        <f>IFERROR(VLOOKUP(AG133,tbFactorMes,2,FALSE),"")</f>
        <v/>
      </c>
      <c r="AI133">
        <f t="shared" si="33"/>
        <v>0</v>
      </c>
      <c r="AL133" t="str">
        <f>IFERROR(VLOOKUP(AK133,tbFactorMes,2,FALSE),"")</f>
        <v/>
      </c>
      <c r="AM133">
        <f t="shared" si="34"/>
        <v>0</v>
      </c>
      <c r="AP133" t="str">
        <f>IFERROR(VLOOKUP(AO133,tbFactorMes,2,FALSE),"")</f>
        <v/>
      </c>
      <c r="AQ133">
        <f t="shared" si="35"/>
        <v>0</v>
      </c>
      <c r="AT133" t="str">
        <f>IFERROR(VLOOKUP(AS133,tbFactorMes,2,FALSE),"")</f>
        <v/>
      </c>
      <c r="AU133">
        <f t="shared" si="36"/>
        <v>0</v>
      </c>
      <c r="AX133" t="str">
        <f>IFERROR(VLOOKUP(AW133,tbFactorMes,2,FALSE),"")</f>
        <v/>
      </c>
      <c r="AY133">
        <f t="shared" si="37"/>
        <v>0</v>
      </c>
      <c r="BB133" t="str">
        <f>IFERROR(VLOOKUP(BA133,tbFactorMes,2,FALSE),"")</f>
        <v/>
      </c>
      <c r="BC133">
        <f t="shared" si="38"/>
        <v>0</v>
      </c>
      <c r="BF133" t="str">
        <f>IFERROR(VLOOKUP(BE133,tbFactorMes,2,FALSE),"")</f>
        <v/>
      </c>
      <c r="BG133">
        <f t="shared" si="39"/>
        <v>0</v>
      </c>
      <c r="BH133">
        <f t="shared" si="40"/>
        <v>0</v>
      </c>
      <c r="BI133">
        <f t="shared" si="41"/>
        <v>0</v>
      </c>
    </row>
    <row r="134" spans="11:61" x14ac:dyDescent="0.35">
      <c r="K134" t="str">
        <f>IFERROR(VLOOKUP(F134,tbTurnos,3,FALSE),"")</f>
        <v/>
      </c>
      <c r="N134" t="str">
        <f>IFERROR(VLOOKUP(M134,tbFactorMes,2,FALSE),"")</f>
        <v/>
      </c>
      <c r="O134">
        <f t="shared" si="28"/>
        <v>0</v>
      </c>
      <c r="R134" t="str">
        <f>IFERROR(VLOOKUP(Q134,tbFactorMes,2,FALSE),"")</f>
        <v/>
      </c>
      <c r="S134">
        <f t="shared" si="29"/>
        <v>0</v>
      </c>
      <c r="V134" t="str">
        <f>IFERROR(VLOOKUP(U134,tbFactorMes,2,FALSE),"")</f>
        <v/>
      </c>
      <c r="W134">
        <f t="shared" si="30"/>
        <v>0</v>
      </c>
      <c r="Z134" t="str">
        <f>IFERROR(VLOOKUP(Y134,tbFactorMes,2,FALSE),"")</f>
        <v/>
      </c>
      <c r="AA134">
        <f t="shared" si="31"/>
        <v>0</v>
      </c>
      <c r="AD134" t="str">
        <f>IFERROR(VLOOKUP(AC134,tbFactorMes,2,FALSE),"")</f>
        <v/>
      </c>
      <c r="AE134">
        <f t="shared" si="32"/>
        <v>0</v>
      </c>
      <c r="AH134" t="str">
        <f>IFERROR(VLOOKUP(AG134,tbFactorMes,2,FALSE),"")</f>
        <v/>
      </c>
      <c r="AI134">
        <f t="shared" si="33"/>
        <v>0</v>
      </c>
      <c r="AL134" t="str">
        <f>IFERROR(VLOOKUP(AK134,tbFactorMes,2,FALSE),"")</f>
        <v/>
      </c>
      <c r="AM134">
        <f t="shared" si="34"/>
        <v>0</v>
      </c>
      <c r="AP134" t="str">
        <f>IFERROR(VLOOKUP(AO134,tbFactorMes,2,FALSE),"")</f>
        <v/>
      </c>
      <c r="AQ134">
        <f t="shared" si="35"/>
        <v>0</v>
      </c>
      <c r="AT134" t="str">
        <f>IFERROR(VLOOKUP(AS134,tbFactorMes,2,FALSE),"")</f>
        <v/>
      </c>
      <c r="AU134">
        <f t="shared" si="36"/>
        <v>0</v>
      </c>
      <c r="AX134" t="str">
        <f>IFERROR(VLOOKUP(AW134,tbFactorMes,2,FALSE),"")</f>
        <v/>
      </c>
      <c r="AY134">
        <f t="shared" si="37"/>
        <v>0</v>
      </c>
      <c r="BB134" t="str">
        <f>IFERROR(VLOOKUP(BA134,tbFactorMes,2,FALSE),"")</f>
        <v/>
      </c>
      <c r="BC134">
        <f t="shared" si="38"/>
        <v>0</v>
      </c>
      <c r="BF134" t="str">
        <f>IFERROR(VLOOKUP(BE134,tbFactorMes,2,FALSE),"")</f>
        <v/>
      </c>
      <c r="BG134">
        <f t="shared" si="39"/>
        <v>0</v>
      </c>
      <c r="BH134">
        <f t="shared" si="40"/>
        <v>0</v>
      </c>
      <c r="BI134">
        <f t="shared" si="41"/>
        <v>0</v>
      </c>
    </row>
    <row r="135" spans="11:61" x14ac:dyDescent="0.35">
      <c r="K135" t="str">
        <f>IFERROR(VLOOKUP(F135,tbTurnos,3,FALSE),"")</f>
        <v/>
      </c>
      <c r="N135" t="str">
        <f>IFERROR(VLOOKUP(M135,tbFactorMes,2,FALSE),"")</f>
        <v/>
      </c>
      <c r="O135">
        <f t="shared" si="28"/>
        <v>0</v>
      </c>
      <c r="R135" t="str">
        <f>IFERROR(VLOOKUP(Q135,tbFactorMes,2,FALSE),"")</f>
        <v/>
      </c>
      <c r="S135">
        <f t="shared" si="29"/>
        <v>0</v>
      </c>
      <c r="V135" t="str">
        <f>IFERROR(VLOOKUP(U135,tbFactorMes,2,FALSE),"")</f>
        <v/>
      </c>
      <c r="W135">
        <f t="shared" si="30"/>
        <v>0</v>
      </c>
      <c r="Z135" t="str">
        <f>IFERROR(VLOOKUP(Y135,tbFactorMes,2,FALSE),"")</f>
        <v/>
      </c>
      <c r="AA135">
        <f t="shared" si="31"/>
        <v>0</v>
      </c>
      <c r="AD135" t="str">
        <f>IFERROR(VLOOKUP(AC135,tbFactorMes,2,FALSE),"")</f>
        <v/>
      </c>
      <c r="AE135">
        <f t="shared" si="32"/>
        <v>0</v>
      </c>
      <c r="AH135" t="str">
        <f>IFERROR(VLOOKUP(AG135,tbFactorMes,2,FALSE),"")</f>
        <v/>
      </c>
      <c r="AI135">
        <f t="shared" si="33"/>
        <v>0</v>
      </c>
      <c r="AL135" t="str">
        <f>IFERROR(VLOOKUP(AK135,tbFactorMes,2,FALSE),"")</f>
        <v/>
      </c>
      <c r="AM135">
        <f t="shared" si="34"/>
        <v>0</v>
      </c>
      <c r="AP135" t="str">
        <f>IFERROR(VLOOKUP(AO135,tbFactorMes,2,FALSE),"")</f>
        <v/>
      </c>
      <c r="AQ135">
        <f t="shared" si="35"/>
        <v>0</v>
      </c>
      <c r="AT135" t="str">
        <f>IFERROR(VLOOKUP(AS135,tbFactorMes,2,FALSE),"")</f>
        <v/>
      </c>
      <c r="AU135">
        <f t="shared" si="36"/>
        <v>0</v>
      </c>
      <c r="AX135" t="str">
        <f>IFERROR(VLOOKUP(AW135,tbFactorMes,2,FALSE),"")</f>
        <v/>
      </c>
      <c r="AY135">
        <f t="shared" si="37"/>
        <v>0</v>
      </c>
      <c r="BB135" t="str">
        <f>IFERROR(VLOOKUP(BA135,tbFactorMes,2,FALSE),"")</f>
        <v/>
      </c>
      <c r="BC135">
        <f t="shared" si="38"/>
        <v>0</v>
      </c>
      <c r="BF135" t="str">
        <f>IFERROR(VLOOKUP(BE135,tbFactorMes,2,FALSE),"")</f>
        <v/>
      </c>
      <c r="BG135">
        <f t="shared" si="39"/>
        <v>0</v>
      </c>
      <c r="BH135">
        <f t="shared" si="40"/>
        <v>0</v>
      </c>
      <c r="BI135">
        <f t="shared" si="41"/>
        <v>0</v>
      </c>
    </row>
    <row r="136" spans="11:61" x14ac:dyDescent="0.35">
      <c r="K136" t="str">
        <f>IFERROR(VLOOKUP(F136,tbTurnos,3,FALSE),"")</f>
        <v/>
      </c>
      <c r="N136" t="str">
        <f>IFERROR(VLOOKUP(M136,tbFactorMes,2,FALSE),"")</f>
        <v/>
      </c>
      <c r="O136">
        <f t="shared" si="28"/>
        <v>0</v>
      </c>
      <c r="R136" t="str">
        <f>IFERROR(VLOOKUP(Q136,tbFactorMes,2,FALSE),"")</f>
        <v/>
      </c>
      <c r="S136">
        <f t="shared" si="29"/>
        <v>0</v>
      </c>
      <c r="V136" t="str">
        <f>IFERROR(VLOOKUP(U136,tbFactorMes,2,FALSE),"")</f>
        <v/>
      </c>
      <c r="W136">
        <f t="shared" si="30"/>
        <v>0</v>
      </c>
      <c r="Z136" t="str">
        <f>IFERROR(VLOOKUP(Y136,tbFactorMes,2,FALSE),"")</f>
        <v/>
      </c>
      <c r="AA136">
        <f t="shared" si="31"/>
        <v>0</v>
      </c>
      <c r="AD136" t="str">
        <f>IFERROR(VLOOKUP(AC136,tbFactorMes,2,FALSE),"")</f>
        <v/>
      </c>
      <c r="AE136">
        <f t="shared" si="32"/>
        <v>0</v>
      </c>
      <c r="AH136" t="str">
        <f>IFERROR(VLOOKUP(AG136,tbFactorMes,2,FALSE),"")</f>
        <v/>
      </c>
      <c r="AI136">
        <f t="shared" si="33"/>
        <v>0</v>
      </c>
      <c r="AL136" t="str">
        <f>IFERROR(VLOOKUP(AK136,tbFactorMes,2,FALSE),"")</f>
        <v/>
      </c>
      <c r="AM136">
        <f t="shared" si="34"/>
        <v>0</v>
      </c>
      <c r="AP136" t="str">
        <f>IFERROR(VLOOKUP(AO136,tbFactorMes,2,FALSE),"")</f>
        <v/>
      </c>
      <c r="AQ136">
        <f t="shared" si="35"/>
        <v>0</v>
      </c>
      <c r="AT136" t="str">
        <f>IFERROR(VLOOKUP(AS136,tbFactorMes,2,FALSE),"")</f>
        <v/>
      </c>
      <c r="AU136">
        <f t="shared" si="36"/>
        <v>0</v>
      </c>
      <c r="AX136" t="str">
        <f>IFERROR(VLOOKUP(AW136,tbFactorMes,2,FALSE),"")</f>
        <v/>
      </c>
      <c r="AY136">
        <f t="shared" si="37"/>
        <v>0</v>
      </c>
      <c r="BB136" t="str">
        <f>IFERROR(VLOOKUP(BA136,tbFactorMes,2,FALSE),"")</f>
        <v/>
      </c>
      <c r="BC136">
        <f t="shared" si="38"/>
        <v>0</v>
      </c>
      <c r="BF136" t="str">
        <f>IFERROR(VLOOKUP(BE136,tbFactorMes,2,FALSE),"")</f>
        <v/>
      </c>
      <c r="BG136">
        <f t="shared" si="39"/>
        <v>0</v>
      </c>
      <c r="BH136">
        <f t="shared" si="40"/>
        <v>0</v>
      </c>
      <c r="BI136">
        <f t="shared" si="41"/>
        <v>0</v>
      </c>
    </row>
    <row r="137" spans="11:61" x14ac:dyDescent="0.35">
      <c r="K137" t="str">
        <f>IFERROR(VLOOKUP(F137,tbTurnos,3,FALSE),"")</f>
        <v/>
      </c>
      <c r="N137" t="str">
        <f>IFERROR(VLOOKUP(M137,tbFactorMes,2,FALSE),"")</f>
        <v/>
      </c>
      <c r="O137">
        <f t="shared" si="28"/>
        <v>0</v>
      </c>
      <c r="R137" t="str">
        <f>IFERROR(VLOOKUP(Q137,tbFactorMes,2,FALSE),"")</f>
        <v/>
      </c>
      <c r="S137">
        <f t="shared" si="29"/>
        <v>0</v>
      </c>
      <c r="V137" t="str">
        <f>IFERROR(VLOOKUP(U137,tbFactorMes,2,FALSE),"")</f>
        <v/>
      </c>
      <c r="W137">
        <f t="shared" si="30"/>
        <v>0</v>
      </c>
      <c r="Z137" t="str">
        <f>IFERROR(VLOOKUP(Y137,tbFactorMes,2,FALSE),"")</f>
        <v/>
      </c>
      <c r="AA137">
        <f t="shared" si="31"/>
        <v>0</v>
      </c>
      <c r="AD137" t="str">
        <f>IFERROR(VLOOKUP(AC137,tbFactorMes,2,FALSE),"")</f>
        <v/>
      </c>
      <c r="AE137">
        <f t="shared" si="32"/>
        <v>0</v>
      </c>
      <c r="AH137" t="str">
        <f>IFERROR(VLOOKUP(AG137,tbFactorMes,2,FALSE),"")</f>
        <v/>
      </c>
      <c r="AI137">
        <f t="shared" si="33"/>
        <v>0</v>
      </c>
      <c r="AL137" t="str">
        <f>IFERROR(VLOOKUP(AK137,tbFactorMes,2,FALSE),"")</f>
        <v/>
      </c>
      <c r="AM137">
        <f t="shared" si="34"/>
        <v>0</v>
      </c>
      <c r="AP137" t="str">
        <f>IFERROR(VLOOKUP(AO137,tbFactorMes,2,FALSE),"")</f>
        <v/>
      </c>
      <c r="AQ137">
        <f t="shared" si="35"/>
        <v>0</v>
      </c>
      <c r="AT137" t="str">
        <f>IFERROR(VLOOKUP(AS137,tbFactorMes,2,FALSE),"")</f>
        <v/>
      </c>
      <c r="AU137">
        <f t="shared" si="36"/>
        <v>0</v>
      </c>
      <c r="AX137" t="str">
        <f>IFERROR(VLOOKUP(AW137,tbFactorMes,2,FALSE),"")</f>
        <v/>
      </c>
      <c r="AY137">
        <f t="shared" si="37"/>
        <v>0</v>
      </c>
      <c r="BB137" t="str">
        <f>IFERROR(VLOOKUP(BA137,tbFactorMes,2,FALSE),"")</f>
        <v/>
      </c>
      <c r="BC137">
        <f t="shared" si="38"/>
        <v>0</v>
      </c>
      <c r="BF137" t="str">
        <f>IFERROR(VLOOKUP(BE137,tbFactorMes,2,FALSE),"")</f>
        <v/>
      </c>
      <c r="BG137">
        <f t="shared" si="39"/>
        <v>0</v>
      </c>
      <c r="BH137">
        <f t="shared" si="40"/>
        <v>0</v>
      </c>
      <c r="BI137">
        <f t="shared" si="41"/>
        <v>0</v>
      </c>
    </row>
    <row r="138" spans="11:61" x14ac:dyDescent="0.35">
      <c r="K138" t="str">
        <f>IFERROR(VLOOKUP(F138,tbTurnos,3,FALSE),"")</f>
        <v/>
      </c>
      <c r="N138" t="str">
        <f>IFERROR(VLOOKUP(M138,tbFactorMes,2,FALSE),"")</f>
        <v/>
      </c>
      <c r="O138">
        <f t="shared" si="28"/>
        <v>0</v>
      </c>
      <c r="R138" t="str">
        <f>IFERROR(VLOOKUP(Q138,tbFactorMes,2,FALSE),"")</f>
        <v/>
      </c>
      <c r="S138">
        <f t="shared" si="29"/>
        <v>0</v>
      </c>
      <c r="V138" t="str">
        <f>IFERROR(VLOOKUP(U138,tbFactorMes,2,FALSE),"")</f>
        <v/>
      </c>
      <c r="W138">
        <f t="shared" si="30"/>
        <v>0</v>
      </c>
      <c r="Z138" t="str">
        <f>IFERROR(VLOOKUP(Y138,tbFactorMes,2,FALSE),"")</f>
        <v/>
      </c>
      <c r="AA138">
        <f t="shared" si="31"/>
        <v>0</v>
      </c>
      <c r="AD138" t="str">
        <f>IFERROR(VLOOKUP(AC138,tbFactorMes,2,FALSE),"")</f>
        <v/>
      </c>
      <c r="AE138">
        <f t="shared" si="32"/>
        <v>0</v>
      </c>
      <c r="AH138" t="str">
        <f>IFERROR(VLOOKUP(AG138,tbFactorMes,2,FALSE),"")</f>
        <v/>
      </c>
      <c r="AI138">
        <f t="shared" si="33"/>
        <v>0</v>
      </c>
      <c r="AL138" t="str">
        <f>IFERROR(VLOOKUP(AK138,tbFactorMes,2,FALSE),"")</f>
        <v/>
      </c>
      <c r="AM138">
        <f t="shared" si="34"/>
        <v>0</v>
      </c>
      <c r="AP138" t="str">
        <f>IFERROR(VLOOKUP(AO138,tbFactorMes,2,FALSE),"")</f>
        <v/>
      </c>
      <c r="AQ138">
        <f t="shared" si="35"/>
        <v>0</v>
      </c>
      <c r="AT138" t="str">
        <f>IFERROR(VLOOKUP(AS138,tbFactorMes,2,FALSE),"")</f>
        <v/>
      </c>
      <c r="AU138">
        <f t="shared" si="36"/>
        <v>0</v>
      </c>
      <c r="AX138" t="str">
        <f>IFERROR(VLOOKUP(AW138,tbFactorMes,2,FALSE),"")</f>
        <v/>
      </c>
      <c r="AY138">
        <f t="shared" si="37"/>
        <v>0</v>
      </c>
      <c r="BB138" t="str">
        <f>IFERROR(VLOOKUP(BA138,tbFactorMes,2,FALSE),"")</f>
        <v/>
      </c>
      <c r="BC138">
        <f t="shared" si="38"/>
        <v>0</v>
      </c>
      <c r="BF138" t="str">
        <f>IFERROR(VLOOKUP(BE138,tbFactorMes,2,FALSE),"")</f>
        <v/>
      </c>
      <c r="BG138">
        <f t="shared" si="39"/>
        <v>0</v>
      </c>
      <c r="BH138">
        <f t="shared" si="40"/>
        <v>0</v>
      </c>
      <c r="BI138">
        <f t="shared" si="41"/>
        <v>0</v>
      </c>
    </row>
    <row r="139" spans="11:61" x14ac:dyDescent="0.35">
      <c r="K139" t="str">
        <f>IFERROR(VLOOKUP(F139,tbTurnos,3,FALSE),"")</f>
        <v/>
      </c>
      <c r="N139" t="str">
        <f>IFERROR(VLOOKUP(M139,tbFactorMes,2,FALSE),"")</f>
        <v/>
      </c>
      <c r="O139">
        <f t="shared" si="28"/>
        <v>0</v>
      </c>
      <c r="R139" t="str">
        <f>IFERROR(VLOOKUP(Q139,tbFactorMes,2,FALSE),"")</f>
        <v/>
      </c>
      <c r="S139">
        <f t="shared" si="29"/>
        <v>0</v>
      </c>
      <c r="V139" t="str">
        <f>IFERROR(VLOOKUP(U139,tbFactorMes,2,FALSE),"")</f>
        <v/>
      </c>
      <c r="W139">
        <f t="shared" si="30"/>
        <v>0</v>
      </c>
      <c r="Z139" t="str">
        <f>IFERROR(VLOOKUP(Y139,tbFactorMes,2,FALSE),"")</f>
        <v/>
      </c>
      <c r="AA139">
        <f t="shared" si="31"/>
        <v>0</v>
      </c>
      <c r="AD139" t="str">
        <f>IFERROR(VLOOKUP(AC139,tbFactorMes,2,FALSE),"")</f>
        <v/>
      </c>
      <c r="AE139">
        <f t="shared" si="32"/>
        <v>0</v>
      </c>
      <c r="AH139" t="str">
        <f>IFERROR(VLOOKUP(AG139,tbFactorMes,2,FALSE),"")</f>
        <v/>
      </c>
      <c r="AI139">
        <f t="shared" si="33"/>
        <v>0</v>
      </c>
      <c r="AL139" t="str">
        <f>IFERROR(VLOOKUP(AK139,tbFactorMes,2,FALSE),"")</f>
        <v/>
      </c>
      <c r="AM139">
        <f t="shared" si="34"/>
        <v>0</v>
      </c>
      <c r="AP139" t="str">
        <f>IFERROR(VLOOKUP(AO139,tbFactorMes,2,FALSE),"")</f>
        <v/>
      </c>
      <c r="AQ139">
        <f t="shared" si="35"/>
        <v>0</v>
      </c>
      <c r="AT139" t="str">
        <f>IFERROR(VLOOKUP(AS139,tbFactorMes,2,FALSE),"")</f>
        <v/>
      </c>
      <c r="AU139">
        <f t="shared" si="36"/>
        <v>0</v>
      </c>
      <c r="AX139" t="str">
        <f>IFERROR(VLOOKUP(AW139,tbFactorMes,2,FALSE),"")</f>
        <v/>
      </c>
      <c r="AY139">
        <f t="shared" si="37"/>
        <v>0</v>
      </c>
      <c r="BB139" t="str">
        <f>IFERROR(VLOOKUP(BA139,tbFactorMes,2,FALSE),"")</f>
        <v/>
      </c>
      <c r="BC139">
        <f t="shared" si="38"/>
        <v>0</v>
      </c>
      <c r="BF139" t="str">
        <f>IFERROR(VLOOKUP(BE139,tbFactorMes,2,FALSE),"")</f>
        <v/>
      </c>
      <c r="BG139">
        <f t="shared" si="39"/>
        <v>0</v>
      </c>
      <c r="BH139">
        <f t="shared" si="40"/>
        <v>0</v>
      </c>
      <c r="BI139">
        <f t="shared" si="41"/>
        <v>0</v>
      </c>
    </row>
    <row r="140" spans="11:61" x14ac:dyDescent="0.35">
      <c r="K140" t="str">
        <f>IFERROR(VLOOKUP(F140,tbTurnos,3,FALSE),"")</f>
        <v/>
      </c>
      <c r="N140" t="str">
        <f>IFERROR(VLOOKUP(M140,tbFactorMes,2,FALSE),"")</f>
        <v/>
      </c>
      <c r="O140">
        <f t="shared" si="28"/>
        <v>0</v>
      </c>
      <c r="R140" t="str">
        <f>IFERROR(VLOOKUP(Q140,tbFactorMes,2,FALSE),"")</f>
        <v/>
      </c>
      <c r="S140">
        <f t="shared" si="29"/>
        <v>0</v>
      </c>
      <c r="V140" t="str">
        <f>IFERROR(VLOOKUP(U140,tbFactorMes,2,FALSE),"")</f>
        <v/>
      </c>
      <c r="W140">
        <f t="shared" si="30"/>
        <v>0</v>
      </c>
      <c r="Z140" t="str">
        <f>IFERROR(VLOOKUP(Y140,tbFactorMes,2,FALSE),"")</f>
        <v/>
      </c>
      <c r="AA140">
        <f t="shared" si="31"/>
        <v>0</v>
      </c>
      <c r="AD140" t="str">
        <f>IFERROR(VLOOKUP(AC140,tbFactorMes,2,FALSE),"")</f>
        <v/>
      </c>
      <c r="AE140">
        <f t="shared" si="32"/>
        <v>0</v>
      </c>
      <c r="AH140" t="str">
        <f>IFERROR(VLOOKUP(AG140,tbFactorMes,2,FALSE),"")</f>
        <v/>
      </c>
      <c r="AI140">
        <f t="shared" si="33"/>
        <v>0</v>
      </c>
      <c r="AL140" t="str">
        <f>IFERROR(VLOOKUP(AK140,tbFactorMes,2,FALSE),"")</f>
        <v/>
      </c>
      <c r="AM140">
        <f t="shared" si="34"/>
        <v>0</v>
      </c>
      <c r="AP140" t="str">
        <f>IFERROR(VLOOKUP(AO140,tbFactorMes,2,FALSE),"")</f>
        <v/>
      </c>
      <c r="AQ140">
        <f t="shared" si="35"/>
        <v>0</v>
      </c>
      <c r="AT140" t="str">
        <f>IFERROR(VLOOKUP(AS140,tbFactorMes,2,FALSE),"")</f>
        <v/>
      </c>
      <c r="AU140">
        <f t="shared" si="36"/>
        <v>0</v>
      </c>
      <c r="AX140" t="str">
        <f>IFERROR(VLOOKUP(AW140,tbFactorMes,2,FALSE),"")</f>
        <v/>
      </c>
      <c r="AY140">
        <f t="shared" si="37"/>
        <v>0</v>
      </c>
      <c r="BB140" t="str">
        <f>IFERROR(VLOOKUP(BA140,tbFactorMes,2,FALSE),"")</f>
        <v/>
      </c>
      <c r="BC140">
        <f t="shared" si="38"/>
        <v>0</v>
      </c>
      <c r="BF140" t="str">
        <f>IFERROR(VLOOKUP(BE140,tbFactorMes,2,FALSE),"")</f>
        <v/>
      </c>
      <c r="BG140">
        <f t="shared" si="39"/>
        <v>0</v>
      </c>
      <c r="BH140">
        <f t="shared" si="40"/>
        <v>0</v>
      </c>
      <c r="BI140">
        <f t="shared" si="41"/>
        <v>0</v>
      </c>
    </row>
    <row r="141" spans="11:61" x14ac:dyDescent="0.35">
      <c r="K141" t="str">
        <f>IFERROR(VLOOKUP(F141,tbTurnos,3,FALSE),"")</f>
        <v/>
      </c>
      <c r="N141" t="str">
        <f>IFERROR(VLOOKUP(M141,tbFactorMes,2,FALSE),"")</f>
        <v/>
      </c>
      <c r="O141">
        <f t="shared" si="28"/>
        <v>0</v>
      </c>
      <c r="R141" t="str">
        <f>IFERROR(VLOOKUP(Q141,tbFactorMes,2,FALSE),"")</f>
        <v/>
      </c>
      <c r="S141">
        <f t="shared" si="29"/>
        <v>0</v>
      </c>
      <c r="V141" t="str">
        <f>IFERROR(VLOOKUP(U141,tbFactorMes,2,FALSE),"")</f>
        <v/>
      </c>
      <c r="W141">
        <f t="shared" si="30"/>
        <v>0</v>
      </c>
      <c r="Z141" t="str">
        <f>IFERROR(VLOOKUP(Y141,tbFactorMes,2,FALSE),"")</f>
        <v/>
      </c>
      <c r="AA141">
        <f t="shared" si="31"/>
        <v>0</v>
      </c>
      <c r="AD141" t="str">
        <f>IFERROR(VLOOKUP(AC141,tbFactorMes,2,FALSE),"")</f>
        <v/>
      </c>
      <c r="AE141">
        <f t="shared" si="32"/>
        <v>0</v>
      </c>
      <c r="AH141" t="str">
        <f>IFERROR(VLOOKUP(AG141,tbFactorMes,2,FALSE),"")</f>
        <v/>
      </c>
      <c r="AI141">
        <f t="shared" si="33"/>
        <v>0</v>
      </c>
      <c r="AL141" t="str">
        <f>IFERROR(VLOOKUP(AK141,tbFactorMes,2,FALSE),"")</f>
        <v/>
      </c>
      <c r="AM141">
        <f t="shared" si="34"/>
        <v>0</v>
      </c>
      <c r="AP141" t="str">
        <f>IFERROR(VLOOKUP(AO141,tbFactorMes,2,FALSE),"")</f>
        <v/>
      </c>
      <c r="AQ141">
        <f t="shared" si="35"/>
        <v>0</v>
      </c>
      <c r="AT141" t="str">
        <f>IFERROR(VLOOKUP(AS141,tbFactorMes,2,FALSE),"")</f>
        <v/>
      </c>
      <c r="AU141">
        <f t="shared" si="36"/>
        <v>0</v>
      </c>
      <c r="AX141" t="str">
        <f>IFERROR(VLOOKUP(AW141,tbFactorMes,2,FALSE),"")</f>
        <v/>
      </c>
      <c r="AY141">
        <f t="shared" si="37"/>
        <v>0</v>
      </c>
      <c r="BB141" t="str">
        <f>IFERROR(VLOOKUP(BA141,tbFactorMes,2,FALSE),"")</f>
        <v/>
      </c>
      <c r="BC141">
        <f t="shared" si="38"/>
        <v>0</v>
      </c>
      <c r="BF141" t="str">
        <f>IFERROR(VLOOKUP(BE141,tbFactorMes,2,FALSE),"")</f>
        <v/>
      </c>
      <c r="BG141">
        <f t="shared" si="39"/>
        <v>0</v>
      </c>
      <c r="BH141">
        <f t="shared" si="40"/>
        <v>0</v>
      </c>
      <c r="BI141">
        <f t="shared" si="41"/>
        <v>0</v>
      </c>
    </row>
    <row r="142" spans="11:61" x14ac:dyDescent="0.35">
      <c r="K142" t="str">
        <f>IFERROR(VLOOKUP(F142,tbTurnos,3,FALSE),"")</f>
        <v/>
      </c>
      <c r="N142" t="str">
        <f>IFERROR(VLOOKUP(M142,tbFactorMes,2,FALSE),"")</f>
        <v/>
      </c>
      <c r="O142">
        <f t="shared" si="28"/>
        <v>0</v>
      </c>
      <c r="R142" t="str">
        <f>IFERROR(VLOOKUP(Q142,tbFactorMes,2,FALSE),"")</f>
        <v/>
      </c>
      <c r="S142">
        <f t="shared" si="29"/>
        <v>0</v>
      </c>
      <c r="V142" t="str">
        <f>IFERROR(VLOOKUP(U142,tbFactorMes,2,FALSE),"")</f>
        <v/>
      </c>
      <c r="W142">
        <f t="shared" si="30"/>
        <v>0</v>
      </c>
      <c r="Z142" t="str">
        <f>IFERROR(VLOOKUP(Y142,tbFactorMes,2,FALSE),"")</f>
        <v/>
      </c>
      <c r="AA142">
        <f t="shared" si="31"/>
        <v>0</v>
      </c>
      <c r="AD142" t="str">
        <f>IFERROR(VLOOKUP(AC142,tbFactorMes,2,FALSE),"")</f>
        <v/>
      </c>
      <c r="AE142">
        <f t="shared" si="32"/>
        <v>0</v>
      </c>
      <c r="AH142" t="str">
        <f>IFERROR(VLOOKUP(AG142,tbFactorMes,2,FALSE),"")</f>
        <v/>
      </c>
      <c r="AI142">
        <f t="shared" si="33"/>
        <v>0</v>
      </c>
      <c r="AL142" t="str">
        <f>IFERROR(VLOOKUP(AK142,tbFactorMes,2,FALSE),"")</f>
        <v/>
      </c>
      <c r="AM142">
        <f t="shared" si="34"/>
        <v>0</v>
      </c>
      <c r="AP142" t="str">
        <f>IFERROR(VLOOKUP(AO142,tbFactorMes,2,FALSE),"")</f>
        <v/>
      </c>
      <c r="AQ142">
        <f t="shared" si="35"/>
        <v>0</v>
      </c>
      <c r="AT142" t="str">
        <f>IFERROR(VLOOKUP(AS142,tbFactorMes,2,FALSE),"")</f>
        <v/>
      </c>
      <c r="AU142">
        <f t="shared" si="36"/>
        <v>0</v>
      </c>
      <c r="AX142" t="str">
        <f>IFERROR(VLOOKUP(AW142,tbFactorMes,2,FALSE),"")</f>
        <v/>
      </c>
      <c r="AY142">
        <f t="shared" si="37"/>
        <v>0</v>
      </c>
      <c r="BB142" t="str">
        <f>IFERROR(VLOOKUP(BA142,tbFactorMes,2,FALSE),"")</f>
        <v/>
      </c>
      <c r="BC142">
        <f t="shared" si="38"/>
        <v>0</v>
      </c>
      <c r="BF142" t="str">
        <f>IFERROR(VLOOKUP(BE142,tbFactorMes,2,FALSE),"")</f>
        <v/>
      </c>
      <c r="BG142">
        <f t="shared" si="39"/>
        <v>0</v>
      </c>
      <c r="BH142">
        <f t="shared" si="40"/>
        <v>0</v>
      </c>
      <c r="BI142">
        <f t="shared" si="41"/>
        <v>0</v>
      </c>
    </row>
    <row r="143" spans="11:61" x14ac:dyDescent="0.35">
      <c r="K143" t="str">
        <f>IFERROR(VLOOKUP(F143,tbTurnos,3,FALSE),"")</f>
        <v/>
      </c>
      <c r="N143" t="str">
        <f>IFERROR(VLOOKUP(M143,tbFactorMes,2,FALSE),"")</f>
        <v/>
      </c>
      <c r="O143">
        <f t="shared" si="28"/>
        <v>0</v>
      </c>
      <c r="R143" t="str">
        <f>IFERROR(VLOOKUP(Q143,tbFactorMes,2,FALSE),"")</f>
        <v/>
      </c>
      <c r="S143">
        <f t="shared" si="29"/>
        <v>0</v>
      </c>
      <c r="V143" t="str">
        <f>IFERROR(VLOOKUP(U143,tbFactorMes,2,FALSE),"")</f>
        <v/>
      </c>
      <c r="W143">
        <f t="shared" si="30"/>
        <v>0</v>
      </c>
      <c r="Z143" t="str">
        <f>IFERROR(VLOOKUP(Y143,tbFactorMes,2,FALSE),"")</f>
        <v/>
      </c>
      <c r="AA143">
        <f t="shared" si="31"/>
        <v>0</v>
      </c>
      <c r="AD143" t="str">
        <f>IFERROR(VLOOKUP(AC143,tbFactorMes,2,FALSE),"")</f>
        <v/>
      </c>
      <c r="AE143">
        <f t="shared" si="32"/>
        <v>0</v>
      </c>
      <c r="AH143" t="str">
        <f>IFERROR(VLOOKUP(AG143,tbFactorMes,2,FALSE),"")</f>
        <v/>
      </c>
      <c r="AI143">
        <f t="shared" si="33"/>
        <v>0</v>
      </c>
      <c r="AL143" t="str">
        <f>IFERROR(VLOOKUP(AK143,tbFactorMes,2,FALSE),"")</f>
        <v/>
      </c>
      <c r="AM143">
        <f t="shared" si="34"/>
        <v>0</v>
      </c>
      <c r="AP143" t="str">
        <f>IFERROR(VLOOKUP(AO143,tbFactorMes,2,FALSE),"")</f>
        <v/>
      </c>
      <c r="AQ143">
        <f t="shared" si="35"/>
        <v>0</v>
      </c>
      <c r="AT143" t="str">
        <f>IFERROR(VLOOKUP(AS143,tbFactorMes,2,FALSE),"")</f>
        <v/>
      </c>
      <c r="AU143">
        <f t="shared" si="36"/>
        <v>0</v>
      </c>
      <c r="AX143" t="str">
        <f>IFERROR(VLOOKUP(AW143,tbFactorMes,2,FALSE),"")</f>
        <v/>
      </c>
      <c r="AY143">
        <f t="shared" si="37"/>
        <v>0</v>
      </c>
      <c r="BB143" t="str">
        <f>IFERROR(VLOOKUP(BA143,tbFactorMes,2,FALSE),"")</f>
        <v/>
      </c>
      <c r="BC143">
        <f t="shared" si="38"/>
        <v>0</v>
      </c>
      <c r="BF143" t="str">
        <f>IFERROR(VLOOKUP(BE143,tbFactorMes,2,FALSE),"")</f>
        <v/>
      </c>
      <c r="BG143">
        <f t="shared" si="39"/>
        <v>0</v>
      </c>
      <c r="BH143">
        <f t="shared" si="40"/>
        <v>0</v>
      </c>
      <c r="BI143">
        <f t="shared" si="41"/>
        <v>0</v>
      </c>
    </row>
    <row r="144" spans="11:61" x14ac:dyDescent="0.35">
      <c r="K144" t="str">
        <f>IFERROR(VLOOKUP(F144,tbTurnos,3,FALSE),"")</f>
        <v/>
      </c>
      <c r="N144" t="str">
        <f>IFERROR(VLOOKUP(M144,tbFactorMes,2,FALSE),"")</f>
        <v/>
      </c>
      <c r="O144">
        <f t="shared" si="28"/>
        <v>0</v>
      </c>
      <c r="R144" t="str">
        <f>IFERROR(VLOOKUP(Q144,tbFactorMes,2,FALSE),"")</f>
        <v/>
      </c>
      <c r="S144">
        <f t="shared" si="29"/>
        <v>0</v>
      </c>
      <c r="V144" t="str">
        <f>IFERROR(VLOOKUP(U144,tbFactorMes,2,FALSE),"")</f>
        <v/>
      </c>
      <c r="W144">
        <f t="shared" si="30"/>
        <v>0</v>
      </c>
      <c r="Z144" t="str">
        <f>IFERROR(VLOOKUP(Y144,tbFactorMes,2,FALSE),"")</f>
        <v/>
      </c>
      <c r="AA144">
        <f t="shared" si="31"/>
        <v>0</v>
      </c>
      <c r="AD144" t="str">
        <f>IFERROR(VLOOKUP(AC144,tbFactorMes,2,FALSE),"")</f>
        <v/>
      </c>
      <c r="AE144">
        <f t="shared" si="32"/>
        <v>0</v>
      </c>
      <c r="AH144" t="str">
        <f>IFERROR(VLOOKUP(AG144,tbFactorMes,2,FALSE),"")</f>
        <v/>
      </c>
      <c r="AI144">
        <f t="shared" si="33"/>
        <v>0</v>
      </c>
      <c r="AL144" t="str">
        <f>IFERROR(VLOOKUP(AK144,tbFactorMes,2,FALSE),"")</f>
        <v/>
      </c>
      <c r="AM144">
        <f t="shared" si="34"/>
        <v>0</v>
      </c>
      <c r="AP144" t="str">
        <f>IFERROR(VLOOKUP(AO144,tbFactorMes,2,FALSE),"")</f>
        <v/>
      </c>
      <c r="AQ144">
        <f t="shared" si="35"/>
        <v>0</v>
      </c>
      <c r="AT144" t="str">
        <f>IFERROR(VLOOKUP(AS144,tbFactorMes,2,FALSE),"")</f>
        <v/>
      </c>
      <c r="AU144">
        <f t="shared" si="36"/>
        <v>0</v>
      </c>
      <c r="AX144" t="str">
        <f>IFERROR(VLOOKUP(AW144,tbFactorMes,2,FALSE),"")</f>
        <v/>
      </c>
      <c r="AY144">
        <f t="shared" si="37"/>
        <v>0</v>
      </c>
      <c r="BB144" t="str">
        <f>IFERROR(VLOOKUP(BA144,tbFactorMes,2,FALSE),"")</f>
        <v/>
      </c>
      <c r="BC144">
        <f t="shared" si="38"/>
        <v>0</v>
      </c>
      <c r="BF144" t="str">
        <f>IFERROR(VLOOKUP(BE144,tbFactorMes,2,FALSE),"")</f>
        <v/>
      </c>
      <c r="BG144">
        <f t="shared" si="39"/>
        <v>0</v>
      </c>
      <c r="BH144">
        <f t="shared" si="40"/>
        <v>0</v>
      </c>
      <c r="BI144">
        <f t="shared" si="41"/>
        <v>0</v>
      </c>
    </row>
    <row r="145" spans="11:61" x14ac:dyDescent="0.35">
      <c r="K145" t="str">
        <f>IFERROR(VLOOKUP(F145,tbTurnos,3,FALSE),"")</f>
        <v/>
      </c>
      <c r="N145" t="str">
        <f>IFERROR(VLOOKUP(M145,tbFactorMes,2,FALSE),"")</f>
        <v/>
      </c>
      <c r="O145">
        <f t="shared" si="28"/>
        <v>0</v>
      </c>
      <c r="R145" t="str">
        <f>IFERROR(VLOOKUP(Q145,tbFactorMes,2,FALSE),"")</f>
        <v/>
      </c>
      <c r="S145">
        <f t="shared" si="29"/>
        <v>0</v>
      </c>
      <c r="V145" t="str">
        <f>IFERROR(VLOOKUP(U145,tbFactorMes,2,FALSE),"")</f>
        <v/>
      </c>
      <c r="W145">
        <f t="shared" si="30"/>
        <v>0</v>
      </c>
      <c r="Z145" t="str">
        <f>IFERROR(VLOOKUP(Y145,tbFactorMes,2,FALSE),"")</f>
        <v/>
      </c>
      <c r="AA145">
        <f t="shared" si="31"/>
        <v>0</v>
      </c>
      <c r="AD145" t="str">
        <f>IFERROR(VLOOKUP(AC145,tbFactorMes,2,FALSE),"")</f>
        <v/>
      </c>
      <c r="AE145">
        <f t="shared" si="32"/>
        <v>0</v>
      </c>
      <c r="AH145" t="str">
        <f>IFERROR(VLOOKUP(AG145,tbFactorMes,2,FALSE),"")</f>
        <v/>
      </c>
      <c r="AI145">
        <f t="shared" si="33"/>
        <v>0</v>
      </c>
      <c r="AL145" t="str">
        <f>IFERROR(VLOOKUP(AK145,tbFactorMes,2,FALSE),"")</f>
        <v/>
      </c>
      <c r="AM145">
        <f t="shared" si="34"/>
        <v>0</v>
      </c>
      <c r="AP145" t="str">
        <f>IFERROR(VLOOKUP(AO145,tbFactorMes,2,FALSE),"")</f>
        <v/>
      </c>
      <c r="AQ145">
        <f t="shared" si="35"/>
        <v>0</v>
      </c>
      <c r="AT145" t="str">
        <f>IFERROR(VLOOKUP(AS145,tbFactorMes,2,FALSE),"")</f>
        <v/>
      </c>
      <c r="AU145">
        <f t="shared" si="36"/>
        <v>0</v>
      </c>
      <c r="AX145" t="str">
        <f>IFERROR(VLOOKUP(AW145,tbFactorMes,2,FALSE),"")</f>
        <v/>
      </c>
      <c r="AY145">
        <f t="shared" si="37"/>
        <v>0</v>
      </c>
      <c r="BB145" t="str">
        <f>IFERROR(VLOOKUP(BA145,tbFactorMes,2,FALSE),"")</f>
        <v/>
      </c>
      <c r="BC145">
        <f t="shared" si="38"/>
        <v>0</v>
      </c>
      <c r="BF145" t="str">
        <f>IFERROR(VLOOKUP(BE145,tbFactorMes,2,FALSE),"")</f>
        <v/>
      </c>
      <c r="BG145">
        <f t="shared" si="39"/>
        <v>0</v>
      </c>
      <c r="BH145">
        <f t="shared" si="40"/>
        <v>0</v>
      </c>
      <c r="BI145">
        <f t="shared" si="41"/>
        <v>0</v>
      </c>
    </row>
    <row r="146" spans="11:61" x14ac:dyDescent="0.35">
      <c r="K146" t="str">
        <f>IFERROR(VLOOKUP(F146,tbTurnos,3,FALSE),"")</f>
        <v/>
      </c>
      <c r="N146" t="str">
        <f>IFERROR(VLOOKUP(M146,tbFactorMes,2,FALSE),"")</f>
        <v/>
      </c>
      <c r="O146">
        <f t="shared" si="28"/>
        <v>0</v>
      </c>
      <c r="R146" t="str">
        <f>IFERROR(VLOOKUP(Q146,tbFactorMes,2,FALSE),"")</f>
        <v/>
      </c>
      <c r="S146">
        <f t="shared" si="29"/>
        <v>0</v>
      </c>
      <c r="V146" t="str">
        <f>IFERROR(VLOOKUP(U146,tbFactorMes,2,FALSE),"")</f>
        <v/>
      </c>
      <c r="W146">
        <f t="shared" si="30"/>
        <v>0</v>
      </c>
      <c r="Z146" t="str">
        <f>IFERROR(VLOOKUP(Y146,tbFactorMes,2,FALSE),"")</f>
        <v/>
      </c>
      <c r="AA146">
        <f t="shared" si="31"/>
        <v>0</v>
      </c>
      <c r="AD146" t="str">
        <f>IFERROR(VLOOKUP(AC146,tbFactorMes,2,FALSE),"")</f>
        <v/>
      </c>
      <c r="AE146">
        <f t="shared" si="32"/>
        <v>0</v>
      </c>
      <c r="AH146" t="str">
        <f>IFERROR(VLOOKUP(AG146,tbFactorMes,2,FALSE),"")</f>
        <v/>
      </c>
      <c r="AI146">
        <f t="shared" si="33"/>
        <v>0</v>
      </c>
      <c r="AL146" t="str">
        <f>IFERROR(VLOOKUP(AK146,tbFactorMes,2,FALSE),"")</f>
        <v/>
      </c>
      <c r="AM146">
        <f t="shared" si="34"/>
        <v>0</v>
      </c>
      <c r="AP146" t="str">
        <f>IFERROR(VLOOKUP(AO146,tbFactorMes,2,FALSE),"")</f>
        <v/>
      </c>
      <c r="AQ146">
        <f t="shared" si="35"/>
        <v>0</v>
      </c>
      <c r="AT146" t="str">
        <f>IFERROR(VLOOKUP(AS146,tbFactorMes,2,FALSE),"")</f>
        <v/>
      </c>
      <c r="AU146">
        <f t="shared" si="36"/>
        <v>0</v>
      </c>
      <c r="AX146" t="str">
        <f>IFERROR(VLOOKUP(AW146,tbFactorMes,2,FALSE),"")</f>
        <v/>
      </c>
      <c r="AY146">
        <f t="shared" si="37"/>
        <v>0</v>
      </c>
      <c r="BB146" t="str">
        <f>IFERROR(VLOOKUP(BA146,tbFactorMes,2,FALSE),"")</f>
        <v/>
      </c>
      <c r="BC146">
        <f t="shared" si="38"/>
        <v>0</v>
      </c>
      <c r="BF146" t="str">
        <f>IFERROR(VLOOKUP(BE146,tbFactorMes,2,FALSE),"")</f>
        <v/>
      </c>
      <c r="BG146">
        <f t="shared" si="39"/>
        <v>0</v>
      </c>
      <c r="BH146">
        <f t="shared" si="40"/>
        <v>0</v>
      </c>
      <c r="BI146">
        <f t="shared" si="41"/>
        <v>0</v>
      </c>
    </row>
    <row r="147" spans="11:61" x14ac:dyDescent="0.35">
      <c r="K147" t="str">
        <f>IFERROR(VLOOKUP(F147,tbTurnos,3,FALSE),"")</f>
        <v/>
      </c>
      <c r="N147" t="str">
        <f>IFERROR(VLOOKUP(M147,tbFactorMes,2,FALSE),"")</f>
        <v/>
      </c>
      <c r="O147">
        <f t="shared" si="28"/>
        <v>0</v>
      </c>
      <c r="R147" t="str">
        <f>IFERROR(VLOOKUP(Q147,tbFactorMes,2,FALSE),"")</f>
        <v/>
      </c>
      <c r="S147">
        <f t="shared" si="29"/>
        <v>0</v>
      </c>
      <c r="V147" t="str">
        <f>IFERROR(VLOOKUP(U147,tbFactorMes,2,FALSE),"")</f>
        <v/>
      </c>
      <c r="W147">
        <f t="shared" si="30"/>
        <v>0</v>
      </c>
      <c r="Z147" t="str">
        <f>IFERROR(VLOOKUP(Y147,tbFactorMes,2,FALSE),"")</f>
        <v/>
      </c>
      <c r="AA147">
        <f t="shared" si="31"/>
        <v>0</v>
      </c>
      <c r="AD147" t="str">
        <f>IFERROR(VLOOKUP(AC147,tbFactorMes,2,FALSE),"")</f>
        <v/>
      </c>
      <c r="AE147">
        <f t="shared" si="32"/>
        <v>0</v>
      </c>
      <c r="AH147" t="str">
        <f>IFERROR(VLOOKUP(AG147,tbFactorMes,2,FALSE),"")</f>
        <v/>
      </c>
      <c r="AI147">
        <f t="shared" si="33"/>
        <v>0</v>
      </c>
      <c r="AL147" t="str">
        <f>IFERROR(VLOOKUP(AK147,tbFactorMes,2,FALSE),"")</f>
        <v/>
      </c>
      <c r="AM147">
        <f t="shared" si="34"/>
        <v>0</v>
      </c>
      <c r="AP147" t="str">
        <f>IFERROR(VLOOKUP(AO147,tbFactorMes,2,FALSE),"")</f>
        <v/>
      </c>
      <c r="AQ147">
        <f t="shared" si="35"/>
        <v>0</v>
      </c>
      <c r="AT147" t="str">
        <f>IFERROR(VLOOKUP(AS147,tbFactorMes,2,FALSE),"")</f>
        <v/>
      </c>
      <c r="AU147">
        <f t="shared" si="36"/>
        <v>0</v>
      </c>
      <c r="AX147" t="str">
        <f>IFERROR(VLOOKUP(AW147,tbFactorMes,2,FALSE),"")</f>
        <v/>
      </c>
      <c r="AY147">
        <f t="shared" si="37"/>
        <v>0</v>
      </c>
      <c r="BB147" t="str">
        <f>IFERROR(VLOOKUP(BA147,tbFactorMes,2,FALSE),"")</f>
        <v/>
      </c>
      <c r="BC147">
        <f t="shared" si="38"/>
        <v>0</v>
      </c>
      <c r="BF147" t="str">
        <f>IFERROR(VLOOKUP(BE147,tbFactorMes,2,FALSE),"")</f>
        <v/>
      </c>
      <c r="BG147">
        <f t="shared" si="39"/>
        <v>0</v>
      </c>
      <c r="BH147">
        <f t="shared" si="40"/>
        <v>0</v>
      </c>
      <c r="BI147">
        <f t="shared" si="41"/>
        <v>0</v>
      </c>
    </row>
    <row r="148" spans="11:61" x14ac:dyDescent="0.35">
      <c r="K148" t="str">
        <f>IFERROR(VLOOKUP(F148,tbTurnos,3,FALSE),"")</f>
        <v/>
      </c>
      <c r="N148" t="str">
        <f>IFERROR(VLOOKUP(M148,tbFactorMes,2,FALSE),"")</f>
        <v/>
      </c>
      <c r="O148">
        <f t="shared" si="28"/>
        <v>0</v>
      </c>
      <c r="R148" t="str">
        <f>IFERROR(VLOOKUP(Q148,tbFactorMes,2,FALSE),"")</f>
        <v/>
      </c>
      <c r="S148">
        <f t="shared" si="29"/>
        <v>0</v>
      </c>
      <c r="V148" t="str">
        <f>IFERROR(VLOOKUP(U148,tbFactorMes,2,FALSE),"")</f>
        <v/>
      </c>
      <c r="W148">
        <f t="shared" si="30"/>
        <v>0</v>
      </c>
      <c r="Z148" t="str">
        <f>IFERROR(VLOOKUP(Y148,tbFactorMes,2,FALSE),"")</f>
        <v/>
      </c>
      <c r="AA148">
        <f t="shared" si="31"/>
        <v>0</v>
      </c>
      <c r="AD148" t="str">
        <f>IFERROR(VLOOKUP(AC148,tbFactorMes,2,FALSE),"")</f>
        <v/>
      </c>
      <c r="AE148">
        <f t="shared" si="32"/>
        <v>0</v>
      </c>
      <c r="AH148" t="str">
        <f>IFERROR(VLOOKUP(AG148,tbFactorMes,2,FALSE),"")</f>
        <v/>
      </c>
      <c r="AI148">
        <f t="shared" si="33"/>
        <v>0</v>
      </c>
      <c r="AL148" t="str">
        <f>IFERROR(VLOOKUP(AK148,tbFactorMes,2,FALSE),"")</f>
        <v/>
      </c>
      <c r="AM148">
        <f t="shared" si="34"/>
        <v>0</v>
      </c>
      <c r="AP148" t="str">
        <f>IFERROR(VLOOKUP(AO148,tbFactorMes,2,FALSE),"")</f>
        <v/>
      </c>
      <c r="AQ148">
        <f t="shared" si="35"/>
        <v>0</v>
      </c>
      <c r="AT148" t="str">
        <f>IFERROR(VLOOKUP(AS148,tbFactorMes,2,FALSE),"")</f>
        <v/>
      </c>
      <c r="AU148">
        <f t="shared" si="36"/>
        <v>0</v>
      </c>
      <c r="AX148" t="str">
        <f>IFERROR(VLOOKUP(AW148,tbFactorMes,2,FALSE),"")</f>
        <v/>
      </c>
      <c r="AY148">
        <f t="shared" si="37"/>
        <v>0</v>
      </c>
      <c r="BB148" t="str">
        <f>IFERROR(VLOOKUP(BA148,tbFactorMes,2,FALSE),"")</f>
        <v/>
      </c>
      <c r="BC148">
        <f t="shared" si="38"/>
        <v>0</v>
      </c>
      <c r="BF148" t="str">
        <f>IFERROR(VLOOKUP(BE148,tbFactorMes,2,FALSE),"")</f>
        <v/>
      </c>
      <c r="BG148">
        <f t="shared" si="39"/>
        <v>0</v>
      </c>
      <c r="BH148">
        <f t="shared" si="40"/>
        <v>0</v>
      </c>
      <c r="BI148">
        <f t="shared" si="41"/>
        <v>0</v>
      </c>
    </row>
    <row r="149" spans="11:61" x14ac:dyDescent="0.35">
      <c r="K149" t="str">
        <f>IFERROR(VLOOKUP(F149,tbTurnos,3,FALSE),"")</f>
        <v/>
      </c>
      <c r="N149" t="str">
        <f>IFERROR(VLOOKUP(M149,tbFactorMes,2,FALSE),"")</f>
        <v/>
      </c>
      <c r="O149">
        <f t="shared" si="28"/>
        <v>0</v>
      </c>
      <c r="R149" t="str">
        <f>IFERROR(VLOOKUP(Q149,tbFactorMes,2,FALSE),"")</f>
        <v/>
      </c>
      <c r="S149">
        <f t="shared" si="29"/>
        <v>0</v>
      </c>
      <c r="V149" t="str">
        <f>IFERROR(VLOOKUP(U149,tbFactorMes,2,FALSE),"")</f>
        <v/>
      </c>
      <c r="W149">
        <f t="shared" si="30"/>
        <v>0</v>
      </c>
      <c r="Z149" t="str">
        <f>IFERROR(VLOOKUP(Y149,tbFactorMes,2,FALSE),"")</f>
        <v/>
      </c>
      <c r="AA149">
        <f t="shared" si="31"/>
        <v>0</v>
      </c>
      <c r="AD149" t="str">
        <f>IFERROR(VLOOKUP(AC149,tbFactorMes,2,FALSE),"")</f>
        <v/>
      </c>
      <c r="AE149">
        <f t="shared" si="32"/>
        <v>0</v>
      </c>
      <c r="AH149" t="str">
        <f>IFERROR(VLOOKUP(AG149,tbFactorMes,2,FALSE),"")</f>
        <v/>
      </c>
      <c r="AI149">
        <f t="shared" si="33"/>
        <v>0</v>
      </c>
      <c r="AL149" t="str">
        <f>IFERROR(VLOOKUP(AK149,tbFactorMes,2,FALSE),"")</f>
        <v/>
      </c>
      <c r="AM149">
        <f t="shared" si="34"/>
        <v>0</v>
      </c>
      <c r="AP149" t="str">
        <f>IFERROR(VLOOKUP(AO149,tbFactorMes,2,FALSE),"")</f>
        <v/>
      </c>
      <c r="AQ149">
        <f t="shared" si="35"/>
        <v>0</v>
      </c>
      <c r="AT149" t="str">
        <f>IFERROR(VLOOKUP(AS149,tbFactorMes,2,FALSE),"")</f>
        <v/>
      </c>
      <c r="AU149">
        <f t="shared" si="36"/>
        <v>0</v>
      </c>
      <c r="AX149" t="str">
        <f>IFERROR(VLOOKUP(AW149,tbFactorMes,2,FALSE),"")</f>
        <v/>
      </c>
      <c r="AY149">
        <f t="shared" si="37"/>
        <v>0</v>
      </c>
      <c r="BB149" t="str">
        <f>IFERROR(VLOOKUP(BA149,tbFactorMes,2,FALSE),"")</f>
        <v/>
      </c>
      <c r="BC149">
        <f t="shared" si="38"/>
        <v>0</v>
      </c>
      <c r="BF149" t="str">
        <f>IFERROR(VLOOKUP(BE149,tbFactorMes,2,FALSE),"")</f>
        <v/>
      </c>
      <c r="BG149">
        <f t="shared" si="39"/>
        <v>0</v>
      </c>
      <c r="BH149">
        <f t="shared" si="40"/>
        <v>0</v>
      </c>
      <c r="BI149">
        <f t="shared" si="41"/>
        <v>0</v>
      </c>
    </row>
    <row r="150" spans="11:61" x14ac:dyDescent="0.35">
      <c r="K150" t="str">
        <f>IFERROR(VLOOKUP(F150,tbTurnos,3,FALSE),"")</f>
        <v/>
      </c>
      <c r="N150" t="str">
        <f>IFERROR(VLOOKUP(M150,tbFactorMes,2,FALSE),"")</f>
        <v/>
      </c>
      <c r="O150">
        <f t="shared" si="28"/>
        <v>0</v>
      </c>
      <c r="R150" t="str">
        <f>IFERROR(VLOOKUP(Q150,tbFactorMes,2,FALSE),"")</f>
        <v/>
      </c>
      <c r="S150">
        <f t="shared" si="29"/>
        <v>0</v>
      </c>
      <c r="V150" t="str">
        <f>IFERROR(VLOOKUP(U150,tbFactorMes,2,FALSE),"")</f>
        <v/>
      </c>
      <c r="W150">
        <f t="shared" si="30"/>
        <v>0</v>
      </c>
      <c r="Z150" t="str">
        <f>IFERROR(VLOOKUP(Y150,tbFactorMes,2,FALSE),"")</f>
        <v/>
      </c>
      <c r="AA150">
        <f t="shared" si="31"/>
        <v>0</v>
      </c>
      <c r="AD150" t="str">
        <f>IFERROR(VLOOKUP(AC150,tbFactorMes,2,FALSE),"")</f>
        <v/>
      </c>
      <c r="AE150">
        <f t="shared" si="32"/>
        <v>0</v>
      </c>
      <c r="AH150" t="str">
        <f>IFERROR(VLOOKUP(AG150,tbFactorMes,2,FALSE),"")</f>
        <v/>
      </c>
      <c r="AI150">
        <f t="shared" si="33"/>
        <v>0</v>
      </c>
      <c r="AL150" t="str">
        <f>IFERROR(VLOOKUP(AK150,tbFactorMes,2,FALSE),"")</f>
        <v/>
      </c>
      <c r="AM150">
        <f t="shared" si="34"/>
        <v>0</v>
      </c>
      <c r="AP150" t="str">
        <f>IFERROR(VLOOKUP(AO150,tbFactorMes,2,FALSE),"")</f>
        <v/>
      </c>
      <c r="AQ150">
        <f t="shared" si="35"/>
        <v>0</v>
      </c>
      <c r="AT150" t="str">
        <f>IFERROR(VLOOKUP(AS150,tbFactorMes,2,FALSE),"")</f>
        <v/>
      </c>
      <c r="AU150">
        <f t="shared" si="36"/>
        <v>0</v>
      </c>
      <c r="AX150" t="str">
        <f>IFERROR(VLOOKUP(AW150,tbFactorMes,2,FALSE),"")</f>
        <v/>
      </c>
      <c r="AY150">
        <f t="shared" si="37"/>
        <v>0</v>
      </c>
      <c r="BB150" t="str">
        <f>IFERROR(VLOOKUP(BA150,tbFactorMes,2,FALSE),"")</f>
        <v/>
      </c>
      <c r="BC150">
        <f t="shared" si="38"/>
        <v>0</v>
      </c>
      <c r="BF150" t="str">
        <f>IFERROR(VLOOKUP(BE150,tbFactorMes,2,FALSE),"")</f>
        <v/>
      </c>
      <c r="BG150">
        <f t="shared" si="39"/>
        <v>0</v>
      </c>
      <c r="BH150">
        <f t="shared" si="40"/>
        <v>0</v>
      </c>
      <c r="BI150">
        <f t="shared" si="41"/>
        <v>0</v>
      </c>
    </row>
    <row r="151" spans="11:61" x14ac:dyDescent="0.35">
      <c r="K151" t="str">
        <f>IFERROR(VLOOKUP(F151,tbTurnos,3,FALSE),"")</f>
        <v/>
      </c>
      <c r="N151" t="str">
        <f>IFERROR(VLOOKUP(M151,tbFactorMes,2,FALSE),"")</f>
        <v/>
      </c>
      <c r="O151">
        <f t="shared" si="28"/>
        <v>0</v>
      </c>
      <c r="R151" t="str">
        <f>IFERROR(VLOOKUP(Q151,tbFactorMes,2,FALSE),"")</f>
        <v/>
      </c>
      <c r="S151">
        <f t="shared" si="29"/>
        <v>0</v>
      </c>
      <c r="V151" t="str">
        <f>IFERROR(VLOOKUP(U151,tbFactorMes,2,FALSE),"")</f>
        <v/>
      </c>
      <c r="W151">
        <f t="shared" si="30"/>
        <v>0</v>
      </c>
      <c r="Z151" t="str">
        <f>IFERROR(VLOOKUP(Y151,tbFactorMes,2,FALSE),"")</f>
        <v/>
      </c>
      <c r="AA151">
        <f t="shared" si="31"/>
        <v>0</v>
      </c>
      <c r="AD151" t="str">
        <f>IFERROR(VLOOKUP(AC151,tbFactorMes,2,FALSE),"")</f>
        <v/>
      </c>
      <c r="AE151">
        <f t="shared" si="32"/>
        <v>0</v>
      </c>
      <c r="AH151" t="str">
        <f>IFERROR(VLOOKUP(AG151,tbFactorMes,2,FALSE),"")</f>
        <v/>
      </c>
      <c r="AI151">
        <f t="shared" si="33"/>
        <v>0</v>
      </c>
      <c r="AL151" t="str">
        <f>IFERROR(VLOOKUP(AK151,tbFactorMes,2,FALSE),"")</f>
        <v/>
      </c>
      <c r="AM151">
        <f t="shared" si="34"/>
        <v>0</v>
      </c>
      <c r="AP151" t="str">
        <f>IFERROR(VLOOKUP(AO151,tbFactorMes,2,FALSE),"")</f>
        <v/>
      </c>
      <c r="AQ151">
        <f t="shared" si="35"/>
        <v>0</v>
      </c>
      <c r="AT151" t="str">
        <f>IFERROR(VLOOKUP(AS151,tbFactorMes,2,FALSE),"")</f>
        <v/>
      </c>
      <c r="AU151">
        <f t="shared" si="36"/>
        <v>0</v>
      </c>
      <c r="AX151" t="str">
        <f>IFERROR(VLOOKUP(AW151,tbFactorMes,2,FALSE),"")</f>
        <v/>
      </c>
      <c r="AY151">
        <f t="shared" si="37"/>
        <v>0</v>
      </c>
      <c r="BB151" t="str">
        <f>IFERROR(VLOOKUP(BA151,tbFactorMes,2,FALSE),"")</f>
        <v/>
      </c>
      <c r="BC151">
        <f t="shared" si="38"/>
        <v>0</v>
      </c>
      <c r="BF151" t="str">
        <f>IFERROR(VLOOKUP(BE151,tbFactorMes,2,FALSE),"")</f>
        <v/>
      </c>
      <c r="BG151">
        <f t="shared" si="39"/>
        <v>0</v>
      </c>
      <c r="BH151">
        <f t="shared" si="40"/>
        <v>0</v>
      </c>
      <c r="BI151">
        <f t="shared" si="41"/>
        <v>0</v>
      </c>
    </row>
    <row r="152" spans="11:61" x14ac:dyDescent="0.35">
      <c r="K152" t="str">
        <f>IFERROR(VLOOKUP(F152,tbTurnos,3,FALSE),"")</f>
        <v/>
      </c>
      <c r="N152" t="str">
        <f>IFERROR(VLOOKUP(M152,tbFactorMes,2,FALSE),"")</f>
        <v/>
      </c>
      <c r="O152">
        <f t="shared" si="28"/>
        <v>0</v>
      </c>
      <c r="R152" t="str">
        <f>IFERROR(VLOOKUP(Q152,tbFactorMes,2,FALSE),"")</f>
        <v/>
      </c>
      <c r="S152">
        <f t="shared" si="29"/>
        <v>0</v>
      </c>
      <c r="V152" t="str">
        <f>IFERROR(VLOOKUP(U152,tbFactorMes,2,FALSE),"")</f>
        <v/>
      </c>
      <c r="W152">
        <f t="shared" si="30"/>
        <v>0</v>
      </c>
      <c r="Z152" t="str">
        <f>IFERROR(VLOOKUP(Y152,tbFactorMes,2,FALSE),"")</f>
        <v/>
      </c>
      <c r="AA152">
        <f t="shared" si="31"/>
        <v>0</v>
      </c>
      <c r="AD152" t="str">
        <f>IFERROR(VLOOKUP(AC152,tbFactorMes,2,FALSE),"")</f>
        <v/>
      </c>
      <c r="AE152">
        <f t="shared" si="32"/>
        <v>0</v>
      </c>
      <c r="AH152" t="str">
        <f>IFERROR(VLOOKUP(AG152,tbFactorMes,2,FALSE),"")</f>
        <v/>
      </c>
      <c r="AI152">
        <f t="shared" si="33"/>
        <v>0</v>
      </c>
      <c r="AL152" t="str">
        <f>IFERROR(VLOOKUP(AK152,tbFactorMes,2,FALSE),"")</f>
        <v/>
      </c>
      <c r="AM152">
        <f t="shared" si="34"/>
        <v>0</v>
      </c>
      <c r="AP152" t="str">
        <f>IFERROR(VLOOKUP(AO152,tbFactorMes,2,FALSE),"")</f>
        <v/>
      </c>
      <c r="AQ152">
        <f t="shared" si="35"/>
        <v>0</v>
      </c>
      <c r="AT152" t="str">
        <f>IFERROR(VLOOKUP(AS152,tbFactorMes,2,FALSE),"")</f>
        <v/>
      </c>
      <c r="AU152">
        <f t="shared" si="36"/>
        <v>0</v>
      </c>
      <c r="AX152" t="str">
        <f>IFERROR(VLOOKUP(AW152,tbFactorMes,2,FALSE),"")</f>
        <v/>
      </c>
      <c r="AY152">
        <f t="shared" si="37"/>
        <v>0</v>
      </c>
      <c r="BB152" t="str">
        <f>IFERROR(VLOOKUP(BA152,tbFactorMes,2,FALSE),"")</f>
        <v/>
      </c>
      <c r="BC152">
        <f t="shared" si="38"/>
        <v>0</v>
      </c>
      <c r="BF152" t="str">
        <f>IFERROR(VLOOKUP(BE152,tbFactorMes,2,FALSE),"")</f>
        <v/>
      </c>
      <c r="BG152">
        <f t="shared" si="39"/>
        <v>0</v>
      </c>
      <c r="BH152">
        <f t="shared" si="40"/>
        <v>0</v>
      </c>
      <c r="BI152">
        <f t="shared" si="41"/>
        <v>0</v>
      </c>
    </row>
    <row r="153" spans="11:61" x14ac:dyDescent="0.35">
      <c r="K153" t="str">
        <f>IFERROR(VLOOKUP(F153,tbTurnos,3,FALSE),"")</f>
        <v/>
      </c>
      <c r="N153" t="str">
        <f>IFERROR(VLOOKUP(M153,tbFactorMes,2,FALSE),"")</f>
        <v/>
      </c>
      <c r="O153">
        <f t="shared" si="28"/>
        <v>0</v>
      </c>
      <c r="R153" t="str">
        <f>IFERROR(VLOOKUP(Q153,tbFactorMes,2,FALSE),"")</f>
        <v/>
      </c>
      <c r="S153">
        <f t="shared" si="29"/>
        <v>0</v>
      </c>
      <c r="V153" t="str">
        <f>IFERROR(VLOOKUP(U153,tbFactorMes,2,FALSE),"")</f>
        <v/>
      </c>
      <c r="W153">
        <f t="shared" si="30"/>
        <v>0</v>
      </c>
      <c r="Z153" t="str">
        <f>IFERROR(VLOOKUP(Y153,tbFactorMes,2,FALSE),"")</f>
        <v/>
      </c>
      <c r="AA153">
        <f t="shared" si="31"/>
        <v>0</v>
      </c>
      <c r="AD153" t="str">
        <f>IFERROR(VLOOKUP(AC153,tbFactorMes,2,FALSE),"")</f>
        <v/>
      </c>
      <c r="AE153">
        <f t="shared" si="32"/>
        <v>0</v>
      </c>
      <c r="AH153" t="str">
        <f>IFERROR(VLOOKUP(AG153,tbFactorMes,2,FALSE),"")</f>
        <v/>
      </c>
      <c r="AI153">
        <f t="shared" si="33"/>
        <v>0</v>
      </c>
      <c r="AL153" t="str">
        <f>IFERROR(VLOOKUP(AK153,tbFactorMes,2,FALSE),"")</f>
        <v/>
      </c>
      <c r="AM153">
        <f t="shared" si="34"/>
        <v>0</v>
      </c>
      <c r="AP153" t="str">
        <f>IFERROR(VLOOKUP(AO153,tbFactorMes,2,FALSE),"")</f>
        <v/>
      </c>
      <c r="AQ153">
        <f t="shared" si="35"/>
        <v>0</v>
      </c>
      <c r="AT153" t="str">
        <f>IFERROR(VLOOKUP(AS153,tbFactorMes,2,FALSE),"")</f>
        <v/>
      </c>
      <c r="AU153">
        <f t="shared" si="36"/>
        <v>0</v>
      </c>
      <c r="AX153" t="str">
        <f>IFERROR(VLOOKUP(AW153,tbFactorMes,2,FALSE),"")</f>
        <v/>
      </c>
      <c r="AY153">
        <f t="shared" si="37"/>
        <v>0</v>
      </c>
      <c r="BB153" t="str">
        <f>IFERROR(VLOOKUP(BA153,tbFactorMes,2,FALSE),"")</f>
        <v/>
      </c>
      <c r="BC153">
        <f t="shared" si="38"/>
        <v>0</v>
      </c>
      <c r="BF153" t="str">
        <f>IFERROR(VLOOKUP(BE153,tbFactorMes,2,FALSE),"")</f>
        <v/>
      </c>
      <c r="BG153">
        <f t="shared" si="39"/>
        <v>0</v>
      </c>
      <c r="BH153">
        <f t="shared" si="40"/>
        <v>0</v>
      </c>
      <c r="BI153">
        <f t="shared" si="41"/>
        <v>0</v>
      </c>
    </row>
    <row r="154" spans="11:61" x14ac:dyDescent="0.35">
      <c r="K154" t="str">
        <f>IFERROR(VLOOKUP(F154,tbTurnos,3,FALSE),"")</f>
        <v/>
      </c>
      <c r="N154" t="str">
        <f>IFERROR(VLOOKUP(M154,tbFactorMes,2,FALSE),"")</f>
        <v/>
      </c>
      <c r="O154">
        <f t="shared" si="28"/>
        <v>0</v>
      </c>
      <c r="R154" t="str">
        <f>IFERROR(VLOOKUP(Q154,tbFactorMes,2,FALSE),"")</f>
        <v/>
      </c>
      <c r="S154">
        <f t="shared" si="29"/>
        <v>0</v>
      </c>
      <c r="V154" t="str">
        <f>IFERROR(VLOOKUP(U154,tbFactorMes,2,FALSE),"")</f>
        <v/>
      </c>
      <c r="W154">
        <f t="shared" si="30"/>
        <v>0</v>
      </c>
      <c r="Z154" t="str">
        <f>IFERROR(VLOOKUP(Y154,tbFactorMes,2,FALSE),"")</f>
        <v/>
      </c>
      <c r="AA154">
        <f t="shared" si="31"/>
        <v>0</v>
      </c>
      <c r="AD154" t="str">
        <f>IFERROR(VLOOKUP(AC154,tbFactorMes,2,FALSE),"")</f>
        <v/>
      </c>
      <c r="AE154">
        <f t="shared" si="32"/>
        <v>0</v>
      </c>
      <c r="AH154" t="str">
        <f>IFERROR(VLOOKUP(AG154,tbFactorMes,2,FALSE),"")</f>
        <v/>
      </c>
      <c r="AI154">
        <f t="shared" si="33"/>
        <v>0</v>
      </c>
      <c r="AL154" t="str">
        <f>IFERROR(VLOOKUP(AK154,tbFactorMes,2,FALSE),"")</f>
        <v/>
      </c>
      <c r="AM154">
        <f t="shared" si="34"/>
        <v>0</v>
      </c>
      <c r="AP154" t="str">
        <f>IFERROR(VLOOKUP(AO154,tbFactorMes,2,FALSE),"")</f>
        <v/>
      </c>
      <c r="AQ154">
        <f t="shared" si="35"/>
        <v>0</v>
      </c>
      <c r="AT154" t="str">
        <f>IFERROR(VLOOKUP(AS154,tbFactorMes,2,FALSE),"")</f>
        <v/>
      </c>
      <c r="AU154">
        <f t="shared" si="36"/>
        <v>0</v>
      </c>
      <c r="AX154" t="str">
        <f>IFERROR(VLOOKUP(AW154,tbFactorMes,2,FALSE),"")</f>
        <v/>
      </c>
      <c r="AY154">
        <f t="shared" si="37"/>
        <v>0</v>
      </c>
      <c r="BB154" t="str">
        <f>IFERROR(VLOOKUP(BA154,tbFactorMes,2,FALSE),"")</f>
        <v/>
      </c>
      <c r="BC154">
        <f t="shared" si="38"/>
        <v>0</v>
      </c>
      <c r="BF154" t="str">
        <f>IFERROR(VLOOKUP(BE154,tbFactorMes,2,FALSE),"")</f>
        <v/>
      </c>
      <c r="BG154">
        <f t="shared" si="39"/>
        <v>0</v>
      </c>
      <c r="BH154">
        <f t="shared" si="40"/>
        <v>0</v>
      </c>
      <c r="BI154">
        <f t="shared" si="41"/>
        <v>0</v>
      </c>
    </row>
    <row r="155" spans="11:61" x14ac:dyDescent="0.35">
      <c r="K155" t="str">
        <f>IFERROR(VLOOKUP(F155,tbTurnos,3,FALSE),"")</f>
        <v/>
      </c>
      <c r="N155" t="str">
        <f>IFERROR(VLOOKUP(M155,tbFactorMes,2,FALSE),"")</f>
        <v/>
      </c>
      <c r="O155">
        <f t="shared" si="28"/>
        <v>0</v>
      </c>
      <c r="R155" t="str">
        <f>IFERROR(VLOOKUP(Q155,tbFactorMes,2,FALSE),"")</f>
        <v/>
      </c>
      <c r="S155">
        <f t="shared" si="29"/>
        <v>0</v>
      </c>
      <c r="V155" t="str">
        <f>IFERROR(VLOOKUP(U155,tbFactorMes,2,FALSE),"")</f>
        <v/>
      </c>
      <c r="W155">
        <f t="shared" si="30"/>
        <v>0</v>
      </c>
      <c r="Z155" t="str">
        <f>IFERROR(VLOOKUP(Y155,tbFactorMes,2,FALSE),"")</f>
        <v/>
      </c>
      <c r="AA155">
        <f t="shared" si="31"/>
        <v>0</v>
      </c>
      <c r="AD155" t="str">
        <f>IFERROR(VLOOKUP(AC155,tbFactorMes,2,FALSE),"")</f>
        <v/>
      </c>
      <c r="AE155">
        <f t="shared" si="32"/>
        <v>0</v>
      </c>
      <c r="AH155" t="str">
        <f>IFERROR(VLOOKUP(AG155,tbFactorMes,2,FALSE),"")</f>
        <v/>
      </c>
      <c r="AI155">
        <f t="shared" si="33"/>
        <v>0</v>
      </c>
      <c r="AL155" t="str">
        <f>IFERROR(VLOOKUP(AK155,tbFactorMes,2,FALSE),"")</f>
        <v/>
      </c>
      <c r="AM155">
        <f t="shared" si="34"/>
        <v>0</v>
      </c>
      <c r="AP155" t="str">
        <f>IFERROR(VLOOKUP(AO155,tbFactorMes,2,FALSE),"")</f>
        <v/>
      </c>
      <c r="AQ155">
        <f t="shared" si="35"/>
        <v>0</v>
      </c>
      <c r="AT155" t="str">
        <f>IFERROR(VLOOKUP(AS155,tbFactorMes,2,FALSE),"")</f>
        <v/>
      </c>
      <c r="AU155">
        <f t="shared" si="36"/>
        <v>0</v>
      </c>
      <c r="AX155" t="str">
        <f>IFERROR(VLOOKUP(AW155,tbFactorMes,2,FALSE),"")</f>
        <v/>
      </c>
      <c r="AY155">
        <f t="shared" si="37"/>
        <v>0</v>
      </c>
      <c r="BB155" t="str">
        <f>IFERROR(VLOOKUP(BA155,tbFactorMes,2,FALSE),"")</f>
        <v/>
      </c>
      <c r="BC155">
        <f t="shared" si="38"/>
        <v>0</v>
      </c>
      <c r="BF155" t="str">
        <f>IFERROR(VLOOKUP(BE155,tbFactorMes,2,FALSE),"")</f>
        <v/>
      </c>
      <c r="BG155">
        <f t="shared" si="39"/>
        <v>0</v>
      </c>
      <c r="BH155">
        <f t="shared" si="40"/>
        <v>0</v>
      </c>
      <c r="BI155">
        <f t="shared" si="41"/>
        <v>0</v>
      </c>
    </row>
    <row r="156" spans="11:61" x14ac:dyDescent="0.35">
      <c r="K156" t="str">
        <f>IFERROR(VLOOKUP(F156,tbTurnos,3,FALSE),"")</f>
        <v/>
      </c>
      <c r="N156" t="str">
        <f>IFERROR(VLOOKUP(M156,tbFactorMes,2,FALSE),"")</f>
        <v/>
      </c>
      <c r="O156">
        <f t="shared" si="28"/>
        <v>0</v>
      </c>
      <c r="R156" t="str">
        <f>IFERROR(VLOOKUP(Q156,tbFactorMes,2,FALSE),"")</f>
        <v/>
      </c>
      <c r="S156">
        <f t="shared" si="29"/>
        <v>0</v>
      </c>
      <c r="V156" t="str">
        <f>IFERROR(VLOOKUP(U156,tbFactorMes,2,FALSE),"")</f>
        <v/>
      </c>
      <c r="W156">
        <f t="shared" si="30"/>
        <v>0</v>
      </c>
      <c r="Z156" t="str">
        <f>IFERROR(VLOOKUP(Y156,tbFactorMes,2,FALSE),"")</f>
        <v/>
      </c>
      <c r="AA156">
        <f t="shared" si="31"/>
        <v>0</v>
      </c>
      <c r="AD156" t="str">
        <f>IFERROR(VLOOKUP(AC156,tbFactorMes,2,FALSE),"")</f>
        <v/>
      </c>
      <c r="AE156">
        <f t="shared" si="32"/>
        <v>0</v>
      </c>
      <c r="AH156" t="str">
        <f>IFERROR(VLOOKUP(AG156,tbFactorMes,2,FALSE),"")</f>
        <v/>
      </c>
      <c r="AI156">
        <f t="shared" si="33"/>
        <v>0</v>
      </c>
      <c r="AL156" t="str">
        <f>IFERROR(VLOOKUP(AK156,tbFactorMes,2,FALSE),"")</f>
        <v/>
      </c>
      <c r="AM156">
        <f t="shared" si="34"/>
        <v>0</v>
      </c>
      <c r="AP156" t="str">
        <f>IFERROR(VLOOKUP(AO156,tbFactorMes,2,FALSE),"")</f>
        <v/>
      </c>
      <c r="AQ156">
        <f t="shared" si="35"/>
        <v>0</v>
      </c>
      <c r="AT156" t="str">
        <f>IFERROR(VLOOKUP(AS156,tbFactorMes,2,FALSE),"")</f>
        <v/>
      </c>
      <c r="AU156">
        <f t="shared" si="36"/>
        <v>0</v>
      </c>
      <c r="AX156" t="str">
        <f>IFERROR(VLOOKUP(AW156,tbFactorMes,2,FALSE),"")</f>
        <v/>
      </c>
      <c r="AY156">
        <f t="shared" si="37"/>
        <v>0</v>
      </c>
      <c r="BB156" t="str">
        <f>IFERROR(VLOOKUP(BA156,tbFactorMes,2,FALSE),"")</f>
        <v/>
      </c>
      <c r="BC156">
        <f t="shared" si="38"/>
        <v>0</v>
      </c>
      <c r="BF156" t="str">
        <f>IFERROR(VLOOKUP(BE156,tbFactorMes,2,FALSE),"")</f>
        <v/>
      </c>
      <c r="BG156">
        <f t="shared" si="39"/>
        <v>0</v>
      </c>
      <c r="BH156">
        <f t="shared" si="40"/>
        <v>0</v>
      </c>
      <c r="BI156">
        <f t="shared" si="41"/>
        <v>0</v>
      </c>
    </row>
    <row r="157" spans="11:61" x14ac:dyDescent="0.35">
      <c r="K157" t="str">
        <f>IFERROR(VLOOKUP(F157,tbTurnos,3,FALSE),"")</f>
        <v/>
      </c>
      <c r="N157" t="str">
        <f>IFERROR(VLOOKUP(M157,tbFactorMes,2,FALSE),"")</f>
        <v/>
      </c>
      <c r="O157">
        <f t="shared" si="28"/>
        <v>0</v>
      </c>
      <c r="R157" t="str">
        <f>IFERROR(VLOOKUP(Q157,tbFactorMes,2,FALSE),"")</f>
        <v/>
      </c>
      <c r="S157">
        <f t="shared" si="29"/>
        <v>0</v>
      </c>
      <c r="V157" t="str">
        <f>IFERROR(VLOOKUP(U157,tbFactorMes,2,FALSE),"")</f>
        <v/>
      </c>
      <c r="W157">
        <f t="shared" si="30"/>
        <v>0</v>
      </c>
      <c r="Z157" t="str">
        <f>IFERROR(VLOOKUP(Y157,tbFactorMes,2,FALSE),"")</f>
        <v/>
      </c>
      <c r="AA157">
        <f t="shared" si="31"/>
        <v>0</v>
      </c>
      <c r="AD157" t="str">
        <f>IFERROR(VLOOKUP(AC157,tbFactorMes,2,FALSE),"")</f>
        <v/>
      </c>
      <c r="AE157">
        <f t="shared" si="32"/>
        <v>0</v>
      </c>
      <c r="AH157" t="str">
        <f>IFERROR(VLOOKUP(AG157,tbFactorMes,2,FALSE),"")</f>
        <v/>
      </c>
      <c r="AI157">
        <f t="shared" si="33"/>
        <v>0</v>
      </c>
      <c r="AL157" t="str">
        <f>IFERROR(VLOOKUP(AK157,tbFactorMes,2,FALSE),"")</f>
        <v/>
      </c>
      <c r="AM157">
        <f t="shared" si="34"/>
        <v>0</v>
      </c>
      <c r="AP157" t="str">
        <f>IFERROR(VLOOKUP(AO157,tbFactorMes,2,FALSE),"")</f>
        <v/>
      </c>
      <c r="AQ157">
        <f t="shared" si="35"/>
        <v>0</v>
      </c>
      <c r="AT157" t="str">
        <f>IFERROR(VLOOKUP(AS157,tbFactorMes,2,FALSE),"")</f>
        <v/>
      </c>
      <c r="AU157">
        <f t="shared" si="36"/>
        <v>0</v>
      </c>
      <c r="AX157" t="str">
        <f>IFERROR(VLOOKUP(AW157,tbFactorMes,2,FALSE),"")</f>
        <v/>
      </c>
      <c r="AY157">
        <f t="shared" si="37"/>
        <v>0</v>
      </c>
      <c r="BB157" t="str">
        <f>IFERROR(VLOOKUP(BA157,tbFactorMes,2,FALSE),"")</f>
        <v/>
      </c>
      <c r="BC157">
        <f t="shared" si="38"/>
        <v>0</v>
      </c>
      <c r="BF157" t="str">
        <f>IFERROR(VLOOKUP(BE157,tbFactorMes,2,FALSE),"")</f>
        <v/>
      </c>
      <c r="BG157">
        <f t="shared" si="39"/>
        <v>0</v>
      </c>
      <c r="BH157">
        <f t="shared" si="40"/>
        <v>0</v>
      </c>
      <c r="BI157">
        <f t="shared" si="41"/>
        <v>0</v>
      </c>
    </row>
    <row r="158" spans="11:61" x14ac:dyDescent="0.35">
      <c r="K158" t="str">
        <f>IFERROR(VLOOKUP(F158,tbTurnos,3,FALSE),"")</f>
        <v/>
      </c>
      <c r="N158" t="str">
        <f>IFERROR(VLOOKUP(M158,tbFactorMes,2,FALSE),"")</f>
        <v/>
      </c>
      <c r="O158">
        <f t="shared" si="28"/>
        <v>0</v>
      </c>
      <c r="R158" t="str">
        <f>IFERROR(VLOOKUP(Q158,tbFactorMes,2,FALSE),"")</f>
        <v/>
      </c>
      <c r="S158">
        <f t="shared" si="29"/>
        <v>0</v>
      </c>
      <c r="V158" t="str">
        <f>IFERROR(VLOOKUP(U158,tbFactorMes,2,FALSE),"")</f>
        <v/>
      </c>
      <c r="W158">
        <f t="shared" si="30"/>
        <v>0</v>
      </c>
      <c r="Z158" t="str">
        <f>IFERROR(VLOOKUP(Y158,tbFactorMes,2,FALSE),"")</f>
        <v/>
      </c>
      <c r="AA158">
        <f t="shared" si="31"/>
        <v>0</v>
      </c>
      <c r="AD158" t="str">
        <f>IFERROR(VLOOKUP(AC158,tbFactorMes,2,FALSE),"")</f>
        <v/>
      </c>
      <c r="AE158">
        <f t="shared" si="32"/>
        <v>0</v>
      </c>
      <c r="AH158" t="str">
        <f>IFERROR(VLOOKUP(AG158,tbFactorMes,2,FALSE),"")</f>
        <v/>
      </c>
      <c r="AI158">
        <f t="shared" si="33"/>
        <v>0</v>
      </c>
      <c r="AL158" t="str">
        <f>IFERROR(VLOOKUP(AK158,tbFactorMes,2,FALSE),"")</f>
        <v/>
      </c>
      <c r="AM158">
        <f t="shared" si="34"/>
        <v>0</v>
      </c>
      <c r="AP158" t="str">
        <f>IFERROR(VLOOKUP(AO158,tbFactorMes,2,FALSE),"")</f>
        <v/>
      </c>
      <c r="AQ158">
        <f t="shared" si="35"/>
        <v>0</v>
      </c>
      <c r="AT158" t="str">
        <f>IFERROR(VLOOKUP(AS158,tbFactorMes,2,FALSE),"")</f>
        <v/>
      </c>
      <c r="AU158">
        <f t="shared" si="36"/>
        <v>0</v>
      </c>
      <c r="AX158" t="str">
        <f>IFERROR(VLOOKUP(AW158,tbFactorMes,2,FALSE),"")</f>
        <v/>
      </c>
      <c r="AY158">
        <f t="shared" si="37"/>
        <v>0</v>
      </c>
      <c r="BB158" t="str">
        <f>IFERROR(VLOOKUP(BA158,tbFactorMes,2,FALSE),"")</f>
        <v/>
      </c>
      <c r="BC158">
        <f t="shared" si="38"/>
        <v>0</v>
      </c>
      <c r="BF158" t="str">
        <f>IFERROR(VLOOKUP(BE158,tbFactorMes,2,FALSE),"")</f>
        <v/>
      </c>
      <c r="BG158">
        <f t="shared" si="39"/>
        <v>0</v>
      </c>
      <c r="BH158">
        <f t="shared" si="40"/>
        <v>0</v>
      </c>
      <c r="BI158">
        <f t="shared" si="41"/>
        <v>0</v>
      </c>
    </row>
    <row r="159" spans="11:61" x14ac:dyDescent="0.35">
      <c r="K159" t="str">
        <f>IFERROR(VLOOKUP(F159,tbTurnos,3,FALSE),"")</f>
        <v/>
      </c>
      <c r="N159" t="str">
        <f>IFERROR(VLOOKUP(M159,tbFactorMes,2,FALSE),"")</f>
        <v/>
      </c>
      <c r="O159">
        <f t="shared" si="28"/>
        <v>0</v>
      </c>
      <c r="R159" t="str">
        <f>IFERROR(VLOOKUP(Q159,tbFactorMes,2,FALSE),"")</f>
        <v/>
      </c>
      <c r="S159">
        <f t="shared" si="29"/>
        <v>0</v>
      </c>
      <c r="V159" t="str">
        <f>IFERROR(VLOOKUP(U159,tbFactorMes,2,FALSE),"")</f>
        <v/>
      </c>
      <c r="W159">
        <f t="shared" si="30"/>
        <v>0</v>
      </c>
      <c r="Z159" t="str">
        <f>IFERROR(VLOOKUP(Y159,tbFactorMes,2,FALSE),"")</f>
        <v/>
      </c>
      <c r="AA159">
        <f t="shared" si="31"/>
        <v>0</v>
      </c>
      <c r="AD159" t="str">
        <f>IFERROR(VLOOKUP(AC159,tbFactorMes,2,FALSE),"")</f>
        <v/>
      </c>
      <c r="AE159">
        <f t="shared" si="32"/>
        <v>0</v>
      </c>
      <c r="AH159" t="str">
        <f>IFERROR(VLOOKUP(AG159,tbFactorMes,2,FALSE),"")</f>
        <v/>
      </c>
      <c r="AI159">
        <f t="shared" si="33"/>
        <v>0</v>
      </c>
      <c r="AL159" t="str">
        <f>IFERROR(VLOOKUP(AK159,tbFactorMes,2,FALSE),"")</f>
        <v/>
      </c>
      <c r="AM159">
        <f t="shared" si="34"/>
        <v>0</v>
      </c>
      <c r="AP159" t="str">
        <f>IFERROR(VLOOKUP(AO159,tbFactorMes,2,FALSE),"")</f>
        <v/>
      </c>
      <c r="AQ159">
        <f t="shared" si="35"/>
        <v>0</v>
      </c>
      <c r="AT159" t="str">
        <f>IFERROR(VLOOKUP(AS159,tbFactorMes,2,FALSE),"")</f>
        <v/>
      </c>
      <c r="AU159">
        <f t="shared" si="36"/>
        <v>0</v>
      </c>
      <c r="AX159" t="str">
        <f>IFERROR(VLOOKUP(AW159,tbFactorMes,2,FALSE),"")</f>
        <v/>
      </c>
      <c r="AY159">
        <f t="shared" si="37"/>
        <v>0</v>
      </c>
      <c r="BB159" t="str">
        <f>IFERROR(VLOOKUP(BA159,tbFactorMes,2,FALSE),"")</f>
        <v/>
      </c>
      <c r="BC159">
        <f t="shared" si="38"/>
        <v>0</v>
      </c>
      <c r="BF159" t="str">
        <f>IFERROR(VLOOKUP(BE159,tbFactorMes,2,FALSE),"")</f>
        <v/>
      </c>
      <c r="BG159">
        <f t="shared" si="39"/>
        <v>0</v>
      </c>
      <c r="BH159">
        <f t="shared" si="40"/>
        <v>0</v>
      </c>
      <c r="BI159">
        <f t="shared" si="41"/>
        <v>0</v>
      </c>
    </row>
    <row r="160" spans="11:61" x14ac:dyDescent="0.35">
      <c r="K160" t="str">
        <f>IFERROR(VLOOKUP(F160,tbTurnos,3,FALSE),"")</f>
        <v/>
      </c>
      <c r="N160" t="str">
        <f>IFERROR(VLOOKUP(M160,tbFactorMes,2,FALSE),"")</f>
        <v/>
      </c>
      <c r="O160">
        <f t="shared" si="28"/>
        <v>0</v>
      </c>
      <c r="R160" t="str">
        <f>IFERROR(VLOOKUP(Q160,tbFactorMes,2,FALSE),"")</f>
        <v/>
      </c>
      <c r="S160">
        <f t="shared" si="29"/>
        <v>0</v>
      </c>
      <c r="V160" t="str">
        <f>IFERROR(VLOOKUP(U160,tbFactorMes,2,FALSE),"")</f>
        <v/>
      </c>
      <c r="W160">
        <f t="shared" si="30"/>
        <v>0</v>
      </c>
      <c r="Z160" t="str">
        <f>IFERROR(VLOOKUP(Y160,tbFactorMes,2,FALSE),"")</f>
        <v/>
      </c>
      <c r="AA160">
        <f t="shared" si="31"/>
        <v>0</v>
      </c>
      <c r="AD160" t="str">
        <f>IFERROR(VLOOKUP(AC160,tbFactorMes,2,FALSE),"")</f>
        <v/>
      </c>
      <c r="AE160">
        <f t="shared" si="32"/>
        <v>0</v>
      </c>
      <c r="AH160" t="str">
        <f>IFERROR(VLOOKUP(AG160,tbFactorMes,2,FALSE),"")</f>
        <v/>
      </c>
      <c r="AI160">
        <f t="shared" si="33"/>
        <v>0</v>
      </c>
      <c r="AL160" t="str">
        <f>IFERROR(VLOOKUP(AK160,tbFactorMes,2,FALSE),"")</f>
        <v/>
      </c>
      <c r="AM160">
        <f t="shared" si="34"/>
        <v>0</v>
      </c>
      <c r="AP160" t="str">
        <f>IFERROR(VLOOKUP(AO160,tbFactorMes,2,FALSE),"")</f>
        <v/>
      </c>
      <c r="AQ160">
        <f t="shared" si="35"/>
        <v>0</v>
      </c>
      <c r="AT160" t="str">
        <f>IFERROR(VLOOKUP(AS160,tbFactorMes,2,FALSE),"")</f>
        <v/>
      </c>
      <c r="AU160">
        <f t="shared" si="36"/>
        <v>0</v>
      </c>
      <c r="AX160" t="str">
        <f>IFERROR(VLOOKUP(AW160,tbFactorMes,2,FALSE),"")</f>
        <v/>
      </c>
      <c r="AY160">
        <f t="shared" si="37"/>
        <v>0</v>
      </c>
      <c r="BB160" t="str">
        <f>IFERROR(VLOOKUP(BA160,tbFactorMes,2,FALSE),"")</f>
        <v/>
      </c>
      <c r="BC160">
        <f t="shared" si="38"/>
        <v>0</v>
      </c>
      <c r="BF160" t="str">
        <f>IFERROR(VLOOKUP(BE160,tbFactorMes,2,FALSE),"")</f>
        <v/>
      </c>
      <c r="BG160">
        <f t="shared" si="39"/>
        <v>0</v>
      </c>
      <c r="BH160">
        <f t="shared" si="40"/>
        <v>0</v>
      </c>
      <c r="BI160">
        <f t="shared" si="41"/>
        <v>0</v>
      </c>
    </row>
    <row r="161" spans="11:61" x14ac:dyDescent="0.35">
      <c r="K161" t="str">
        <f>IFERROR(VLOOKUP(F161,tbTurnos,3,FALSE),"")</f>
        <v/>
      </c>
      <c r="N161" t="str">
        <f>IFERROR(VLOOKUP(M161,tbFactorMes,2,FALSE),"")</f>
        <v/>
      </c>
      <c r="O161">
        <f t="shared" si="28"/>
        <v>0</v>
      </c>
      <c r="R161" t="str">
        <f>IFERROR(VLOOKUP(Q161,tbFactorMes,2,FALSE),"")</f>
        <v/>
      </c>
      <c r="S161">
        <f t="shared" si="29"/>
        <v>0</v>
      </c>
      <c r="V161" t="str">
        <f>IFERROR(VLOOKUP(U161,tbFactorMes,2,FALSE),"")</f>
        <v/>
      </c>
      <c r="W161">
        <f t="shared" si="30"/>
        <v>0</v>
      </c>
      <c r="Z161" t="str">
        <f>IFERROR(VLOOKUP(Y161,tbFactorMes,2,FALSE),"")</f>
        <v/>
      </c>
      <c r="AA161">
        <f t="shared" si="31"/>
        <v>0</v>
      </c>
      <c r="AD161" t="str">
        <f>IFERROR(VLOOKUP(AC161,tbFactorMes,2,FALSE),"")</f>
        <v/>
      </c>
      <c r="AE161">
        <f t="shared" si="32"/>
        <v>0</v>
      </c>
      <c r="AH161" t="str">
        <f>IFERROR(VLOOKUP(AG161,tbFactorMes,2,FALSE),"")</f>
        <v/>
      </c>
      <c r="AI161">
        <f t="shared" si="33"/>
        <v>0</v>
      </c>
      <c r="AL161" t="str">
        <f>IFERROR(VLOOKUP(AK161,tbFactorMes,2,FALSE),"")</f>
        <v/>
      </c>
      <c r="AM161">
        <f t="shared" si="34"/>
        <v>0</v>
      </c>
      <c r="AP161" t="str">
        <f>IFERROR(VLOOKUP(AO161,tbFactorMes,2,FALSE),"")</f>
        <v/>
      </c>
      <c r="AQ161">
        <f t="shared" si="35"/>
        <v>0</v>
      </c>
      <c r="AT161" t="str">
        <f>IFERROR(VLOOKUP(AS161,tbFactorMes,2,FALSE),"")</f>
        <v/>
      </c>
      <c r="AU161">
        <f t="shared" si="36"/>
        <v>0</v>
      </c>
      <c r="AX161" t="str">
        <f>IFERROR(VLOOKUP(AW161,tbFactorMes,2,FALSE),"")</f>
        <v/>
      </c>
      <c r="AY161">
        <f t="shared" si="37"/>
        <v>0</v>
      </c>
      <c r="BB161" t="str">
        <f>IFERROR(VLOOKUP(BA161,tbFactorMes,2,FALSE),"")</f>
        <v/>
      </c>
      <c r="BC161">
        <f t="shared" si="38"/>
        <v>0</v>
      </c>
      <c r="BF161" t="str">
        <f>IFERROR(VLOOKUP(BE161,tbFactorMes,2,FALSE),"")</f>
        <v/>
      </c>
      <c r="BG161">
        <f t="shared" si="39"/>
        <v>0</v>
      </c>
      <c r="BH161">
        <f t="shared" si="40"/>
        <v>0</v>
      </c>
      <c r="BI161">
        <f t="shared" si="41"/>
        <v>0</v>
      </c>
    </row>
    <row r="162" spans="11:61" x14ac:dyDescent="0.35">
      <c r="K162" t="str">
        <f>IFERROR(VLOOKUP(F162,tbTurnos,3,FALSE),"")</f>
        <v/>
      </c>
      <c r="N162" t="str">
        <f>IFERROR(VLOOKUP(M162,tbFactorMes,2,FALSE),"")</f>
        <v/>
      </c>
      <c r="O162">
        <f t="shared" si="28"/>
        <v>0</v>
      </c>
      <c r="R162" t="str">
        <f>IFERROR(VLOOKUP(Q162,tbFactorMes,2,FALSE),"")</f>
        <v/>
      </c>
      <c r="S162">
        <f t="shared" si="29"/>
        <v>0</v>
      </c>
      <c r="V162" t="str">
        <f>IFERROR(VLOOKUP(U162,tbFactorMes,2,FALSE),"")</f>
        <v/>
      </c>
      <c r="W162">
        <f t="shared" si="30"/>
        <v>0</v>
      </c>
      <c r="Z162" t="str">
        <f>IFERROR(VLOOKUP(Y162,tbFactorMes,2,FALSE),"")</f>
        <v/>
      </c>
      <c r="AA162">
        <f t="shared" si="31"/>
        <v>0</v>
      </c>
      <c r="AD162" t="str">
        <f>IFERROR(VLOOKUP(AC162,tbFactorMes,2,FALSE),"")</f>
        <v/>
      </c>
      <c r="AE162">
        <f t="shared" si="32"/>
        <v>0</v>
      </c>
      <c r="AH162" t="str">
        <f>IFERROR(VLOOKUP(AG162,tbFactorMes,2,FALSE),"")</f>
        <v/>
      </c>
      <c r="AI162">
        <f t="shared" si="33"/>
        <v>0</v>
      </c>
      <c r="AL162" t="str">
        <f>IFERROR(VLOOKUP(AK162,tbFactorMes,2,FALSE),"")</f>
        <v/>
      </c>
      <c r="AM162">
        <f t="shared" si="34"/>
        <v>0</v>
      </c>
      <c r="AP162" t="str">
        <f>IFERROR(VLOOKUP(AO162,tbFactorMes,2,FALSE),"")</f>
        <v/>
      </c>
      <c r="AQ162">
        <f t="shared" si="35"/>
        <v>0</v>
      </c>
      <c r="AT162" t="str">
        <f>IFERROR(VLOOKUP(AS162,tbFactorMes,2,FALSE),"")</f>
        <v/>
      </c>
      <c r="AU162">
        <f t="shared" si="36"/>
        <v>0</v>
      </c>
      <c r="AX162" t="str">
        <f>IFERROR(VLOOKUP(AW162,tbFactorMes,2,FALSE),"")</f>
        <v/>
      </c>
      <c r="AY162">
        <f t="shared" si="37"/>
        <v>0</v>
      </c>
      <c r="BB162" t="str">
        <f>IFERROR(VLOOKUP(BA162,tbFactorMes,2,FALSE),"")</f>
        <v/>
      </c>
      <c r="BC162">
        <f t="shared" si="38"/>
        <v>0</v>
      </c>
      <c r="BF162" t="str">
        <f>IFERROR(VLOOKUP(BE162,tbFactorMes,2,FALSE),"")</f>
        <v/>
      </c>
      <c r="BG162">
        <f t="shared" si="39"/>
        <v>0</v>
      </c>
      <c r="BH162">
        <f t="shared" si="40"/>
        <v>0</v>
      </c>
      <c r="BI162">
        <f t="shared" si="41"/>
        <v>0</v>
      </c>
    </row>
    <row r="163" spans="11:61" x14ac:dyDescent="0.35">
      <c r="K163" t="str">
        <f>IFERROR(VLOOKUP(F163,tbTurnos,3,FALSE),"")</f>
        <v/>
      </c>
      <c r="N163" t="str">
        <f>IFERROR(VLOOKUP(M163,tbFactorMes,2,FALSE),"")</f>
        <v/>
      </c>
      <c r="O163">
        <f t="shared" si="28"/>
        <v>0</v>
      </c>
      <c r="R163" t="str">
        <f>IFERROR(VLOOKUP(Q163,tbFactorMes,2,FALSE),"")</f>
        <v/>
      </c>
      <c r="S163">
        <f t="shared" si="29"/>
        <v>0</v>
      </c>
      <c r="V163" t="str">
        <f>IFERROR(VLOOKUP(U163,tbFactorMes,2,FALSE),"")</f>
        <v/>
      </c>
      <c r="W163">
        <f t="shared" si="30"/>
        <v>0</v>
      </c>
      <c r="Z163" t="str">
        <f>IFERROR(VLOOKUP(Y163,tbFactorMes,2,FALSE),"")</f>
        <v/>
      </c>
      <c r="AA163">
        <f t="shared" si="31"/>
        <v>0</v>
      </c>
      <c r="AD163" t="str">
        <f>IFERROR(VLOOKUP(AC163,tbFactorMes,2,FALSE),"")</f>
        <v/>
      </c>
      <c r="AE163">
        <f t="shared" si="32"/>
        <v>0</v>
      </c>
      <c r="AH163" t="str">
        <f>IFERROR(VLOOKUP(AG163,tbFactorMes,2,FALSE),"")</f>
        <v/>
      </c>
      <c r="AI163">
        <f t="shared" si="33"/>
        <v>0</v>
      </c>
      <c r="AL163" t="str">
        <f>IFERROR(VLOOKUP(AK163,tbFactorMes,2,FALSE),"")</f>
        <v/>
      </c>
      <c r="AM163">
        <f t="shared" si="34"/>
        <v>0</v>
      </c>
      <c r="AP163" t="str">
        <f>IFERROR(VLOOKUP(AO163,tbFactorMes,2,FALSE),"")</f>
        <v/>
      </c>
      <c r="AQ163">
        <f t="shared" si="35"/>
        <v>0</v>
      </c>
      <c r="AT163" t="str">
        <f>IFERROR(VLOOKUP(AS163,tbFactorMes,2,FALSE),"")</f>
        <v/>
      </c>
      <c r="AU163">
        <f t="shared" si="36"/>
        <v>0</v>
      </c>
      <c r="AX163" t="str">
        <f>IFERROR(VLOOKUP(AW163,tbFactorMes,2,FALSE),"")</f>
        <v/>
      </c>
      <c r="AY163">
        <f t="shared" si="37"/>
        <v>0</v>
      </c>
      <c r="BB163" t="str">
        <f>IFERROR(VLOOKUP(BA163,tbFactorMes,2,FALSE),"")</f>
        <v/>
      </c>
      <c r="BC163">
        <f t="shared" si="38"/>
        <v>0</v>
      </c>
      <c r="BF163" t="str">
        <f>IFERROR(VLOOKUP(BE163,tbFactorMes,2,FALSE),"")</f>
        <v/>
      </c>
      <c r="BG163">
        <f t="shared" si="39"/>
        <v>0</v>
      </c>
      <c r="BH163">
        <f t="shared" si="40"/>
        <v>0</v>
      </c>
      <c r="BI163">
        <f t="shared" si="41"/>
        <v>0</v>
      </c>
    </row>
    <row r="164" spans="11:61" x14ac:dyDescent="0.35">
      <c r="K164" t="str">
        <f>IFERROR(VLOOKUP(F164,tbTurnos,3,FALSE),"")</f>
        <v/>
      </c>
      <c r="N164" t="str">
        <f>IFERROR(VLOOKUP(M164,tbFactorMes,2,FALSE),"")</f>
        <v/>
      </c>
      <c r="O164">
        <f t="shared" si="28"/>
        <v>0</v>
      </c>
      <c r="R164" t="str">
        <f>IFERROR(VLOOKUP(Q164,tbFactorMes,2,FALSE),"")</f>
        <v/>
      </c>
      <c r="S164">
        <f t="shared" si="29"/>
        <v>0</v>
      </c>
      <c r="V164" t="str">
        <f>IFERROR(VLOOKUP(U164,tbFactorMes,2,FALSE),"")</f>
        <v/>
      </c>
      <c r="W164">
        <f t="shared" si="30"/>
        <v>0</v>
      </c>
      <c r="Z164" t="str">
        <f>IFERROR(VLOOKUP(Y164,tbFactorMes,2,FALSE),"")</f>
        <v/>
      </c>
      <c r="AA164">
        <f t="shared" si="31"/>
        <v>0</v>
      </c>
      <c r="AD164" t="str">
        <f>IFERROR(VLOOKUP(AC164,tbFactorMes,2,FALSE),"")</f>
        <v/>
      </c>
      <c r="AE164">
        <f t="shared" si="32"/>
        <v>0</v>
      </c>
      <c r="AH164" t="str">
        <f>IFERROR(VLOOKUP(AG164,tbFactorMes,2,FALSE),"")</f>
        <v/>
      </c>
      <c r="AI164">
        <f t="shared" si="33"/>
        <v>0</v>
      </c>
      <c r="AL164" t="str">
        <f>IFERROR(VLOOKUP(AK164,tbFactorMes,2,FALSE),"")</f>
        <v/>
      </c>
      <c r="AM164">
        <f t="shared" si="34"/>
        <v>0</v>
      </c>
      <c r="AP164" t="str">
        <f>IFERROR(VLOOKUP(AO164,tbFactorMes,2,FALSE),"")</f>
        <v/>
      </c>
      <c r="AQ164">
        <f t="shared" si="35"/>
        <v>0</v>
      </c>
      <c r="AT164" t="str">
        <f>IFERROR(VLOOKUP(AS164,tbFactorMes,2,FALSE),"")</f>
        <v/>
      </c>
      <c r="AU164">
        <f t="shared" si="36"/>
        <v>0</v>
      </c>
      <c r="AX164" t="str">
        <f>IFERROR(VLOOKUP(AW164,tbFactorMes,2,FALSE),"")</f>
        <v/>
      </c>
      <c r="AY164">
        <f t="shared" si="37"/>
        <v>0</v>
      </c>
      <c r="BB164" t="str">
        <f>IFERROR(VLOOKUP(BA164,tbFactorMes,2,FALSE),"")</f>
        <v/>
      </c>
      <c r="BC164">
        <f t="shared" si="38"/>
        <v>0</v>
      </c>
      <c r="BF164" t="str">
        <f>IFERROR(VLOOKUP(BE164,tbFactorMes,2,FALSE),"")</f>
        <v/>
      </c>
      <c r="BG164">
        <f t="shared" si="39"/>
        <v>0</v>
      </c>
      <c r="BH164">
        <f t="shared" si="40"/>
        <v>0</v>
      </c>
      <c r="BI164">
        <f t="shared" si="41"/>
        <v>0</v>
      </c>
    </row>
    <row r="165" spans="11:61" x14ac:dyDescent="0.35">
      <c r="K165" t="str">
        <f>IFERROR(VLOOKUP(F165,tbTurnos,3,FALSE),"")</f>
        <v/>
      </c>
      <c r="N165" t="str">
        <f>IFERROR(VLOOKUP(M165,tbFactorMes,2,FALSE),"")</f>
        <v/>
      </c>
      <c r="O165">
        <f t="shared" si="28"/>
        <v>0</v>
      </c>
      <c r="R165" t="str">
        <f>IFERROR(VLOOKUP(Q165,tbFactorMes,2,FALSE),"")</f>
        <v/>
      </c>
      <c r="S165">
        <f t="shared" si="29"/>
        <v>0</v>
      </c>
      <c r="V165" t="str">
        <f>IFERROR(VLOOKUP(U165,tbFactorMes,2,FALSE),"")</f>
        <v/>
      </c>
      <c r="W165">
        <f t="shared" si="30"/>
        <v>0</v>
      </c>
      <c r="Z165" t="str">
        <f>IFERROR(VLOOKUP(Y165,tbFactorMes,2,FALSE),"")</f>
        <v/>
      </c>
      <c r="AA165">
        <f t="shared" si="31"/>
        <v>0</v>
      </c>
      <c r="AD165" t="str">
        <f>IFERROR(VLOOKUP(AC165,tbFactorMes,2,FALSE),"")</f>
        <v/>
      </c>
      <c r="AE165">
        <f t="shared" si="32"/>
        <v>0</v>
      </c>
      <c r="AH165" t="str">
        <f>IFERROR(VLOOKUP(AG165,tbFactorMes,2,FALSE),"")</f>
        <v/>
      </c>
      <c r="AI165">
        <f t="shared" si="33"/>
        <v>0</v>
      </c>
      <c r="AL165" t="str">
        <f>IFERROR(VLOOKUP(AK165,tbFactorMes,2,FALSE),"")</f>
        <v/>
      </c>
      <c r="AM165">
        <f t="shared" si="34"/>
        <v>0</v>
      </c>
      <c r="AP165" t="str">
        <f>IFERROR(VLOOKUP(AO165,tbFactorMes,2,FALSE),"")</f>
        <v/>
      </c>
      <c r="AQ165">
        <f t="shared" si="35"/>
        <v>0</v>
      </c>
      <c r="AT165" t="str">
        <f>IFERROR(VLOOKUP(AS165,tbFactorMes,2,FALSE),"")</f>
        <v/>
      </c>
      <c r="AU165">
        <f t="shared" si="36"/>
        <v>0</v>
      </c>
      <c r="AX165" t="str">
        <f>IFERROR(VLOOKUP(AW165,tbFactorMes,2,FALSE),"")</f>
        <v/>
      </c>
      <c r="AY165">
        <f t="shared" si="37"/>
        <v>0</v>
      </c>
      <c r="BB165" t="str">
        <f>IFERROR(VLOOKUP(BA165,tbFactorMes,2,FALSE),"")</f>
        <v/>
      </c>
      <c r="BC165">
        <f t="shared" si="38"/>
        <v>0</v>
      </c>
      <c r="BF165" t="str">
        <f>IFERROR(VLOOKUP(BE165,tbFactorMes,2,FALSE),"")</f>
        <v/>
      </c>
      <c r="BG165">
        <f t="shared" si="39"/>
        <v>0</v>
      </c>
      <c r="BH165">
        <f t="shared" si="40"/>
        <v>0</v>
      </c>
      <c r="BI165">
        <f t="shared" si="41"/>
        <v>0</v>
      </c>
    </row>
    <row r="166" spans="11:61" x14ac:dyDescent="0.35">
      <c r="K166" t="str">
        <f>IFERROR(VLOOKUP(F166,tbTurnos,3,FALSE),"")</f>
        <v/>
      </c>
      <c r="N166" t="str">
        <f>IFERROR(VLOOKUP(M166,tbFactorMes,2,FALSE),"")</f>
        <v/>
      </c>
      <c r="O166">
        <f t="shared" si="28"/>
        <v>0</v>
      </c>
      <c r="R166" t="str">
        <f>IFERROR(VLOOKUP(Q166,tbFactorMes,2,FALSE),"")</f>
        <v/>
      </c>
      <c r="S166">
        <f t="shared" si="29"/>
        <v>0</v>
      </c>
      <c r="V166" t="str">
        <f>IFERROR(VLOOKUP(U166,tbFactorMes,2,FALSE),"")</f>
        <v/>
      </c>
      <c r="W166">
        <f t="shared" si="30"/>
        <v>0</v>
      </c>
      <c r="Z166" t="str">
        <f>IFERROR(VLOOKUP(Y166,tbFactorMes,2,FALSE),"")</f>
        <v/>
      </c>
      <c r="AA166">
        <f t="shared" si="31"/>
        <v>0</v>
      </c>
      <c r="AD166" t="str">
        <f>IFERROR(VLOOKUP(AC166,tbFactorMes,2,FALSE),"")</f>
        <v/>
      </c>
      <c r="AE166">
        <f t="shared" si="32"/>
        <v>0</v>
      </c>
      <c r="AH166" t="str">
        <f>IFERROR(VLOOKUP(AG166,tbFactorMes,2,FALSE),"")</f>
        <v/>
      </c>
      <c r="AI166">
        <f t="shared" si="33"/>
        <v>0</v>
      </c>
      <c r="AL166" t="str">
        <f>IFERROR(VLOOKUP(AK166,tbFactorMes,2,FALSE),"")</f>
        <v/>
      </c>
      <c r="AM166">
        <f t="shared" si="34"/>
        <v>0</v>
      </c>
      <c r="AP166" t="str">
        <f>IFERROR(VLOOKUP(AO166,tbFactorMes,2,FALSE),"")</f>
        <v/>
      </c>
      <c r="AQ166">
        <f t="shared" si="35"/>
        <v>0</v>
      </c>
      <c r="AT166" t="str">
        <f>IFERROR(VLOOKUP(AS166,tbFactorMes,2,FALSE),"")</f>
        <v/>
      </c>
      <c r="AU166">
        <f t="shared" si="36"/>
        <v>0</v>
      </c>
      <c r="AX166" t="str">
        <f>IFERROR(VLOOKUP(AW166,tbFactorMes,2,FALSE),"")</f>
        <v/>
      </c>
      <c r="AY166">
        <f t="shared" si="37"/>
        <v>0</v>
      </c>
      <c r="BB166" t="str">
        <f>IFERROR(VLOOKUP(BA166,tbFactorMes,2,FALSE),"")</f>
        <v/>
      </c>
      <c r="BC166">
        <f t="shared" si="38"/>
        <v>0</v>
      </c>
      <c r="BF166" t="str">
        <f>IFERROR(VLOOKUP(BE166,tbFactorMes,2,FALSE),"")</f>
        <v/>
      </c>
      <c r="BG166">
        <f t="shared" si="39"/>
        <v>0</v>
      </c>
      <c r="BH166">
        <f t="shared" si="40"/>
        <v>0</v>
      </c>
      <c r="BI166">
        <f t="shared" si="41"/>
        <v>0</v>
      </c>
    </row>
    <row r="167" spans="11:61" x14ac:dyDescent="0.35">
      <c r="K167" t="str">
        <f>IFERROR(VLOOKUP(F167,tbTurnos,3,FALSE),"")</f>
        <v/>
      </c>
      <c r="N167" t="str">
        <f>IFERROR(VLOOKUP(M167,tbFactorMes,2,FALSE),"")</f>
        <v/>
      </c>
      <c r="O167">
        <f t="shared" si="28"/>
        <v>0</v>
      </c>
      <c r="R167" t="str">
        <f>IFERROR(VLOOKUP(Q167,tbFactorMes,2,FALSE),"")</f>
        <v/>
      </c>
      <c r="S167">
        <f t="shared" si="29"/>
        <v>0</v>
      </c>
      <c r="V167" t="str">
        <f>IFERROR(VLOOKUP(U167,tbFactorMes,2,FALSE),"")</f>
        <v/>
      </c>
      <c r="W167">
        <f t="shared" si="30"/>
        <v>0</v>
      </c>
      <c r="Z167" t="str">
        <f>IFERROR(VLOOKUP(Y167,tbFactorMes,2,FALSE),"")</f>
        <v/>
      </c>
      <c r="AA167">
        <f t="shared" si="31"/>
        <v>0</v>
      </c>
      <c r="AD167" t="str">
        <f>IFERROR(VLOOKUP(AC167,tbFactorMes,2,FALSE),"")</f>
        <v/>
      </c>
      <c r="AE167">
        <f t="shared" si="32"/>
        <v>0</v>
      </c>
      <c r="AH167" t="str">
        <f>IFERROR(VLOOKUP(AG167,tbFactorMes,2,FALSE),"")</f>
        <v/>
      </c>
      <c r="AI167">
        <f t="shared" si="33"/>
        <v>0</v>
      </c>
      <c r="AL167" t="str">
        <f>IFERROR(VLOOKUP(AK167,tbFactorMes,2,FALSE),"")</f>
        <v/>
      </c>
      <c r="AM167">
        <f t="shared" si="34"/>
        <v>0</v>
      </c>
      <c r="AP167" t="str">
        <f>IFERROR(VLOOKUP(AO167,tbFactorMes,2,FALSE),"")</f>
        <v/>
      </c>
      <c r="AQ167">
        <f t="shared" si="35"/>
        <v>0</v>
      </c>
      <c r="AT167" t="str">
        <f>IFERROR(VLOOKUP(AS167,tbFactorMes,2,FALSE),"")</f>
        <v/>
      </c>
      <c r="AU167">
        <f t="shared" si="36"/>
        <v>0</v>
      </c>
      <c r="AX167" t="str">
        <f>IFERROR(VLOOKUP(AW167,tbFactorMes,2,FALSE),"")</f>
        <v/>
      </c>
      <c r="AY167">
        <f t="shared" si="37"/>
        <v>0</v>
      </c>
      <c r="BB167" t="str">
        <f>IFERROR(VLOOKUP(BA167,tbFactorMes,2,FALSE),"")</f>
        <v/>
      </c>
      <c r="BC167">
        <f t="shared" si="38"/>
        <v>0</v>
      </c>
      <c r="BF167" t="str">
        <f>IFERROR(VLOOKUP(BE167,tbFactorMes,2,FALSE),"")</f>
        <v/>
      </c>
      <c r="BG167">
        <f t="shared" si="39"/>
        <v>0</v>
      </c>
      <c r="BH167">
        <f t="shared" si="40"/>
        <v>0</v>
      </c>
      <c r="BI167">
        <f t="shared" si="41"/>
        <v>0</v>
      </c>
    </row>
    <row r="168" spans="11:61" x14ac:dyDescent="0.35">
      <c r="K168" t="str">
        <f>IFERROR(VLOOKUP(F168,tbTurnos,3,FALSE),"")</f>
        <v/>
      </c>
      <c r="N168" t="str">
        <f>IFERROR(VLOOKUP(M168,tbFactorMes,2,FALSE),"")</f>
        <v/>
      </c>
      <c r="O168">
        <f t="shared" si="28"/>
        <v>0</v>
      </c>
      <c r="R168" t="str">
        <f>IFERROR(VLOOKUP(Q168,tbFactorMes,2,FALSE),"")</f>
        <v/>
      </c>
      <c r="S168">
        <f t="shared" si="29"/>
        <v>0</v>
      </c>
      <c r="V168" t="str">
        <f>IFERROR(VLOOKUP(U168,tbFactorMes,2,FALSE),"")</f>
        <v/>
      </c>
      <c r="W168">
        <f t="shared" si="30"/>
        <v>0</v>
      </c>
      <c r="Z168" t="str">
        <f>IFERROR(VLOOKUP(Y168,tbFactorMes,2,FALSE),"")</f>
        <v/>
      </c>
      <c r="AA168">
        <f t="shared" si="31"/>
        <v>0</v>
      </c>
      <c r="AD168" t="str">
        <f>IFERROR(VLOOKUP(AC168,tbFactorMes,2,FALSE),"")</f>
        <v/>
      </c>
      <c r="AE168">
        <f t="shared" si="32"/>
        <v>0</v>
      </c>
      <c r="AH168" t="str">
        <f>IFERROR(VLOOKUP(AG168,tbFactorMes,2,FALSE),"")</f>
        <v/>
      </c>
      <c r="AI168">
        <f t="shared" si="33"/>
        <v>0</v>
      </c>
      <c r="AL168" t="str">
        <f>IFERROR(VLOOKUP(AK168,tbFactorMes,2,FALSE),"")</f>
        <v/>
      </c>
      <c r="AM168">
        <f t="shared" si="34"/>
        <v>0</v>
      </c>
      <c r="AP168" t="str">
        <f>IFERROR(VLOOKUP(AO168,tbFactorMes,2,FALSE),"")</f>
        <v/>
      </c>
      <c r="AQ168">
        <f t="shared" si="35"/>
        <v>0</v>
      </c>
      <c r="AT168" t="str">
        <f>IFERROR(VLOOKUP(AS168,tbFactorMes,2,FALSE),"")</f>
        <v/>
      </c>
      <c r="AU168">
        <f t="shared" si="36"/>
        <v>0</v>
      </c>
      <c r="AX168" t="str">
        <f>IFERROR(VLOOKUP(AW168,tbFactorMes,2,FALSE),"")</f>
        <v/>
      </c>
      <c r="AY168">
        <f t="shared" si="37"/>
        <v>0</v>
      </c>
      <c r="BB168" t="str">
        <f>IFERROR(VLOOKUP(BA168,tbFactorMes,2,FALSE),"")</f>
        <v/>
      </c>
      <c r="BC168">
        <f t="shared" si="38"/>
        <v>0</v>
      </c>
      <c r="BF168" t="str">
        <f>IFERROR(VLOOKUP(BE168,tbFactorMes,2,FALSE),"")</f>
        <v/>
      </c>
      <c r="BG168">
        <f t="shared" si="39"/>
        <v>0</v>
      </c>
      <c r="BH168">
        <f t="shared" si="40"/>
        <v>0</v>
      </c>
      <c r="BI168">
        <f t="shared" si="41"/>
        <v>0</v>
      </c>
    </row>
    <row r="169" spans="11:61" x14ac:dyDescent="0.35">
      <c r="K169" t="str">
        <f>IFERROR(VLOOKUP(F169,tbTurnos,3,FALSE),"")</f>
        <v/>
      </c>
      <c r="N169" t="str">
        <f>IFERROR(VLOOKUP(M169,tbFactorMes,2,FALSE),"")</f>
        <v/>
      </c>
      <c r="O169">
        <f t="shared" si="28"/>
        <v>0</v>
      </c>
      <c r="R169" t="str">
        <f>IFERROR(VLOOKUP(Q169,tbFactorMes,2,FALSE),"")</f>
        <v/>
      </c>
      <c r="S169">
        <f t="shared" si="29"/>
        <v>0</v>
      </c>
      <c r="V169" t="str">
        <f>IFERROR(VLOOKUP(U169,tbFactorMes,2,FALSE),"")</f>
        <v/>
      </c>
      <c r="W169">
        <f t="shared" si="30"/>
        <v>0</v>
      </c>
      <c r="Z169" t="str">
        <f>IFERROR(VLOOKUP(Y169,tbFactorMes,2,FALSE),"")</f>
        <v/>
      </c>
      <c r="AA169">
        <f t="shared" si="31"/>
        <v>0</v>
      </c>
      <c r="AD169" t="str">
        <f>IFERROR(VLOOKUP(AC169,tbFactorMes,2,FALSE),"")</f>
        <v/>
      </c>
      <c r="AE169">
        <f t="shared" si="32"/>
        <v>0</v>
      </c>
      <c r="AH169" t="str">
        <f>IFERROR(VLOOKUP(AG169,tbFactorMes,2,FALSE),"")</f>
        <v/>
      </c>
      <c r="AI169">
        <f t="shared" si="33"/>
        <v>0</v>
      </c>
      <c r="AL169" t="str">
        <f>IFERROR(VLOOKUP(AK169,tbFactorMes,2,FALSE),"")</f>
        <v/>
      </c>
      <c r="AM169">
        <f t="shared" si="34"/>
        <v>0</v>
      </c>
      <c r="AP169" t="str">
        <f>IFERROR(VLOOKUP(AO169,tbFactorMes,2,FALSE),"")</f>
        <v/>
      </c>
      <c r="AQ169">
        <f t="shared" si="35"/>
        <v>0</v>
      </c>
      <c r="AT169" t="str">
        <f>IFERROR(VLOOKUP(AS169,tbFactorMes,2,FALSE),"")</f>
        <v/>
      </c>
      <c r="AU169">
        <f t="shared" si="36"/>
        <v>0</v>
      </c>
      <c r="AX169" t="str">
        <f>IFERROR(VLOOKUP(AW169,tbFactorMes,2,FALSE),"")</f>
        <v/>
      </c>
      <c r="AY169">
        <f t="shared" si="37"/>
        <v>0</v>
      </c>
      <c r="BB169" t="str">
        <f>IFERROR(VLOOKUP(BA169,tbFactorMes,2,FALSE),"")</f>
        <v/>
      </c>
      <c r="BC169">
        <f t="shared" si="38"/>
        <v>0</v>
      </c>
      <c r="BF169" t="str">
        <f>IFERROR(VLOOKUP(BE169,tbFactorMes,2,FALSE),"")</f>
        <v/>
      </c>
      <c r="BG169">
        <f t="shared" si="39"/>
        <v>0</v>
      </c>
      <c r="BH169">
        <f t="shared" si="40"/>
        <v>0</v>
      </c>
      <c r="BI169">
        <f t="shared" si="41"/>
        <v>0</v>
      </c>
    </row>
    <row r="170" spans="11:61" x14ac:dyDescent="0.35">
      <c r="K170" t="str">
        <f>IFERROR(VLOOKUP(F170,tbTurnos,3,FALSE),"")</f>
        <v/>
      </c>
      <c r="N170" t="str">
        <f>IFERROR(VLOOKUP(M170,tbFactorMes,2,FALSE),"")</f>
        <v/>
      </c>
      <c r="O170">
        <f t="shared" si="28"/>
        <v>0</v>
      </c>
      <c r="R170" t="str">
        <f>IFERROR(VLOOKUP(Q170,tbFactorMes,2,FALSE),"")</f>
        <v/>
      </c>
      <c r="S170">
        <f t="shared" si="29"/>
        <v>0</v>
      </c>
      <c r="V170" t="str">
        <f>IFERROR(VLOOKUP(U170,tbFactorMes,2,FALSE),"")</f>
        <v/>
      </c>
      <c r="W170">
        <f t="shared" si="30"/>
        <v>0</v>
      </c>
      <c r="Z170" t="str">
        <f>IFERROR(VLOOKUP(Y170,tbFactorMes,2,FALSE),"")</f>
        <v/>
      </c>
      <c r="AA170">
        <f t="shared" si="31"/>
        <v>0</v>
      </c>
      <c r="AD170" t="str">
        <f>IFERROR(VLOOKUP(AC170,tbFactorMes,2,FALSE),"")</f>
        <v/>
      </c>
      <c r="AE170">
        <f t="shared" si="32"/>
        <v>0</v>
      </c>
      <c r="AH170" t="str">
        <f>IFERROR(VLOOKUP(AG170,tbFactorMes,2,FALSE),"")</f>
        <v/>
      </c>
      <c r="AI170">
        <f t="shared" si="33"/>
        <v>0</v>
      </c>
      <c r="AL170" t="str">
        <f>IFERROR(VLOOKUP(AK170,tbFactorMes,2,FALSE),"")</f>
        <v/>
      </c>
      <c r="AM170">
        <f t="shared" si="34"/>
        <v>0</v>
      </c>
      <c r="AP170" t="str">
        <f>IFERROR(VLOOKUP(AO170,tbFactorMes,2,FALSE),"")</f>
        <v/>
      </c>
      <c r="AQ170">
        <f t="shared" si="35"/>
        <v>0</v>
      </c>
      <c r="AT170" t="str">
        <f>IFERROR(VLOOKUP(AS170,tbFactorMes,2,FALSE),"")</f>
        <v/>
      </c>
      <c r="AU170">
        <f t="shared" si="36"/>
        <v>0</v>
      </c>
      <c r="AX170" t="str">
        <f>IFERROR(VLOOKUP(AW170,tbFactorMes,2,FALSE),"")</f>
        <v/>
      </c>
      <c r="AY170">
        <f t="shared" si="37"/>
        <v>0</v>
      </c>
      <c r="BB170" t="str">
        <f>IFERROR(VLOOKUP(BA170,tbFactorMes,2,FALSE),"")</f>
        <v/>
      </c>
      <c r="BC170">
        <f t="shared" si="38"/>
        <v>0</v>
      </c>
      <c r="BF170" t="str">
        <f>IFERROR(VLOOKUP(BE170,tbFactorMes,2,FALSE),"")</f>
        <v/>
      </c>
      <c r="BG170">
        <f t="shared" si="39"/>
        <v>0</v>
      </c>
      <c r="BH170">
        <f t="shared" si="40"/>
        <v>0</v>
      </c>
      <c r="BI170">
        <f t="shared" si="41"/>
        <v>0</v>
      </c>
    </row>
    <row r="171" spans="11:61" x14ac:dyDescent="0.35">
      <c r="K171" t="str">
        <f>IFERROR(VLOOKUP(F171,tbTurnos,3,FALSE),"")</f>
        <v/>
      </c>
      <c r="N171" t="str">
        <f>IFERROR(VLOOKUP(M171,tbFactorMes,2,FALSE),"")</f>
        <v/>
      </c>
      <c r="O171">
        <f t="shared" si="28"/>
        <v>0</v>
      </c>
      <c r="R171" t="str">
        <f>IFERROR(VLOOKUP(Q171,tbFactorMes,2,FALSE),"")</f>
        <v/>
      </c>
      <c r="S171">
        <f t="shared" si="29"/>
        <v>0</v>
      </c>
      <c r="V171" t="str">
        <f>IFERROR(VLOOKUP(U171,tbFactorMes,2,FALSE),"")</f>
        <v/>
      </c>
      <c r="W171">
        <f t="shared" si="30"/>
        <v>0</v>
      </c>
      <c r="Z171" t="str">
        <f>IFERROR(VLOOKUP(Y171,tbFactorMes,2,FALSE),"")</f>
        <v/>
      </c>
      <c r="AA171">
        <f t="shared" si="31"/>
        <v>0</v>
      </c>
      <c r="AD171" t="str">
        <f>IFERROR(VLOOKUP(AC171,tbFactorMes,2,FALSE),"")</f>
        <v/>
      </c>
      <c r="AE171">
        <f t="shared" si="32"/>
        <v>0</v>
      </c>
      <c r="AH171" t="str">
        <f>IFERROR(VLOOKUP(AG171,tbFactorMes,2,FALSE),"")</f>
        <v/>
      </c>
      <c r="AI171">
        <f t="shared" si="33"/>
        <v>0</v>
      </c>
      <c r="AL171" t="str">
        <f>IFERROR(VLOOKUP(AK171,tbFactorMes,2,FALSE),"")</f>
        <v/>
      </c>
      <c r="AM171">
        <f t="shared" si="34"/>
        <v>0</v>
      </c>
      <c r="AP171" t="str">
        <f>IFERROR(VLOOKUP(AO171,tbFactorMes,2,FALSE),"")</f>
        <v/>
      </c>
      <c r="AQ171">
        <f t="shared" si="35"/>
        <v>0</v>
      </c>
      <c r="AT171" t="str">
        <f>IFERROR(VLOOKUP(AS171,tbFactorMes,2,FALSE),"")</f>
        <v/>
      </c>
      <c r="AU171">
        <f t="shared" si="36"/>
        <v>0</v>
      </c>
      <c r="AX171" t="str">
        <f>IFERROR(VLOOKUP(AW171,tbFactorMes,2,FALSE),"")</f>
        <v/>
      </c>
      <c r="AY171">
        <f t="shared" si="37"/>
        <v>0</v>
      </c>
      <c r="BB171" t="str">
        <f>IFERROR(VLOOKUP(BA171,tbFactorMes,2,FALSE),"")</f>
        <v/>
      </c>
      <c r="BC171">
        <f t="shared" si="38"/>
        <v>0</v>
      </c>
      <c r="BF171" t="str">
        <f>IFERROR(VLOOKUP(BE171,tbFactorMes,2,FALSE),"")</f>
        <v/>
      </c>
      <c r="BG171">
        <f t="shared" si="39"/>
        <v>0</v>
      </c>
      <c r="BH171">
        <f t="shared" si="40"/>
        <v>0</v>
      </c>
      <c r="BI171">
        <f t="shared" si="41"/>
        <v>0</v>
      </c>
    </row>
    <row r="172" spans="11:61" x14ac:dyDescent="0.35">
      <c r="K172" t="str">
        <f>IFERROR(VLOOKUP(F172,tbTurnos,3,FALSE),"")</f>
        <v/>
      </c>
      <c r="N172" t="str">
        <f>IFERROR(VLOOKUP(M172,tbFactorMes,2,FALSE),"")</f>
        <v/>
      </c>
      <c r="O172">
        <f t="shared" si="28"/>
        <v>0</v>
      </c>
      <c r="R172" t="str">
        <f>IFERROR(VLOOKUP(Q172,tbFactorMes,2,FALSE),"")</f>
        <v/>
      </c>
      <c r="S172">
        <f t="shared" si="29"/>
        <v>0</v>
      </c>
      <c r="V172" t="str">
        <f>IFERROR(VLOOKUP(U172,tbFactorMes,2,FALSE),"")</f>
        <v/>
      </c>
      <c r="W172">
        <f t="shared" si="30"/>
        <v>0</v>
      </c>
      <c r="Z172" t="str">
        <f>IFERROR(VLOOKUP(Y172,tbFactorMes,2,FALSE),"")</f>
        <v/>
      </c>
      <c r="AA172">
        <f t="shared" si="31"/>
        <v>0</v>
      </c>
      <c r="AD172" t="str">
        <f>IFERROR(VLOOKUP(AC172,tbFactorMes,2,FALSE),"")</f>
        <v/>
      </c>
      <c r="AE172">
        <f t="shared" si="32"/>
        <v>0</v>
      </c>
      <c r="AH172" t="str">
        <f>IFERROR(VLOOKUP(AG172,tbFactorMes,2,FALSE),"")</f>
        <v/>
      </c>
      <c r="AI172">
        <f t="shared" si="33"/>
        <v>0</v>
      </c>
      <c r="AL172" t="str">
        <f>IFERROR(VLOOKUP(AK172,tbFactorMes,2,FALSE),"")</f>
        <v/>
      </c>
      <c r="AM172">
        <f t="shared" si="34"/>
        <v>0</v>
      </c>
      <c r="AP172" t="str">
        <f>IFERROR(VLOOKUP(AO172,tbFactorMes,2,FALSE),"")</f>
        <v/>
      </c>
      <c r="AQ172">
        <f t="shared" si="35"/>
        <v>0</v>
      </c>
      <c r="AT172" t="str">
        <f>IFERROR(VLOOKUP(AS172,tbFactorMes,2,FALSE),"")</f>
        <v/>
      </c>
      <c r="AU172">
        <f t="shared" si="36"/>
        <v>0</v>
      </c>
      <c r="AX172" t="str">
        <f>IFERROR(VLOOKUP(AW172,tbFactorMes,2,FALSE),"")</f>
        <v/>
      </c>
      <c r="AY172">
        <f t="shared" si="37"/>
        <v>0</v>
      </c>
      <c r="BB172" t="str">
        <f>IFERROR(VLOOKUP(BA172,tbFactorMes,2,FALSE),"")</f>
        <v/>
      </c>
      <c r="BC172">
        <f t="shared" si="38"/>
        <v>0</v>
      </c>
      <c r="BF172" t="str">
        <f>IFERROR(VLOOKUP(BE172,tbFactorMes,2,FALSE),"")</f>
        <v/>
      </c>
      <c r="BG172">
        <f t="shared" si="39"/>
        <v>0</v>
      </c>
      <c r="BH172">
        <f t="shared" si="40"/>
        <v>0</v>
      </c>
      <c r="BI172">
        <f t="shared" si="41"/>
        <v>0</v>
      </c>
    </row>
    <row r="173" spans="11:61" x14ac:dyDescent="0.35">
      <c r="K173" t="str">
        <f>IFERROR(VLOOKUP(F173,tbTurnos,3,FALSE),"")</f>
        <v/>
      </c>
      <c r="N173" t="str">
        <f>IFERROR(VLOOKUP(M173,tbFactorMes,2,FALSE),"")</f>
        <v/>
      </c>
      <c r="O173">
        <f t="shared" si="28"/>
        <v>0</v>
      </c>
      <c r="R173" t="str">
        <f>IFERROR(VLOOKUP(Q173,tbFactorMes,2,FALSE),"")</f>
        <v/>
      </c>
      <c r="S173">
        <f t="shared" si="29"/>
        <v>0</v>
      </c>
      <c r="V173" t="str">
        <f>IFERROR(VLOOKUP(U173,tbFactorMes,2,FALSE),"")</f>
        <v/>
      </c>
      <c r="W173">
        <f t="shared" si="30"/>
        <v>0</v>
      </c>
      <c r="Z173" t="str">
        <f>IFERROR(VLOOKUP(Y173,tbFactorMes,2,FALSE),"")</f>
        <v/>
      </c>
      <c r="AA173">
        <f t="shared" si="31"/>
        <v>0</v>
      </c>
      <c r="AD173" t="str">
        <f>IFERROR(VLOOKUP(AC173,tbFactorMes,2,FALSE),"")</f>
        <v/>
      </c>
      <c r="AE173">
        <f t="shared" si="32"/>
        <v>0</v>
      </c>
      <c r="AH173" t="str">
        <f>IFERROR(VLOOKUP(AG173,tbFactorMes,2,FALSE),"")</f>
        <v/>
      </c>
      <c r="AI173">
        <f t="shared" si="33"/>
        <v>0</v>
      </c>
      <c r="AL173" t="str">
        <f>IFERROR(VLOOKUP(AK173,tbFactorMes,2,FALSE),"")</f>
        <v/>
      </c>
      <c r="AM173">
        <f t="shared" si="34"/>
        <v>0</v>
      </c>
      <c r="AP173" t="str">
        <f>IFERROR(VLOOKUP(AO173,tbFactorMes,2,FALSE),"")</f>
        <v/>
      </c>
      <c r="AQ173">
        <f t="shared" si="35"/>
        <v>0</v>
      </c>
      <c r="AT173" t="str">
        <f>IFERROR(VLOOKUP(AS173,tbFactorMes,2,FALSE),"")</f>
        <v/>
      </c>
      <c r="AU173">
        <f t="shared" si="36"/>
        <v>0</v>
      </c>
      <c r="AX173" t="str">
        <f>IFERROR(VLOOKUP(AW173,tbFactorMes,2,FALSE),"")</f>
        <v/>
      </c>
      <c r="AY173">
        <f t="shared" si="37"/>
        <v>0</v>
      </c>
      <c r="BB173" t="str">
        <f>IFERROR(VLOOKUP(BA173,tbFactorMes,2,FALSE),"")</f>
        <v/>
      </c>
      <c r="BC173">
        <f t="shared" si="38"/>
        <v>0</v>
      </c>
      <c r="BF173" t="str">
        <f>IFERROR(VLOOKUP(BE173,tbFactorMes,2,FALSE),"")</f>
        <v/>
      </c>
      <c r="BG173">
        <f t="shared" si="39"/>
        <v>0</v>
      </c>
      <c r="BH173">
        <f t="shared" si="40"/>
        <v>0</v>
      </c>
      <c r="BI173">
        <f t="shared" si="41"/>
        <v>0</v>
      </c>
    </row>
    <row r="174" spans="11:61" x14ac:dyDescent="0.35">
      <c r="K174" t="str">
        <f>IFERROR(VLOOKUP(F174,tbTurnos,3,FALSE),"")</f>
        <v/>
      </c>
      <c r="N174" t="str">
        <f>IFERROR(VLOOKUP(M174,tbFactorMes,2,FALSE),"")</f>
        <v/>
      </c>
      <c r="O174">
        <f t="shared" si="28"/>
        <v>0</v>
      </c>
      <c r="R174" t="str">
        <f>IFERROR(VLOOKUP(Q174,tbFactorMes,2,FALSE),"")</f>
        <v/>
      </c>
      <c r="S174">
        <f t="shared" si="29"/>
        <v>0</v>
      </c>
      <c r="V174" t="str">
        <f>IFERROR(VLOOKUP(U174,tbFactorMes,2,FALSE),"")</f>
        <v/>
      </c>
      <c r="W174">
        <f t="shared" si="30"/>
        <v>0</v>
      </c>
      <c r="Z174" t="str">
        <f>IFERROR(VLOOKUP(Y174,tbFactorMes,2,FALSE),"")</f>
        <v/>
      </c>
      <c r="AA174">
        <f t="shared" si="31"/>
        <v>0</v>
      </c>
      <c r="AD174" t="str">
        <f>IFERROR(VLOOKUP(AC174,tbFactorMes,2,FALSE),"")</f>
        <v/>
      </c>
      <c r="AE174">
        <f t="shared" si="32"/>
        <v>0</v>
      </c>
      <c r="AH174" t="str">
        <f>IFERROR(VLOOKUP(AG174,tbFactorMes,2,FALSE),"")</f>
        <v/>
      </c>
      <c r="AI174">
        <f t="shared" si="33"/>
        <v>0</v>
      </c>
      <c r="AL174" t="str">
        <f>IFERROR(VLOOKUP(AK174,tbFactorMes,2,FALSE),"")</f>
        <v/>
      </c>
      <c r="AM174">
        <f t="shared" si="34"/>
        <v>0</v>
      </c>
      <c r="AP174" t="str">
        <f>IFERROR(VLOOKUP(AO174,tbFactorMes,2,FALSE),"")</f>
        <v/>
      </c>
      <c r="AQ174">
        <f t="shared" si="35"/>
        <v>0</v>
      </c>
      <c r="AT174" t="str">
        <f>IFERROR(VLOOKUP(AS174,tbFactorMes,2,FALSE),"")</f>
        <v/>
      </c>
      <c r="AU174">
        <f t="shared" si="36"/>
        <v>0</v>
      </c>
      <c r="AX174" t="str">
        <f>IFERROR(VLOOKUP(AW174,tbFactorMes,2,FALSE),"")</f>
        <v/>
      </c>
      <c r="AY174">
        <f t="shared" si="37"/>
        <v>0</v>
      </c>
      <c r="BB174" t="str">
        <f>IFERROR(VLOOKUP(BA174,tbFactorMes,2,FALSE),"")</f>
        <v/>
      </c>
      <c r="BC174">
        <f t="shared" si="38"/>
        <v>0</v>
      </c>
      <c r="BF174" t="str">
        <f>IFERROR(VLOOKUP(BE174,tbFactorMes,2,FALSE),"")</f>
        <v/>
      </c>
      <c r="BG174">
        <f t="shared" si="39"/>
        <v>0</v>
      </c>
      <c r="BH174">
        <f t="shared" si="40"/>
        <v>0</v>
      </c>
      <c r="BI174">
        <f t="shared" si="41"/>
        <v>0</v>
      </c>
    </row>
    <row r="175" spans="11:61" x14ac:dyDescent="0.35">
      <c r="K175" t="str">
        <f>IFERROR(VLOOKUP(F175,tbTurnos,3,FALSE),"")</f>
        <v/>
      </c>
      <c r="N175" t="str">
        <f>IFERROR(VLOOKUP(M175,tbFactorMes,2,FALSE),"")</f>
        <v/>
      </c>
      <c r="O175">
        <f t="shared" si="28"/>
        <v>0</v>
      </c>
      <c r="R175" t="str">
        <f>IFERROR(VLOOKUP(Q175,tbFactorMes,2,FALSE),"")</f>
        <v/>
      </c>
      <c r="S175">
        <f t="shared" si="29"/>
        <v>0</v>
      </c>
      <c r="V175" t="str">
        <f>IFERROR(VLOOKUP(U175,tbFactorMes,2,FALSE),"")</f>
        <v/>
      </c>
      <c r="W175">
        <f t="shared" si="30"/>
        <v>0</v>
      </c>
      <c r="Z175" t="str">
        <f>IFERROR(VLOOKUP(Y175,tbFactorMes,2,FALSE),"")</f>
        <v/>
      </c>
      <c r="AA175">
        <f t="shared" si="31"/>
        <v>0</v>
      </c>
      <c r="AD175" t="str">
        <f>IFERROR(VLOOKUP(AC175,tbFactorMes,2,FALSE),"")</f>
        <v/>
      </c>
      <c r="AE175">
        <f t="shared" si="32"/>
        <v>0</v>
      </c>
      <c r="AH175" t="str">
        <f>IFERROR(VLOOKUP(AG175,tbFactorMes,2,FALSE),"")</f>
        <v/>
      </c>
      <c r="AI175">
        <f t="shared" si="33"/>
        <v>0</v>
      </c>
      <c r="AL175" t="str">
        <f>IFERROR(VLOOKUP(AK175,tbFactorMes,2,FALSE),"")</f>
        <v/>
      </c>
      <c r="AM175">
        <f t="shared" si="34"/>
        <v>0</v>
      </c>
      <c r="AP175" t="str">
        <f>IFERROR(VLOOKUP(AO175,tbFactorMes,2,FALSE),"")</f>
        <v/>
      </c>
      <c r="AQ175">
        <f t="shared" si="35"/>
        <v>0</v>
      </c>
      <c r="AT175" t="str">
        <f>IFERROR(VLOOKUP(AS175,tbFactorMes,2,FALSE),"")</f>
        <v/>
      </c>
      <c r="AU175">
        <f t="shared" si="36"/>
        <v>0</v>
      </c>
      <c r="AX175" t="str">
        <f>IFERROR(VLOOKUP(AW175,tbFactorMes,2,FALSE),"")</f>
        <v/>
      </c>
      <c r="AY175">
        <f t="shared" si="37"/>
        <v>0</v>
      </c>
      <c r="BB175" t="str">
        <f>IFERROR(VLOOKUP(BA175,tbFactorMes,2,FALSE),"")</f>
        <v/>
      </c>
      <c r="BC175">
        <f t="shared" si="38"/>
        <v>0</v>
      </c>
      <c r="BF175" t="str">
        <f>IFERROR(VLOOKUP(BE175,tbFactorMes,2,FALSE),"")</f>
        <v/>
      </c>
      <c r="BG175">
        <f t="shared" si="39"/>
        <v>0</v>
      </c>
      <c r="BH175">
        <f t="shared" si="40"/>
        <v>0</v>
      </c>
      <c r="BI175">
        <f t="shared" si="41"/>
        <v>0</v>
      </c>
    </row>
    <row r="176" spans="11:61" x14ac:dyDescent="0.35">
      <c r="K176" t="str">
        <f>IFERROR(VLOOKUP(F176,tbTurnos,3,FALSE),"")</f>
        <v/>
      </c>
      <c r="N176" t="str">
        <f>IFERROR(VLOOKUP(M176,tbFactorMes,2,FALSE),"")</f>
        <v/>
      </c>
      <c r="O176">
        <f t="shared" si="28"/>
        <v>0</v>
      </c>
      <c r="R176" t="str">
        <f>IFERROR(VLOOKUP(Q176,tbFactorMes,2,FALSE),"")</f>
        <v/>
      </c>
      <c r="S176">
        <f t="shared" si="29"/>
        <v>0</v>
      </c>
      <c r="V176" t="str">
        <f>IFERROR(VLOOKUP(U176,tbFactorMes,2,FALSE),"")</f>
        <v/>
      </c>
      <c r="W176">
        <f t="shared" si="30"/>
        <v>0</v>
      </c>
      <c r="Z176" t="str">
        <f>IFERROR(VLOOKUP(Y176,tbFactorMes,2,FALSE),"")</f>
        <v/>
      </c>
      <c r="AA176">
        <f t="shared" si="31"/>
        <v>0</v>
      </c>
      <c r="AD176" t="str">
        <f>IFERROR(VLOOKUP(AC176,tbFactorMes,2,FALSE),"")</f>
        <v/>
      </c>
      <c r="AE176">
        <f t="shared" si="32"/>
        <v>0</v>
      </c>
      <c r="AH176" t="str">
        <f>IFERROR(VLOOKUP(AG176,tbFactorMes,2,FALSE),"")</f>
        <v/>
      </c>
      <c r="AI176">
        <f t="shared" si="33"/>
        <v>0</v>
      </c>
      <c r="AL176" t="str">
        <f>IFERROR(VLOOKUP(AK176,tbFactorMes,2,FALSE),"")</f>
        <v/>
      </c>
      <c r="AM176">
        <f t="shared" si="34"/>
        <v>0</v>
      </c>
      <c r="AP176" t="str">
        <f>IFERROR(VLOOKUP(AO176,tbFactorMes,2,FALSE),"")</f>
        <v/>
      </c>
      <c r="AQ176">
        <f t="shared" si="35"/>
        <v>0</v>
      </c>
      <c r="AT176" t="str">
        <f>IFERROR(VLOOKUP(AS176,tbFactorMes,2,FALSE),"")</f>
        <v/>
      </c>
      <c r="AU176">
        <f t="shared" si="36"/>
        <v>0</v>
      </c>
      <c r="AX176" t="str">
        <f>IFERROR(VLOOKUP(AW176,tbFactorMes,2,FALSE),"")</f>
        <v/>
      </c>
      <c r="AY176">
        <f t="shared" si="37"/>
        <v>0</v>
      </c>
      <c r="BB176" t="str">
        <f>IFERROR(VLOOKUP(BA176,tbFactorMes,2,FALSE),"")</f>
        <v/>
      </c>
      <c r="BC176">
        <f t="shared" si="38"/>
        <v>0</v>
      </c>
      <c r="BF176" t="str">
        <f>IFERROR(VLOOKUP(BE176,tbFactorMes,2,FALSE),"")</f>
        <v/>
      </c>
      <c r="BG176">
        <f t="shared" si="39"/>
        <v>0</v>
      </c>
      <c r="BH176">
        <f t="shared" si="40"/>
        <v>0</v>
      </c>
      <c r="BI176">
        <f t="shared" si="41"/>
        <v>0</v>
      </c>
    </row>
    <row r="177" spans="11:61" x14ac:dyDescent="0.35">
      <c r="K177" t="str">
        <f>IFERROR(VLOOKUP(F177,tbTurnos,3,FALSE),"")</f>
        <v/>
      </c>
      <c r="N177" t="str">
        <f>IFERROR(VLOOKUP(M177,tbFactorMes,2,FALSE),"")</f>
        <v/>
      </c>
      <c r="O177">
        <f t="shared" si="28"/>
        <v>0</v>
      </c>
      <c r="R177" t="str">
        <f>IFERROR(VLOOKUP(Q177,tbFactorMes,2,FALSE),"")</f>
        <v/>
      </c>
      <c r="S177">
        <f t="shared" si="29"/>
        <v>0</v>
      </c>
      <c r="V177" t="str">
        <f>IFERROR(VLOOKUP(U177,tbFactorMes,2,FALSE),"")</f>
        <v/>
      </c>
      <c r="W177">
        <f t="shared" si="30"/>
        <v>0</v>
      </c>
      <c r="Z177" t="str">
        <f>IFERROR(VLOOKUP(Y177,tbFactorMes,2,FALSE),"")</f>
        <v/>
      </c>
      <c r="AA177">
        <f t="shared" si="31"/>
        <v>0</v>
      </c>
      <c r="AD177" t="str">
        <f>IFERROR(VLOOKUP(AC177,tbFactorMes,2,FALSE),"")</f>
        <v/>
      </c>
      <c r="AE177">
        <f t="shared" si="32"/>
        <v>0</v>
      </c>
      <c r="AH177" t="str">
        <f>IFERROR(VLOOKUP(AG177,tbFactorMes,2,FALSE),"")</f>
        <v/>
      </c>
      <c r="AI177">
        <f t="shared" si="33"/>
        <v>0</v>
      </c>
      <c r="AL177" t="str">
        <f>IFERROR(VLOOKUP(AK177,tbFactorMes,2,FALSE),"")</f>
        <v/>
      </c>
      <c r="AM177">
        <f t="shared" si="34"/>
        <v>0</v>
      </c>
      <c r="AP177" t="str">
        <f>IFERROR(VLOOKUP(AO177,tbFactorMes,2,FALSE),"")</f>
        <v/>
      </c>
      <c r="AQ177">
        <f t="shared" si="35"/>
        <v>0</v>
      </c>
      <c r="AT177" t="str">
        <f>IFERROR(VLOOKUP(AS177,tbFactorMes,2,FALSE),"")</f>
        <v/>
      </c>
      <c r="AU177">
        <f t="shared" si="36"/>
        <v>0</v>
      </c>
      <c r="AX177" t="str">
        <f>IFERROR(VLOOKUP(AW177,tbFactorMes,2,FALSE),"")</f>
        <v/>
      </c>
      <c r="AY177">
        <f t="shared" si="37"/>
        <v>0</v>
      </c>
      <c r="BB177" t="str">
        <f>IFERROR(VLOOKUP(BA177,tbFactorMes,2,FALSE),"")</f>
        <v/>
      </c>
      <c r="BC177">
        <f t="shared" si="38"/>
        <v>0</v>
      </c>
      <c r="BF177" t="str">
        <f>IFERROR(VLOOKUP(BE177,tbFactorMes,2,FALSE),"")</f>
        <v/>
      </c>
      <c r="BG177">
        <f t="shared" si="39"/>
        <v>0</v>
      </c>
      <c r="BH177">
        <f t="shared" si="40"/>
        <v>0</v>
      </c>
      <c r="BI177">
        <f t="shared" si="41"/>
        <v>0</v>
      </c>
    </row>
    <row r="178" spans="11:61" x14ac:dyDescent="0.35">
      <c r="K178" t="str">
        <f>IFERROR(VLOOKUP(F178,tbTurnos,3,FALSE),"")</f>
        <v/>
      </c>
      <c r="N178" t="str">
        <f>IFERROR(VLOOKUP(M178,tbFactorMes,2,FALSE),"")</f>
        <v/>
      </c>
      <c r="O178">
        <f t="shared" si="28"/>
        <v>0</v>
      </c>
      <c r="R178" t="str">
        <f>IFERROR(VLOOKUP(Q178,tbFactorMes,2,FALSE),"")</f>
        <v/>
      </c>
      <c r="S178">
        <f t="shared" si="29"/>
        <v>0</v>
      </c>
      <c r="V178" t="str">
        <f>IFERROR(VLOOKUP(U178,tbFactorMes,2,FALSE),"")</f>
        <v/>
      </c>
      <c r="W178">
        <f t="shared" si="30"/>
        <v>0</v>
      </c>
      <c r="Z178" t="str">
        <f>IFERROR(VLOOKUP(Y178,tbFactorMes,2,FALSE),"")</f>
        <v/>
      </c>
      <c r="AA178">
        <f t="shared" si="31"/>
        <v>0</v>
      </c>
      <c r="AD178" t="str">
        <f>IFERROR(VLOOKUP(AC178,tbFactorMes,2,FALSE),"")</f>
        <v/>
      </c>
      <c r="AE178">
        <f t="shared" si="32"/>
        <v>0</v>
      </c>
      <c r="AH178" t="str">
        <f>IFERROR(VLOOKUP(AG178,tbFactorMes,2,FALSE),"")</f>
        <v/>
      </c>
      <c r="AI178">
        <f t="shared" si="33"/>
        <v>0</v>
      </c>
      <c r="AL178" t="str">
        <f>IFERROR(VLOOKUP(AK178,tbFactorMes,2,FALSE),"")</f>
        <v/>
      </c>
      <c r="AM178">
        <f t="shared" si="34"/>
        <v>0</v>
      </c>
      <c r="AP178" t="str">
        <f>IFERROR(VLOOKUP(AO178,tbFactorMes,2,FALSE),"")</f>
        <v/>
      </c>
      <c r="AQ178">
        <f t="shared" si="35"/>
        <v>0</v>
      </c>
      <c r="AT178" t="str">
        <f>IFERROR(VLOOKUP(AS178,tbFactorMes,2,FALSE),"")</f>
        <v/>
      </c>
      <c r="AU178">
        <f t="shared" si="36"/>
        <v>0</v>
      </c>
      <c r="AX178" t="str">
        <f>IFERROR(VLOOKUP(AW178,tbFactorMes,2,FALSE),"")</f>
        <v/>
      </c>
      <c r="AY178">
        <f t="shared" si="37"/>
        <v>0</v>
      </c>
      <c r="BB178" t="str">
        <f>IFERROR(VLOOKUP(BA178,tbFactorMes,2,FALSE),"")</f>
        <v/>
      </c>
      <c r="BC178">
        <f t="shared" si="38"/>
        <v>0</v>
      </c>
      <c r="BF178" t="str">
        <f>IFERROR(VLOOKUP(BE178,tbFactorMes,2,FALSE),"")</f>
        <v/>
      </c>
      <c r="BG178">
        <f t="shared" si="39"/>
        <v>0</v>
      </c>
      <c r="BH178">
        <f t="shared" si="40"/>
        <v>0</v>
      </c>
      <c r="BI178">
        <f t="shared" si="41"/>
        <v>0</v>
      </c>
    </row>
    <row r="179" spans="11:61" x14ac:dyDescent="0.35">
      <c r="K179" t="str">
        <f>IFERROR(VLOOKUP(F179,tbTurnos,3,FALSE),"")</f>
        <v/>
      </c>
      <c r="N179" t="str">
        <f>IFERROR(VLOOKUP(M179,tbFactorMes,2,FALSE),"")</f>
        <v/>
      </c>
      <c r="O179">
        <f t="shared" si="28"/>
        <v>0</v>
      </c>
      <c r="R179" t="str">
        <f>IFERROR(VLOOKUP(Q179,tbFactorMes,2,FALSE),"")</f>
        <v/>
      </c>
      <c r="S179">
        <f t="shared" si="29"/>
        <v>0</v>
      </c>
      <c r="V179" t="str">
        <f>IFERROR(VLOOKUP(U179,tbFactorMes,2,FALSE),"")</f>
        <v/>
      </c>
      <c r="W179">
        <f t="shared" si="30"/>
        <v>0</v>
      </c>
      <c r="Z179" t="str">
        <f>IFERROR(VLOOKUP(Y179,tbFactorMes,2,FALSE),"")</f>
        <v/>
      </c>
      <c r="AA179">
        <f t="shared" si="31"/>
        <v>0</v>
      </c>
      <c r="AD179" t="str">
        <f>IFERROR(VLOOKUP(AC179,tbFactorMes,2,FALSE),"")</f>
        <v/>
      </c>
      <c r="AE179">
        <f t="shared" si="32"/>
        <v>0</v>
      </c>
      <c r="AH179" t="str">
        <f>IFERROR(VLOOKUP(AG179,tbFactorMes,2,FALSE),"")</f>
        <v/>
      </c>
      <c r="AI179">
        <f t="shared" si="33"/>
        <v>0</v>
      </c>
      <c r="AL179" t="str">
        <f>IFERROR(VLOOKUP(AK179,tbFactorMes,2,FALSE),"")</f>
        <v/>
      </c>
      <c r="AM179">
        <f t="shared" si="34"/>
        <v>0</v>
      </c>
      <c r="AP179" t="str">
        <f>IFERROR(VLOOKUP(AO179,tbFactorMes,2,FALSE),"")</f>
        <v/>
      </c>
      <c r="AQ179">
        <f t="shared" si="35"/>
        <v>0</v>
      </c>
      <c r="AT179" t="str">
        <f>IFERROR(VLOOKUP(AS179,tbFactorMes,2,FALSE),"")</f>
        <v/>
      </c>
      <c r="AU179">
        <f t="shared" si="36"/>
        <v>0</v>
      </c>
      <c r="AX179" t="str">
        <f>IFERROR(VLOOKUP(AW179,tbFactorMes,2,FALSE),"")</f>
        <v/>
      </c>
      <c r="AY179">
        <f t="shared" si="37"/>
        <v>0</v>
      </c>
      <c r="BB179" t="str">
        <f>IFERROR(VLOOKUP(BA179,tbFactorMes,2,FALSE),"")</f>
        <v/>
      </c>
      <c r="BC179">
        <f t="shared" si="38"/>
        <v>0</v>
      </c>
      <c r="BF179" t="str">
        <f>IFERROR(VLOOKUP(BE179,tbFactorMes,2,FALSE),"")</f>
        <v/>
      </c>
      <c r="BG179">
        <f t="shared" si="39"/>
        <v>0</v>
      </c>
      <c r="BH179">
        <f t="shared" si="40"/>
        <v>0</v>
      </c>
      <c r="BI179">
        <f t="shared" si="41"/>
        <v>0</v>
      </c>
    </row>
    <row r="180" spans="11:61" x14ac:dyDescent="0.35">
      <c r="K180" t="str">
        <f>IFERROR(VLOOKUP(F180,tbTurnos,3,FALSE),"")</f>
        <v/>
      </c>
      <c r="N180" t="str">
        <f>IFERROR(VLOOKUP(M180,tbFactorMes,2,FALSE),"")</f>
        <v/>
      </c>
      <c r="O180">
        <f t="shared" si="28"/>
        <v>0</v>
      </c>
      <c r="R180" t="str">
        <f>IFERROR(VLOOKUP(Q180,tbFactorMes,2,FALSE),"")</f>
        <v/>
      </c>
      <c r="S180">
        <f t="shared" si="29"/>
        <v>0</v>
      </c>
      <c r="V180" t="str">
        <f>IFERROR(VLOOKUP(U180,tbFactorMes,2,FALSE),"")</f>
        <v/>
      </c>
      <c r="W180">
        <f t="shared" si="30"/>
        <v>0</v>
      </c>
      <c r="Z180" t="str">
        <f>IFERROR(VLOOKUP(Y180,tbFactorMes,2,FALSE),"")</f>
        <v/>
      </c>
      <c r="AA180">
        <f t="shared" si="31"/>
        <v>0</v>
      </c>
      <c r="AD180" t="str">
        <f>IFERROR(VLOOKUP(AC180,tbFactorMes,2,FALSE),"")</f>
        <v/>
      </c>
      <c r="AE180">
        <f t="shared" si="32"/>
        <v>0</v>
      </c>
      <c r="AH180" t="str">
        <f>IFERROR(VLOOKUP(AG180,tbFactorMes,2,FALSE),"")</f>
        <v/>
      </c>
      <c r="AI180">
        <f t="shared" si="33"/>
        <v>0</v>
      </c>
      <c r="AL180" t="str">
        <f>IFERROR(VLOOKUP(AK180,tbFactorMes,2,FALSE),"")</f>
        <v/>
      </c>
      <c r="AM180">
        <f t="shared" si="34"/>
        <v>0</v>
      </c>
      <c r="AP180" t="str">
        <f>IFERROR(VLOOKUP(AO180,tbFactorMes,2,FALSE),"")</f>
        <v/>
      </c>
      <c r="AQ180">
        <f t="shared" si="35"/>
        <v>0</v>
      </c>
      <c r="AT180" t="str">
        <f>IFERROR(VLOOKUP(AS180,tbFactorMes,2,FALSE),"")</f>
        <v/>
      </c>
      <c r="AU180">
        <f t="shared" si="36"/>
        <v>0</v>
      </c>
      <c r="AX180" t="str">
        <f>IFERROR(VLOOKUP(AW180,tbFactorMes,2,FALSE),"")</f>
        <v/>
      </c>
      <c r="AY180">
        <f t="shared" si="37"/>
        <v>0</v>
      </c>
      <c r="BB180" t="str">
        <f>IFERROR(VLOOKUP(BA180,tbFactorMes,2,FALSE),"")</f>
        <v/>
      </c>
      <c r="BC180">
        <f t="shared" si="38"/>
        <v>0</v>
      </c>
      <c r="BF180" t="str">
        <f>IFERROR(VLOOKUP(BE180,tbFactorMes,2,FALSE),"")</f>
        <v/>
      </c>
      <c r="BG180">
        <f t="shared" si="39"/>
        <v>0</v>
      </c>
      <c r="BH180">
        <f t="shared" si="40"/>
        <v>0</v>
      </c>
      <c r="BI180">
        <f t="shared" si="41"/>
        <v>0</v>
      </c>
    </row>
    <row r="181" spans="11:61" x14ac:dyDescent="0.35">
      <c r="K181" t="str">
        <f>IFERROR(VLOOKUP(F181,tbTurnos,3,FALSE),"")</f>
        <v/>
      </c>
      <c r="N181" t="str">
        <f>IFERROR(VLOOKUP(M181,tbFactorMes,2,FALSE),"")</f>
        <v/>
      </c>
      <c r="O181">
        <f t="shared" si="28"/>
        <v>0</v>
      </c>
      <c r="R181" t="str">
        <f>IFERROR(VLOOKUP(Q181,tbFactorMes,2,FALSE),"")</f>
        <v/>
      </c>
      <c r="S181">
        <f t="shared" si="29"/>
        <v>0</v>
      </c>
      <c r="V181" t="str">
        <f>IFERROR(VLOOKUP(U181,tbFactorMes,2,FALSE),"")</f>
        <v/>
      </c>
      <c r="W181">
        <f t="shared" si="30"/>
        <v>0</v>
      </c>
      <c r="Z181" t="str">
        <f>IFERROR(VLOOKUP(Y181,tbFactorMes,2,FALSE),"")</f>
        <v/>
      </c>
      <c r="AA181">
        <f t="shared" si="31"/>
        <v>0</v>
      </c>
      <c r="AD181" t="str">
        <f>IFERROR(VLOOKUP(AC181,tbFactorMes,2,FALSE),"")</f>
        <v/>
      </c>
      <c r="AE181">
        <f t="shared" si="32"/>
        <v>0</v>
      </c>
      <c r="AH181" t="str">
        <f>IFERROR(VLOOKUP(AG181,tbFactorMes,2,FALSE),"")</f>
        <v/>
      </c>
      <c r="AI181">
        <f t="shared" si="33"/>
        <v>0</v>
      </c>
      <c r="AL181" t="str">
        <f>IFERROR(VLOOKUP(AK181,tbFactorMes,2,FALSE),"")</f>
        <v/>
      </c>
      <c r="AM181">
        <f t="shared" si="34"/>
        <v>0</v>
      </c>
      <c r="AP181" t="str">
        <f>IFERROR(VLOOKUP(AO181,tbFactorMes,2,FALSE),"")</f>
        <v/>
      </c>
      <c r="AQ181">
        <f t="shared" si="35"/>
        <v>0</v>
      </c>
      <c r="AT181" t="str">
        <f>IFERROR(VLOOKUP(AS181,tbFactorMes,2,FALSE),"")</f>
        <v/>
      </c>
      <c r="AU181">
        <f t="shared" si="36"/>
        <v>0</v>
      </c>
      <c r="AX181" t="str">
        <f>IFERROR(VLOOKUP(AW181,tbFactorMes,2,FALSE),"")</f>
        <v/>
      </c>
      <c r="AY181">
        <f t="shared" si="37"/>
        <v>0</v>
      </c>
      <c r="BB181" t="str">
        <f>IFERROR(VLOOKUP(BA181,tbFactorMes,2,FALSE),"")</f>
        <v/>
      </c>
      <c r="BC181">
        <f t="shared" si="38"/>
        <v>0</v>
      </c>
      <c r="BF181" t="str">
        <f>IFERROR(VLOOKUP(BE181,tbFactorMes,2,FALSE),"")</f>
        <v/>
      </c>
      <c r="BG181">
        <f t="shared" si="39"/>
        <v>0</v>
      </c>
      <c r="BH181">
        <f t="shared" si="40"/>
        <v>0</v>
      </c>
      <c r="BI181">
        <f t="shared" si="41"/>
        <v>0</v>
      </c>
    </row>
    <row r="182" spans="11:61" x14ac:dyDescent="0.35">
      <c r="K182" t="str">
        <f>IFERROR(VLOOKUP(F182,tbTurnos,3,FALSE),"")</f>
        <v/>
      </c>
      <c r="N182" t="str">
        <f>IFERROR(VLOOKUP(M182,tbFactorMes,2,FALSE),"")</f>
        <v/>
      </c>
      <c r="O182">
        <f t="shared" si="28"/>
        <v>0</v>
      </c>
      <c r="R182" t="str">
        <f>IFERROR(VLOOKUP(Q182,tbFactorMes,2,FALSE),"")</f>
        <v/>
      </c>
      <c r="S182">
        <f t="shared" si="29"/>
        <v>0</v>
      </c>
      <c r="V182" t="str">
        <f>IFERROR(VLOOKUP(U182,tbFactorMes,2,FALSE),"")</f>
        <v/>
      </c>
      <c r="W182">
        <f t="shared" si="30"/>
        <v>0</v>
      </c>
      <c r="Z182" t="str">
        <f>IFERROR(VLOOKUP(Y182,tbFactorMes,2,FALSE),"")</f>
        <v/>
      </c>
      <c r="AA182">
        <f t="shared" si="31"/>
        <v>0</v>
      </c>
      <c r="AD182" t="str">
        <f>IFERROR(VLOOKUP(AC182,tbFactorMes,2,FALSE),"")</f>
        <v/>
      </c>
      <c r="AE182">
        <f t="shared" si="32"/>
        <v>0</v>
      </c>
      <c r="AH182" t="str">
        <f>IFERROR(VLOOKUP(AG182,tbFactorMes,2,FALSE),"")</f>
        <v/>
      </c>
      <c r="AI182">
        <f t="shared" si="33"/>
        <v>0</v>
      </c>
      <c r="AL182" t="str">
        <f>IFERROR(VLOOKUP(AK182,tbFactorMes,2,FALSE),"")</f>
        <v/>
      </c>
      <c r="AM182">
        <f t="shared" si="34"/>
        <v>0</v>
      </c>
      <c r="AP182" t="str">
        <f>IFERROR(VLOOKUP(AO182,tbFactorMes,2,FALSE),"")</f>
        <v/>
      </c>
      <c r="AQ182">
        <f t="shared" si="35"/>
        <v>0</v>
      </c>
      <c r="AT182" t="str">
        <f>IFERROR(VLOOKUP(AS182,tbFactorMes,2,FALSE),"")</f>
        <v/>
      </c>
      <c r="AU182">
        <f t="shared" si="36"/>
        <v>0</v>
      </c>
      <c r="AX182" t="str">
        <f>IFERROR(VLOOKUP(AW182,tbFactorMes,2,FALSE),"")</f>
        <v/>
      </c>
      <c r="AY182">
        <f t="shared" si="37"/>
        <v>0</v>
      </c>
      <c r="BB182" t="str">
        <f>IFERROR(VLOOKUP(BA182,tbFactorMes,2,FALSE),"")</f>
        <v/>
      </c>
      <c r="BC182">
        <f t="shared" si="38"/>
        <v>0</v>
      </c>
      <c r="BF182" t="str">
        <f>IFERROR(VLOOKUP(BE182,tbFactorMes,2,FALSE),"")</f>
        <v/>
      </c>
      <c r="BG182">
        <f t="shared" si="39"/>
        <v>0</v>
      </c>
      <c r="BH182">
        <f t="shared" si="40"/>
        <v>0</v>
      </c>
      <c r="BI182">
        <f t="shared" si="41"/>
        <v>0</v>
      </c>
    </row>
    <row r="183" spans="11:61" x14ac:dyDescent="0.35">
      <c r="K183" t="str">
        <f>IFERROR(VLOOKUP(F183,tbTurnos,3,FALSE),"")</f>
        <v/>
      </c>
      <c r="N183" t="str">
        <f>IFERROR(VLOOKUP(M183,tbFactorMes,2,FALSE),"")</f>
        <v/>
      </c>
      <c r="O183">
        <f t="shared" si="28"/>
        <v>0</v>
      </c>
      <c r="R183" t="str">
        <f>IFERROR(VLOOKUP(Q183,tbFactorMes,2,FALSE),"")</f>
        <v/>
      </c>
      <c r="S183">
        <f t="shared" si="29"/>
        <v>0</v>
      </c>
      <c r="V183" t="str">
        <f>IFERROR(VLOOKUP(U183,tbFactorMes,2,FALSE),"")</f>
        <v/>
      </c>
      <c r="W183">
        <f t="shared" si="30"/>
        <v>0</v>
      </c>
      <c r="Z183" t="str">
        <f>IFERROR(VLOOKUP(Y183,tbFactorMes,2,FALSE),"")</f>
        <v/>
      </c>
      <c r="AA183">
        <f t="shared" si="31"/>
        <v>0</v>
      </c>
      <c r="AD183" t="str">
        <f>IFERROR(VLOOKUP(AC183,tbFactorMes,2,FALSE),"")</f>
        <v/>
      </c>
      <c r="AE183">
        <f t="shared" si="32"/>
        <v>0</v>
      </c>
      <c r="AH183" t="str">
        <f>IFERROR(VLOOKUP(AG183,tbFactorMes,2,FALSE),"")</f>
        <v/>
      </c>
      <c r="AI183">
        <f t="shared" si="33"/>
        <v>0</v>
      </c>
      <c r="AL183" t="str">
        <f>IFERROR(VLOOKUP(AK183,tbFactorMes,2,FALSE),"")</f>
        <v/>
      </c>
      <c r="AM183">
        <f t="shared" si="34"/>
        <v>0</v>
      </c>
      <c r="AP183" t="str">
        <f>IFERROR(VLOOKUP(AO183,tbFactorMes,2,FALSE),"")</f>
        <v/>
      </c>
      <c r="AQ183">
        <f t="shared" si="35"/>
        <v>0</v>
      </c>
      <c r="AT183" t="str">
        <f>IFERROR(VLOOKUP(AS183,tbFactorMes,2,FALSE),"")</f>
        <v/>
      </c>
      <c r="AU183">
        <f t="shared" si="36"/>
        <v>0</v>
      </c>
      <c r="AX183" t="str">
        <f>IFERROR(VLOOKUP(AW183,tbFactorMes,2,FALSE),"")</f>
        <v/>
      </c>
      <c r="AY183">
        <f t="shared" si="37"/>
        <v>0</v>
      </c>
      <c r="BB183" t="str">
        <f>IFERROR(VLOOKUP(BA183,tbFactorMes,2,FALSE),"")</f>
        <v/>
      </c>
      <c r="BC183">
        <f t="shared" si="38"/>
        <v>0</v>
      </c>
      <c r="BF183" t="str">
        <f>IFERROR(VLOOKUP(BE183,tbFactorMes,2,FALSE),"")</f>
        <v/>
      </c>
      <c r="BG183">
        <f t="shared" si="39"/>
        <v>0</v>
      </c>
      <c r="BH183">
        <f t="shared" si="40"/>
        <v>0</v>
      </c>
      <c r="BI183">
        <f t="shared" si="41"/>
        <v>0</v>
      </c>
    </row>
    <row r="184" spans="11:61" x14ac:dyDescent="0.35">
      <c r="K184" t="str">
        <f>IFERROR(VLOOKUP(F184,tbTurnos,3,FALSE),"")</f>
        <v/>
      </c>
      <c r="N184" t="str">
        <f>IFERROR(VLOOKUP(M184,tbFactorMes,2,FALSE),"")</f>
        <v/>
      </c>
      <c r="O184">
        <f t="shared" si="28"/>
        <v>0</v>
      </c>
      <c r="R184" t="str">
        <f>IFERROR(VLOOKUP(Q184,tbFactorMes,2,FALSE),"")</f>
        <v/>
      </c>
      <c r="S184">
        <f t="shared" si="29"/>
        <v>0</v>
      </c>
      <c r="V184" t="str">
        <f>IFERROR(VLOOKUP(U184,tbFactorMes,2,FALSE),"")</f>
        <v/>
      </c>
      <c r="W184">
        <f t="shared" si="30"/>
        <v>0</v>
      </c>
      <c r="Z184" t="str">
        <f>IFERROR(VLOOKUP(Y184,tbFactorMes,2,FALSE),"")</f>
        <v/>
      </c>
      <c r="AA184">
        <f t="shared" si="31"/>
        <v>0</v>
      </c>
      <c r="AD184" t="str">
        <f>IFERROR(VLOOKUP(AC184,tbFactorMes,2,FALSE),"")</f>
        <v/>
      </c>
      <c r="AE184">
        <f t="shared" si="32"/>
        <v>0</v>
      </c>
      <c r="AH184" t="str">
        <f>IFERROR(VLOOKUP(AG184,tbFactorMes,2,FALSE),"")</f>
        <v/>
      </c>
      <c r="AI184">
        <f t="shared" si="33"/>
        <v>0</v>
      </c>
      <c r="AL184" t="str">
        <f>IFERROR(VLOOKUP(AK184,tbFactorMes,2,FALSE),"")</f>
        <v/>
      </c>
      <c r="AM184">
        <f t="shared" si="34"/>
        <v>0</v>
      </c>
      <c r="AP184" t="str">
        <f>IFERROR(VLOOKUP(AO184,tbFactorMes,2,FALSE),"")</f>
        <v/>
      </c>
      <c r="AQ184">
        <f t="shared" si="35"/>
        <v>0</v>
      </c>
      <c r="AT184" t="str">
        <f>IFERROR(VLOOKUP(AS184,tbFactorMes,2,FALSE),"")</f>
        <v/>
      </c>
      <c r="AU184">
        <f t="shared" si="36"/>
        <v>0</v>
      </c>
      <c r="AX184" t="str">
        <f>IFERROR(VLOOKUP(AW184,tbFactorMes,2,FALSE),"")</f>
        <v/>
      </c>
      <c r="AY184">
        <f t="shared" si="37"/>
        <v>0</v>
      </c>
      <c r="BB184" t="str">
        <f>IFERROR(VLOOKUP(BA184,tbFactorMes,2,FALSE),"")</f>
        <v/>
      </c>
      <c r="BC184">
        <f t="shared" si="38"/>
        <v>0</v>
      </c>
      <c r="BF184" t="str">
        <f>IFERROR(VLOOKUP(BE184,tbFactorMes,2,FALSE),"")</f>
        <v/>
      </c>
      <c r="BG184">
        <f t="shared" si="39"/>
        <v>0</v>
      </c>
      <c r="BH184">
        <f t="shared" si="40"/>
        <v>0</v>
      </c>
      <c r="BI184">
        <f t="shared" si="41"/>
        <v>0</v>
      </c>
    </row>
    <row r="185" spans="11:61" x14ac:dyDescent="0.35">
      <c r="K185" t="str">
        <f>IFERROR(VLOOKUP(F185,tbTurnos,3,FALSE),"")</f>
        <v/>
      </c>
      <c r="N185" t="str">
        <f>IFERROR(VLOOKUP(M185,tbFactorMes,2,FALSE),"")</f>
        <v/>
      </c>
      <c r="O185">
        <f t="shared" si="28"/>
        <v>0</v>
      </c>
      <c r="R185" t="str">
        <f>IFERROR(VLOOKUP(Q185,tbFactorMes,2,FALSE),"")</f>
        <v/>
      </c>
      <c r="S185">
        <f t="shared" si="29"/>
        <v>0</v>
      </c>
      <c r="V185" t="str">
        <f>IFERROR(VLOOKUP(U185,tbFactorMes,2,FALSE),"")</f>
        <v/>
      </c>
      <c r="W185">
        <f t="shared" si="30"/>
        <v>0</v>
      </c>
      <c r="Z185" t="str">
        <f>IFERROR(VLOOKUP(Y185,tbFactorMes,2,FALSE),"")</f>
        <v/>
      </c>
      <c r="AA185">
        <f t="shared" si="31"/>
        <v>0</v>
      </c>
      <c r="AD185" t="str">
        <f>IFERROR(VLOOKUP(AC185,tbFactorMes,2,FALSE),"")</f>
        <v/>
      </c>
      <c r="AE185">
        <f t="shared" si="32"/>
        <v>0</v>
      </c>
      <c r="AH185" t="str">
        <f>IFERROR(VLOOKUP(AG185,tbFactorMes,2,FALSE),"")</f>
        <v/>
      </c>
      <c r="AI185">
        <f t="shared" si="33"/>
        <v>0</v>
      </c>
      <c r="AL185" t="str">
        <f>IFERROR(VLOOKUP(AK185,tbFactorMes,2,FALSE),"")</f>
        <v/>
      </c>
      <c r="AM185">
        <f t="shared" si="34"/>
        <v>0</v>
      </c>
      <c r="AP185" t="str">
        <f>IFERROR(VLOOKUP(AO185,tbFactorMes,2,FALSE),"")</f>
        <v/>
      </c>
      <c r="AQ185">
        <f t="shared" si="35"/>
        <v>0</v>
      </c>
      <c r="AT185" t="str">
        <f>IFERROR(VLOOKUP(AS185,tbFactorMes,2,FALSE),"")</f>
        <v/>
      </c>
      <c r="AU185">
        <f t="shared" si="36"/>
        <v>0</v>
      </c>
      <c r="AX185" t="str">
        <f>IFERROR(VLOOKUP(AW185,tbFactorMes,2,FALSE),"")</f>
        <v/>
      </c>
      <c r="AY185">
        <f t="shared" si="37"/>
        <v>0</v>
      </c>
      <c r="BB185" t="str">
        <f>IFERROR(VLOOKUP(BA185,tbFactorMes,2,FALSE),"")</f>
        <v/>
      </c>
      <c r="BC185">
        <f t="shared" si="38"/>
        <v>0</v>
      </c>
      <c r="BF185" t="str">
        <f>IFERROR(VLOOKUP(BE185,tbFactorMes,2,FALSE),"")</f>
        <v/>
      </c>
      <c r="BG185">
        <f t="shared" si="39"/>
        <v>0</v>
      </c>
      <c r="BH185">
        <f t="shared" si="40"/>
        <v>0</v>
      </c>
      <c r="BI185">
        <f t="shared" si="41"/>
        <v>0</v>
      </c>
    </row>
    <row r="186" spans="11:61" x14ac:dyDescent="0.35">
      <c r="K186" t="str">
        <f>IFERROR(VLOOKUP(F186,tbTurnos,3,FALSE),"")</f>
        <v/>
      </c>
      <c r="N186" t="str">
        <f>IFERROR(VLOOKUP(M186,tbFactorMes,2,FALSE),"")</f>
        <v/>
      </c>
      <c r="O186">
        <f t="shared" si="28"/>
        <v>0</v>
      </c>
      <c r="R186" t="str">
        <f>IFERROR(VLOOKUP(Q186,tbFactorMes,2,FALSE),"")</f>
        <v/>
      </c>
      <c r="S186">
        <f t="shared" si="29"/>
        <v>0</v>
      </c>
      <c r="V186" t="str">
        <f>IFERROR(VLOOKUP(U186,tbFactorMes,2,FALSE),"")</f>
        <v/>
      </c>
      <c r="W186">
        <f t="shared" si="30"/>
        <v>0</v>
      </c>
      <c r="Z186" t="str">
        <f>IFERROR(VLOOKUP(Y186,tbFactorMes,2,FALSE),"")</f>
        <v/>
      </c>
      <c r="AA186">
        <f t="shared" si="31"/>
        <v>0</v>
      </c>
      <c r="AD186" t="str">
        <f>IFERROR(VLOOKUP(AC186,tbFactorMes,2,FALSE),"")</f>
        <v/>
      </c>
      <c r="AE186">
        <f t="shared" si="32"/>
        <v>0</v>
      </c>
      <c r="AH186" t="str">
        <f>IFERROR(VLOOKUP(AG186,tbFactorMes,2,FALSE),"")</f>
        <v/>
      </c>
      <c r="AI186">
        <f t="shared" si="33"/>
        <v>0</v>
      </c>
      <c r="AL186" t="str">
        <f>IFERROR(VLOOKUP(AK186,tbFactorMes,2,FALSE),"")</f>
        <v/>
      </c>
      <c r="AM186">
        <f t="shared" si="34"/>
        <v>0</v>
      </c>
      <c r="AP186" t="str">
        <f>IFERROR(VLOOKUP(AO186,tbFactorMes,2,FALSE),"")</f>
        <v/>
      </c>
      <c r="AQ186">
        <f t="shared" si="35"/>
        <v>0</v>
      </c>
      <c r="AT186" t="str">
        <f>IFERROR(VLOOKUP(AS186,tbFactorMes,2,FALSE),"")</f>
        <v/>
      </c>
      <c r="AU186">
        <f t="shared" si="36"/>
        <v>0</v>
      </c>
      <c r="AX186" t="str">
        <f>IFERROR(VLOOKUP(AW186,tbFactorMes,2,FALSE),"")</f>
        <v/>
      </c>
      <c r="AY186">
        <f t="shared" si="37"/>
        <v>0</v>
      </c>
      <c r="BB186" t="str">
        <f>IFERROR(VLOOKUP(BA186,tbFactorMes,2,FALSE),"")</f>
        <v/>
      </c>
      <c r="BC186">
        <f t="shared" si="38"/>
        <v>0</v>
      </c>
      <c r="BF186" t="str">
        <f>IFERROR(VLOOKUP(BE186,tbFactorMes,2,FALSE),"")</f>
        <v/>
      </c>
      <c r="BG186">
        <f t="shared" si="39"/>
        <v>0</v>
      </c>
      <c r="BH186">
        <f t="shared" si="40"/>
        <v>0</v>
      </c>
      <c r="BI186">
        <f t="shared" si="41"/>
        <v>0</v>
      </c>
    </row>
    <row r="187" spans="11:61" x14ac:dyDescent="0.35">
      <c r="K187" t="str">
        <f>IFERROR(VLOOKUP(F187,tbTurnos,3,FALSE),"")</f>
        <v/>
      </c>
      <c r="N187" t="str">
        <f>IFERROR(VLOOKUP(M187,tbFactorMes,2,FALSE),"")</f>
        <v/>
      </c>
      <c r="O187">
        <f t="shared" si="28"/>
        <v>0</v>
      </c>
      <c r="R187" t="str">
        <f>IFERROR(VLOOKUP(Q187,tbFactorMes,2,FALSE),"")</f>
        <v/>
      </c>
      <c r="S187">
        <f t="shared" si="29"/>
        <v>0</v>
      </c>
      <c r="V187" t="str">
        <f>IFERROR(VLOOKUP(U187,tbFactorMes,2,FALSE),"")</f>
        <v/>
      </c>
      <c r="W187">
        <f t="shared" si="30"/>
        <v>0</v>
      </c>
      <c r="Z187" t="str">
        <f>IFERROR(VLOOKUP(Y187,tbFactorMes,2,FALSE),"")</f>
        <v/>
      </c>
      <c r="AA187">
        <f t="shared" si="31"/>
        <v>0</v>
      </c>
      <c r="AD187" t="str">
        <f>IFERROR(VLOOKUP(AC187,tbFactorMes,2,FALSE),"")</f>
        <v/>
      </c>
      <c r="AE187">
        <f t="shared" si="32"/>
        <v>0</v>
      </c>
      <c r="AH187" t="str">
        <f>IFERROR(VLOOKUP(AG187,tbFactorMes,2,FALSE),"")</f>
        <v/>
      </c>
      <c r="AI187">
        <f t="shared" si="33"/>
        <v>0</v>
      </c>
      <c r="AL187" t="str">
        <f>IFERROR(VLOOKUP(AK187,tbFactorMes,2,FALSE),"")</f>
        <v/>
      </c>
      <c r="AM187">
        <f t="shared" si="34"/>
        <v>0</v>
      </c>
      <c r="AP187" t="str">
        <f>IFERROR(VLOOKUP(AO187,tbFactorMes,2,FALSE),"")</f>
        <v/>
      </c>
      <c r="AQ187">
        <f t="shared" si="35"/>
        <v>0</v>
      </c>
      <c r="AT187" t="str">
        <f>IFERROR(VLOOKUP(AS187,tbFactorMes,2,FALSE),"")</f>
        <v/>
      </c>
      <c r="AU187">
        <f t="shared" si="36"/>
        <v>0</v>
      </c>
      <c r="AX187" t="str">
        <f>IFERROR(VLOOKUP(AW187,tbFactorMes,2,FALSE),"")</f>
        <v/>
      </c>
      <c r="AY187">
        <f t="shared" si="37"/>
        <v>0</v>
      </c>
      <c r="BB187" t="str">
        <f>IFERROR(VLOOKUP(BA187,tbFactorMes,2,FALSE),"")</f>
        <v/>
      </c>
      <c r="BC187">
        <f t="shared" si="38"/>
        <v>0</v>
      </c>
      <c r="BF187" t="str">
        <f>IFERROR(VLOOKUP(BE187,tbFactorMes,2,FALSE),"")</f>
        <v/>
      </c>
      <c r="BG187">
        <f t="shared" si="39"/>
        <v>0</v>
      </c>
      <c r="BH187">
        <f t="shared" si="40"/>
        <v>0</v>
      </c>
      <c r="BI187">
        <f t="shared" si="41"/>
        <v>0</v>
      </c>
    </row>
    <row r="188" spans="11:61" x14ac:dyDescent="0.35">
      <c r="K188" t="str">
        <f>IFERROR(VLOOKUP(F188,tbTurnos,3,FALSE),"")</f>
        <v/>
      </c>
      <c r="N188" t="str">
        <f>IFERROR(VLOOKUP(M188,tbFactorMes,2,FALSE),"")</f>
        <v/>
      </c>
      <c r="O188">
        <f t="shared" si="28"/>
        <v>0</v>
      </c>
      <c r="R188" t="str">
        <f>IFERROR(VLOOKUP(Q188,tbFactorMes,2,FALSE),"")</f>
        <v/>
      </c>
      <c r="S188">
        <f t="shared" si="29"/>
        <v>0</v>
      </c>
      <c r="V188" t="str">
        <f>IFERROR(VLOOKUP(U188,tbFactorMes,2,FALSE),"")</f>
        <v/>
      </c>
      <c r="W188">
        <f t="shared" si="30"/>
        <v>0</v>
      </c>
      <c r="Z188" t="str">
        <f>IFERROR(VLOOKUP(Y188,tbFactorMes,2,FALSE),"")</f>
        <v/>
      </c>
      <c r="AA188">
        <f t="shared" si="31"/>
        <v>0</v>
      </c>
      <c r="AD188" t="str">
        <f>IFERROR(VLOOKUP(AC188,tbFactorMes,2,FALSE),"")</f>
        <v/>
      </c>
      <c r="AE188">
        <f t="shared" si="32"/>
        <v>0</v>
      </c>
      <c r="AH188" t="str">
        <f>IFERROR(VLOOKUP(AG188,tbFactorMes,2,FALSE),"")</f>
        <v/>
      </c>
      <c r="AI188">
        <f t="shared" si="33"/>
        <v>0</v>
      </c>
      <c r="AL188" t="str">
        <f>IFERROR(VLOOKUP(AK188,tbFactorMes,2,FALSE),"")</f>
        <v/>
      </c>
      <c r="AM188">
        <f t="shared" si="34"/>
        <v>0</v>
      </c>
      <c r="AP188" t="str">
        <f>IFERROR(VLOOKUP(AO188,tbFactorMes,2,FALSE),"")</f>
        <v/>
      </c>
      <c r="AQ188">
        <f t="shared" si="35"/>
        <v>0</v>
      </c>
      <c r="AT188" t="str">
        <f>IFERROR(VLOOKUP(AS188,tbFactorMes,2,FALSE),"")</f>
        <v/>
      </c>
      <c r="AU188">
        <f t="shared" si="36"/>
        <v>0</v>
      </c>
      <c r="AX188" t="str">
        <f>IFERROR(VLOOKUP(AW188,tbFactorMes,2,FALSE),"")</f>
        <v/>
      </c>
      <c r="AY188">
        <f t="shared" si="37"/>
        <v>0</v>
      </c>
      <c r="BB188" t="str">
        <f>IFERROR(VLOOKUP(BA188,tbFactorMes,2,FALSE),"")</f>
        <v/>
      </c>
      <c r="BC188">
        <f t="shared" si="38"/>
        <v>0</v>
      </c>
      <c r="BF188" t="str">
        <f>IFERROR(VLOOKUP(BE188,tbFactorMes,2,FALSE),"")</f>
        <v/>
      </c>
      <c r="BG188">
        <f t="shared" si="39"/>
        <v>0</v>
      </c>
      <c r="BH188">
        <f t="shared" si="40"/>
        <v>0</v>
      </c>
      <c r="BI188">
        <f t="shared" si="41"/>
        <v>0</v>
      </c>
    </row>
    <row r="189" spans="11:61" x14ac:dyDescent="0.35">
      <c r="K189" t="str">
        <f>IFERROR(VLOOKUP(F189,tbTurnos,3,FALSE),"")</f>
        <v/>
      </c>
      <c r="N189" t="str">
        <f>IFERROR(VLOOKUP(M189,tbFactorMes,2,FALSE),"")</f>
        <v/>
      </c>
      <c r="O189">
        <f t="shared" si="28"/>
        <v>0</v>
      </c>
      <c r="R189" t="str">
        <f>IFERROR(VLOOKUP(Q189,tbFactorMes,2,FALSE),"")</f>
        <v/>
      </c>
      <c r="S189">
        <f t="shared" si="29"/>
        <v>0</v>
      </c>
      <c r="V189" t="str">
        <f>IFERROR(VLOOKUP(U189,tbFactorMes,2,FALSE),"")</f>
        <v/>
      </c>
      <c r="W189">
        <f t="shared" si="30"/>
        <v>0</v>
      </c>
      <c r="Z189" t="str">
        <f>IFERROR(VLOOKUP(Y189,tbFactorMes,2,FALSE),"")</f>
        <v/>
      </c>
      <c r="AA189">
        <f t="shared" si="31"/>
        <v>0</v>
      </c>
      <c r="AD189" t="str">
        <f>IFERROR(VLOOKUP(AC189,tbFactorMes,2,FALSE),"")</f>
        <v/>
      </c>
      <c r="AE189">
        <f t="shared" si="32"/>
        <v>0</v>
      </c>
      <c r="AH189" t="str">
        <f>IFERROR(VLOOKUP(AG189,tbFactorMes,2,FALSE),"")</f>
        <v/>
      </c>
      <c r="AI189">
        <f t="shared" si="33"/>
        <v>0</v>
      </c>
      <c r="AL189" t="str">
        <f>IFERROR(VLOOKUP(AK189,tbFactorMes,2,FALSE),"")</f>
        <v/>
      </c>
      <c r="AM189">
        <f t="shared" si="34"/>
        <v>0</v>
      </c>
      <c r="AP189" t="str">
        <f>IFERROR(VLOOKUP(AO189,tbFactorMes,2,FALSE),"")</f>
        <v/>
      </c>
      <c r="AQ189">
        <f t="shared" si="35"/>
        <v>0</v>
      </c>
      <c r="AT189" t="str">
        <f>IFERROR(VLOOKUP(AS189,tbFactorMes,2,FALSE),"")</f>
        <v/>
      </c>
      <c r="AU189">
        <f t="shared" si="36"/>
        <v>0</v>
      </c>
      <c r="AX189" t="str">
        <f>IFERROR(VLOOKUP(AW189,tbFactorMes,2,FALSE),"")</f>
        <v/>
      </c>
      <c r="AY189">
        <f t="shared" si="37"/>
        <v>0</v>
      </c>
      <c r="BB189" t="str">
        <f>IFERROR(VLOOKUP(BA189,tbFactorMes,2,FALSE),"")</f>
        <v/>
      </c>
      <c r="BC189">
        <f t="shared" si="38"/>
        <v>0</v>
      </c>
      <c r="BF189" t="str">
        <f>IFERROR(VLOOKUP(BE189,tbFactorMes,2,FALSE),"")</f>
        <v/>
      </c>
      <c r="BG189">
        <f t="shared" si="39"/>
        <v>0</v>
      </c>
      <c r="BH189">
        <f t="shared" si="40"/>
        <v>0</v>
      </c>
      <c r="BI189">
        <f t="shared" si="41"/>
        <v>0</v>
      </c>
    </row>
    <row r="190" spans="11:61" x14ac:dyDescent="0.35">
      <c r="K190" t="str">
        <f>IFERROR(VLOOKUP(F190,tbTurnos,3,FALSE),"")</f>
        <v/>
      </c>
      <c r="N190" t="str">
        <f>IFERROR(VLOOKUP(M190,tbFactorMes,2,FALSE),"")</f>
        <v/>
      </c>
      <c r="O190">
        <f t="shared" si="28"/>
        <v>0</v>
      </c>
      <c r="R190" t="str">
        <f>IFERROR(VLOOKUP(Q190,tbFactorMes,2,FALSE),"")</f>
        <v/>
      </c>
      <c r="S190">
        <f t="shared" si="29"/>
        <v>0</v>
      </c>
      <c r="V190" t="str">
        <f>IFERROR(VLOOKUP(U190,tbFactorMes,2,FALSE),"")</f>
        <v/>
      </c>
      <c r="W190">
        <f t="shared" si="30"/>
        <v>0</v>
      </c>
      <c r="Z190" t="str">
        <f>IFERROR(VLOOKUP(Y190,tbFactorMes,2,FALSE),"")</f>
        <v/>
      </c>
      <c r="AA190">
        <f t="shared" si="31"/>
        <v>0</v>
      </c>
      <c r="AD190" t="str">
        <f>IFERROR(VLOOKUP(AC190,tbFactorMes,2,FALSE),"")</f>
        <v/>
      </c>
      <c r="AE190">
        <f t="shared" si="32"/>
        <v>0</v>
      </c>
      <c r="AH190" t="str">
        <f>IFERROR(VLOOKUP(AG190,tbFactorMes,2,FALSE),"")</f>
        <v/>
      </c>
      <c r="AI190">
        <f t="shared" si="33"/>
        <v>0</v>
      </c>
      <c r="AL190" t="str">
        <f>IFERROR(VLOOKUP(AK190,tbFactorMes,2,FALSE),"")</f>
        <v/>
      </c>
      <c r="AM190">
        <f t="shared" si="34"/>
        <v>0</v>
      </c>
      <c r="AP190" t="str">
        <f>IFERROR(VLOOKUP(AO190,tbFactorMes,2,FALSE),"")</f>
        <v/>
      </c>
      <c r="AQ190">
        <f t="shared" si="35"/>
        <v>0</v>
      </c>
      <c r="AT190" t="str">
        <f>IFERROR(VLOOKUP(AS190,tbFactorMes,2,FALSE),"")</f>
        <v/>
      </c>
      <c r="AU190">
        <f t="shared" si="36"/>
        <v>0</v>
      </c>
      <c r="AX190" t="str">
        <f>IFERROR(VLOOKUP(AW190,tbFactorMes,2,FALSE),"")</f>
        <v/>
      </c>
      <c r="AY190">
        <f t="shared" si="37"/>
        <v>0</v>
      </c>
      <c r="BB190" t="str">
        <f>IFERROR(VLOOKUP(BA190,tbFactorMes,2,FALSE),"")</f>
        <v/>
      </c>
      <c r="BC190">
        <f t="shared" si="38"/>
        <v>0</v>
      </c>
      <c r="BF190" t="str">
        <f>IFERROR(VLOOKUP(BE190,tbFactorMes,2,FALSE),"")</f>
        <v/>
      </c>
      <c r="BG190">
        <f t="shared" si="39"/>
        <v>0</v>
      </c>
      <c r="BH190">
        <f t="shared" si="40"/>
        <v>0</v>
      </c>
      <c r="BI190">
        <f t="shared" si="41"/>
        <v>0</v>
      </c>
    </row>
    <row r="191" spans="11:61" x14ac:dyDescent="0.35">
      <c r="K191" t="str">
        <f>IFERROR(VLOOKUP(F191,tbTurnos,3,FALSE),"")</f>
        <v/>
      </c>
      <c r="N191" t="str">
        <f>IFERROR(VLOOKUP(M191,tbFactorMes,2,FALSE),"")</f>
        <v/>
      </c>
      <c r="O191">
        <f t="shared" si="28"/>
        <v>0</v>
      </c>
      <c r="R191" t="str">
        <f>IFERROR(VLOOKUP(Q191,tbFactorMes,2,FALSE),"")</f>
        <v/>
      </c>
      <c r="S191">
        <f t="shared" si="29"/>
        <v>0</v>
      </c>
      <c r="V191" t="str">
        <f>IFERROR(VLOOKUP(U191,tbFactorMes,2,FALSE),"")</f>
        <v/>
      </c>
      <c r="W191">
        <f t="shared" si="30"/>
        <v>0</v>
      </c>
      <c r="Z191" t="str">
        <f>IFERROR(VLOOKUP(Y191,tbFactorMes,2,FALSE),"")</f>
        <v/>
      </c>
      <c r="AA191">
        <f t="shared" si="31"/>
        <v>0</v>
      </c>
      <c r="AD191" t="str">
        <f>IFERROR(VLOOKUP(AC191,tbFactorMes,2,FALSE),"")</f>
        <v/>
      </c>
      <c r="AE191">
        <f t="shared" si="32"/>
        <v>0</v>
      </c>
      <c r="AH191" t="str">
        <f>IFERROR(VLOOKUP(AG191,tbFactorMes,2,FALSE),"")</f>
        <v/>
      </c>
      <c r="AI191">
        <f t="shared" si="33"/>
        <v>0</v>
      </c>
      <c r="AL191" t="str">
        <f>IFERROR(VLOOKUP(AK191,tbFactorMes,2,FALSE),"")</f>
        <v/>
      </c>
      <c r="AM191">
        <f t="shared" si="34"/>
        <v>0</v>
      </c>
      <c r="AP191" t="str">
        <f>IFERROR(VLOOKUP(AO191,tbFactorMes,2,FALSE),"")</f>
        <v/>
      </c>
      <c r="AQ191">
        <f t="shared" si="35"/>
        <v>0</v>
      </c>
      <c r="AT191" t="str">
        <f>IFERROR(VLOOKUP(AS191,tbFactorMes,2,FALSE),"")</f>
        <v/>
      </c>
      <c r="AU191">
        <f t="shared" si="36"/>
        <v>0</v>
      </c>
      <c r="AX191" t="str">
        <f>IFERROR(VLOOKUP(AW191,tbFactorMes,2,FALSE),"")</f>
        <v/>
      </c>
      <c r="AY191">
        <f t="shared" si="37"/>
        <v>0</v>
      </c>
      <c r="BB191" t="str">
        <f>IFERROR(VLOOKUP(BA191,tbFactorMes,2,FALSE),"")</f>
        <v/>
      </c>
      <c r="BC191">
        <f t="shared" si="38"/>
        <v>0</v>
      </c>
      <c r="BF191" t="str">
        <f>IFERROR(VLOOKUP(BE191,tbFactorMes,2,FALSE),"")</f>
        <v/>
      </c>
      <c r="BG191">
        <f t="shared" si="39"/>
        <v>0</v>
      </c>
      <c r="BH191">
        <f t="shared" si="40"/>
        <v>0</v>
      </c>
      <c r="BI191">
        <f t="shared" si="41"/>
        <v>0</v>
      </c>
    </row>
    <row r="192" spans="11:61" x14ac:dyDescent="0.35">
      <c r="K192" t="str">
        <f>IFERROR(VLOOKUP(F192,tbTurnos,3,FALSE),"")</f>
        <v/>
      </c>
      <c r="N192" t="str">
        <f>IFERROR(VLOOKUP(M192,tbFactorMes,2,FALSE),"")</f>
        <v/>
      </c>
      <c r="O192">
        <f t="shared" si="28"/>
        <v>0</v>
      </c>
      <c r="R192" t="str">
        <f>IFERROR(VLOOKUP(Q192,tbFactorMes,2,FALSE),"")</f>
        <v/>
      </c>
      <c r="S192">
        <f t="shared" si="29"/>
        <v>0</v>
      </c>
      <c r="V192" t="str">
        <f>IFERROR(VLOOKUP(U192,tbFactorMes,2,FALSE),"")</f>
        <v/>
      </c>
      <c r="W192">
        <f t="shared" si="30"/>
        <v>0</v>
      </c>
      <c r="Z192" t="str">
        <f>IFERROR(VLOOKUP(Y192,tbFactorMes,2,FALSE),"")</f>
        <v/>
      </c>
      <c r="AA192">
        <f t="shared" si="31"/>
        <v>0</v>
      </c>
      <c r="AD192" t="str">
        <f>IFERROR(VLOOKUP(AC192,tbFactorMes,2,FALSE),"")</f>
        <v/>
      </c>
      <c r="AE192">
        <f t="shared" si="32"/>
        <v>0</v>
      </c>
      <c r="AH192" t="str">
        <f>IFERROR(VLOOKUP(AG192,tbFactorMes,2,FALSE),"")</f>
        <v/>
      </c>
      <c r="AI192">
        <f t="shared" si="33"/>
        <v>0</v>
      </c>
      <c r="AL192" t="str">
        <f>IFERROR(VLOOKUP(AK192,tbFactorMes,2,FALSE),"")</f>
        <v/>
      </c>
      <c r="AM192">
        <f t="shared" si="34"/>
        <v>0</v>
      </c>
      <c r="AP192" t="str">
        <f>IFERROR(VLOOKUP(AO192,tbFactorMes,2,FALSE),"")</f>
        <v/>
      </c>
      <c r="AQ192">
        <f t="shared" si="35"/>
        <v>0</v>
      </c>
      <c r="AT192" t="str">
        <f>IFERROR(VLOOKUP(AS192,tbFactorMes,2,FALSE),"")</f>
        <v/>
      </c>
      <c r="AU192">
        <f t="shared" si="36"/>
        <v>0</v>
      </c>
      <c r="AX192" t="str">
        <f>IFERROR(VLOOKUP(AW192,tbFactorMes,2,FALSE),"")</f>
        <v/>
      </c>
      <c r="AY192">
        <f t="shared" si="37"/>
        <v>0</v>
      </c>
      <c r="BB192" t="str">
        <f>IFERROR(VLOOKUP(BA192,tbFactorMes,2,FALSE),"")</f>
        <v/>
      </c>
      <c r="BC192">
        <f t="shared" si="38"/>
        <v>0</v>
      </c>
      <c r="BF192" t="str">
        <f>IFERROR(VLOOKUP(BE192,tbFactorMes,2,FALSE),"")</f>
        <v/>
      </c>
      <c r="BG192">
        <f t="shared" si="39"/>
        <v>0</v>
      </c>
      <c r="BH192">
        <f t="shared" si="40"/>
        <v>0</v>
      </c>
      <c r="BI192">
        <f t="shared" si="41"/>
        <v>0</v>
      </c>
    </row>
    <row r="193" spans="11:61" x14ac:dyDescent="0.35">
      <c r="K193" t="str">
        <f>IFERROR(VLOOKUP(F193,tbTurnos,3,FALSE),"")</f>
        <v/>
      </c>
      <c r="N193" t="str">
        <f>IFERROR(VLOOKUP(M193,tbFactorMes,2,FALSE),"")</f>
        <v/>
      </c>
      <c r="O193">
        <f t="shared" si="28"/>
        <v>0</v>
      </c>
      <c r="R193" t="str">
        <f>IFERROR(VLOOKUP(Q193,tbFactorMes,2,FALSE),"")</f>
        <v/>
      </c>
      <c r="S193">
        <f t="shared" si="29"/>
        <v>0</v>
      </c>
      <c r="V193" t="str">
        <f>IFERROR(VLOOKUP(U193,tbFactorMes,2,FALSE),"")</f>
        <v/>
      </c>
      <c r="W193">
        <f t="shared" si="30"/>
        <v>0</v>
      </c>
      <c r="Z193" t="str">
        <f>IFERROR(VLOOKUP(Y193,tbFactorMes,2,FALSE),"")</f>
        <v/>
      </c>
      <c r="AA193">
        <f t="shared" si="31"/>
        <v>0</v>
      </c>
      <c r="AD193" t="str">
        <f>IFERROR(VLOOKUP(AC193,tbFactorMes,2,FALSE),"")</f>
        <v/>
      </c>
      <c r="AE193">
        <f t="shared" si="32"/>
        <v>0</v>
      </c>
      <c r="AH193" t="str">
        <f>IFERROR(VLOOKUP(AG193,tbFactorMes,2,FALSE),"")</f>
        <v/>
      </c>
      <c r="AI193">
        <f t="shared" si="33"/>
        <v>0</v>
      </c>
      <c r="AL193" t="str">
        <f>IFERROR(VLOOKUP(AK193,tbFactorMes,2,FALSE),"")</f>
        <v/>
      </c>
      <c r="AM193">
        <f t="shared" si="34"/>
        <v>0</v>
      </c>
      <c r="AP193" t="str">
        <f>IFERROR(VLOOKUP(AO193,tbFactorMes,2,FALSE),"")</f>
        <v/>
      </c>
      <c r="AQ193">
        <f t="shared" si="35"/>
        <v>0</v>
      </c>
      <c r="AT193" t="str">
        <f>IFERROR(VLOOKUP(AS193,tbFactorMes,2,FALSE),"")</f>
        <v/>
      </c>
      <c r="AU193">
        <f t="shared" si="36"/>
        <v>0</v>
      </c>
      <c r="AX193" t="str">
        <f>IFERROR(VLOOKUP(AW193,tbFactorMes,2,FALSE),"")</f>
        <v/>
      </c>
      <c r="AY193">
        <f t="shared" si="37"/>
        <v>0</v>
      </c>
      <c r="BB193" t="str">
        <f>IFERROR(VLOOKUP(BA193,tbFactorMes,2,FALSE),"")</f>
        <v/>
      </c>
      <c r="BC193">
        <f t="shared" si="38"/>
        <v>0</v>
      </c>
      <c r="BF193" t="str">
        <f>IFERROR(VLOOKUP(BE193,tbFactorMes,2,FALSE),"")</f>
        <v/>
      </c>
      <c r="BG193">
        <f t="shared" si="39"/>
        <v>0</v>
      </c>
      <c r="BH193">
        <f t="shared" si="40"/>
        <v>0</v>
      </c>
      <c r="BI193">
        <f t="shared" si="41"/>
        <v>0</v>
      </c>
    </row>
    <row r="194" spans="11:61" x14ac:dyDescent="0.35">
      <c r="K194" t="str">
        <f>IFERROR(VLOOKUP(F194,tbTurnos,3,FALSE),"")</f>
        <v/>
      </c>
      <c r="N194" t="str">
        <f>IFERROR(VLOOKUP(M194,tbFactorMes,2,FALSE),"")</f>
        <v/>
      </c>
      <c r="O194">
        <f t="shared" ref="O194:O257" si="42">IFERROR((L194*$K194)/N194,0)*$J194</f>
        <v>0</v>
      </c>
      <c r="R194" t="str">
        <f>IFERROR(VLOOKUP(Q194,tbFactorMes,2,FALSE),"")</f>
        <v/>
      </c>
      <c r="S194">
        <f t="shared" ref="S194:S257" si="43">IFERROR((P194*$K194)/R194,0)*$J194</f>
        <v>0</v>
      </c>
      <c r="V194" t="str">
        <f>IFERROR(VLOOKUP(U194,tbFactorMes,2,FALSE),"")</f>
        <v/>
      </c>
      <c r="W194">
        <f t="shared" ref="W194:W257" si="44">IFERROR((T194*$K194)/V194,0)*$J194</f>
        <v>0</v>
      </c>
      <c r="Z194" t="str">
        <f>IFERROR(VLOOKUP(Y194,tbFactorMes,2,FALSE),"")</f>
        <v/>
      </c>
      <c r="AA194">
        <f t="shared" ref="AA194:AA257" si="45">IFERROR((X194*$K194)/Z194,0)*$J194</f>
        <v>0</v>
      </c>
      <c r="AD194" t="str">
        <f>IFERROR(VLOOKUP(AC194,tbFactorMes,2,FALSE),"")</f>
        <v/>
      </c>
      <c r="AE194">
        <f t="shared" ref="AE194:AE257" si="46">IFERROR((AB194*$K194)/AD194,0)*$J194</f>
        <v>0</v>
      </c>
      <c r="AH194" t="str">
        <f>IFERROR(VLOOKUP(AG194,tbFactorMes,2,FALSE),"")</f>
        <v/>
      </c>
      <c r="AI194">
        <f t="shared" ref="AI194:AI257" si="47">IFERROR((AF194*$K194)/AH194,0)*$J194</f>
        <v>0</v>
      </c>
      <c r="AL194" t="str">
        <f>IFERROR(VLOOKUP(AK194,tbFactorMes,2,FALSE),"")</f>
        <v/>
      </c>
      <c r="AM194">
        <f t="shared" ref="AM194:AM257" si="48">IFERROR((AJ194*$K194)/AL194,0)*$J194</f>
        <v>0</v>
      </c>
      <c r="AP194" t="str">
        <f>IFERROR(VLOOKUP(AO194,tbFactorMes,2,FALSE),"")</f>
        <v/>
      </c>
      <c r="AQ194">
        <f t="shared" ref="AQ194:AQ257" si="49">IFERROR((AN194*$K194)/AP194,0)*$J194</f>
        <v>0</v>
      </c>
      <c r="AT194" t="str">
        <f>IFERROR(VLOOKUP(AS194,tbFactorMes,2,FALSE),"")</f>
        <v/>
      </c>
      <c r="AU194">
        <f t="shared" ref="AU194:AU257" si="50">IFERROR((AR194*$K194)/AT194,0)*$J194</f>
        <v>0</v>
      </c>
      <c r="AX194" t="str">
        <f>IFERROR(VLOOKUP(AW194,tbFactorMes,2,FALSE),"")</f>
        <v/>
      </c>
      <c r="AY194">
        <f t="shared" ref="AY194:AY257" si="51">IFERROR((AV194*$K194)/AX194,0)*$J194</f>
        <v>0</v>
      </c>
      <c r="BB194" t="str">
        <f>IFERROR(VLOOKUP(BA194,tbFactorMes,2,FALSE),"")</f>
        <v/>
      </c>
      <c r="BC194">
        <f t="shared" ref="BC194:BC257" si="52">IFERROR((AZ194*$K194)/BB194,0)*$J194</f>
        <v>0</v>
      </c>
      <c r="BF194" t="str">
        <f>IFERROR(VLOOKUP(BE194,tbFactorMes,2,FALSE),"")</f>
        <v/>
      </c>
      <c r="BG194">
        <f t="shared" ref="BG194:BG257" si="53">IFERROR((BD194*$K194)/BF194,0)*$J194</f>
        <v>0</v>
      </c>
      <c r="BH194">
        <f t="shared" ref="BH194:BH257" si="54">IFERROR(SUM(O194,S194,W194,AA194,AE194,AI194,AM194,AQ194,AU194,AY194,BC194,BG194),0)</f>
        <v>0</v>
      </c>
      <c r="BI194">
        <f t="shared" ref="BI194:BI257" si="55">IFERROR(BH194*(1-$I194),0)</f>
        <v>0</v>
      </c>
    </row>
    <row r="195" spans="11:61" x14ac:dyDescent="0.35">
      <c r="K195" t="str">
        <f>IFERROR(VLOOKUP(F195,tbTurnos,3,FALSE),"")</f>
        <v/>
      </c>
      <c r="N195" t="str">
        <f>IFERROR(VLOOKUP(M195,tbFactorMes,2,FALSE),"")</f>
        <v/>
      </c>
      <c r="O195">
        <f t="shared" si="42"/>
        <v>0</v>
      </c>
      <c r="R195" t="str">
        <f>IFERROR(VLOOKUP(Q195,tbFactorMes,2,FALSE),"")</f>
        <v/>
      </c>
      <c r="S195">
        <f t="shared" si="43"/>
        <v>0</v>
      </c>
      <c r="V195" t="str">
        <f>IFERROR(VLOOKUP(U195,tbFactorMes,2,FALSE),"")</f>
        <v/>
      </c>
      <c r="W195">
        <f t="shared" si="44"/>
        <v>0</v>
      </c>
      <c r="Z195" t="str">
        <f>IFERROR(VLOOKUP(Y195,tbFactorMes,2,FALSE),"")</f>
        <v/>
      </c>
      <c r="AA195">
        <f t="shared" si="45"/>
        <v>0</v>
      </c>
      <c r="AD195" t="str">
        <f>IFERROR(VLOOKUP(AC195,tbFactorMes,2,FALSE),"")</f>
        <v/>
      </c>
      <c r="AE195">
        <f t="shared" si="46"/>
        <v>0</v>
      </c>
      <c r="AH195" t="str">
        <f>IFERROR(VLOOKUP(AG195,tbFactorMes,2,FALSE),"")</f>
        <v/>
      </c>
      <c r="AI195">
        <f t="shared" si="47"/>
        <v>0</v>
      </c>
      <c r="AL195" t="str">
        <f>IFERROR(VLOOKUP(AK195,tbFactorMes,2,FALSE),"")</f>
        <v/>
      </c>
      <c r="AM195">
        <f t="shared" si="48"/>
        <v>0</v>
      </c>
      <c r="AP195" t="str">
        <f>IFERROR(VLOOKUP(AO195,tbFactorMes,2,FALSE),"")</f>
        <v/>
      </c>
      <c r="AQ195">
        <f t="shared" si="49"/>
        <v>0</v>
      </c>
      <c r="AT195" t="str">
        <f>IFERROR(VLOOKUP(AS195,tbFactorMes,2,FALSE),"")</f>
        <v/>
      </c>
      <c r="AU195">
        <f t="shared" si="50"/>
        <v>0</v>
      </c>
      <c r="AX195" t="str">
        <f>IFERROR(VLOOKUP(AW195,tbFactorMes,2,FALSE),"")</f>
        <v/>
      </c>
      <c r="AY195">
        <f t="shared" si="51"/>
        <v>0</v>
      </c>
      <c r="BB195" t="str">
        <f>IFERROR(VLOOKUP(BA195,tbFactorMes,2,FALSE),"")</f>
        <v/>
      </c>
      <c r="BC195">
        <f t="shared" si="52"/>
        <v>0</v>
      </c>
      <c r="BF195" t="str">
        <f>IFERROR(VLOOKUP(BE195,tbFactorMes,2,FALSE),"")</f>
        <v/>
      </c>
      <c r="BG195">
        <f t="shared" si="53"/>
        <v>0</v>
      </c>
      <c r="BH195">
        <f t="shared" si="54"/>
        <v>0</v>
      </c>
      <c r="BI195">
        <f t="shared" si="55"/>
        <v>0</v>
      </c>
    </row>
    <row r="196" spans="11:61" x14ac:dyDescent="0.35">
      <c r="K196" t="str">
        <f>IFERROR(VLOOKUP(F196,tbTurnos,3,FALSE),"")</f>
        <v/>
      </c>
      <c r="N196" t="str">
        <f>IFERROR(VLOOKUP(M196,tbFactorMes,2,FALSE),"")</f>
        <v/>
      </c>
      <c r="O196">
        <f t="shared" si="42"/>
        <v>0</v>
      </c>
      <c r="R196" t="str">
        <f>IFERROR(VLOOKUP(Q196,tbFactorMes,2,FALSE),"")</f>
        <v/>
      </c>
      <c r="S196">
        <f t="shared" si="43"/>
        <v>0</v>
      </c>
      <c r="V196" t="str">
        <f>IFERROR(VLOOKUP(U196,tbFactorMes,2,FALSE),"")</f>
        <v/>
      </c>
      <c r="W196">
        <f t="shared" si="44"/>
        <v>0</v>
      </c>
      <c r="Z196" t="str">
        <f>IFERROR(VLOOKUP(Y196,tbFactorMes,2,FALSE),"")</f>
        <v/>
      </c>
      <c r="AA196">
        <f t="shared" si="45"/>
        <v>0</v>
      </c>
      <c r="AD196" t="str">
        <f>IFERROR(VLOOKUP(AC196,tbFactorMes,2,FALSE),"")</f>
        <v/>
      </c>
      <c r="AE196">
        <f t="shared" si="46"/>
        <v>0</v>
      </c>
      <c r="AH196" t="str">
        <f>IFERROR(VLOOKUP(AG196,tbFactorMes,2,FALSE),"")</f>
        <v/>
      </c>
      <c r="AI196">
        <f t="shared" si="47"/>
        <v>0</v>
      </c>
      <c r="AL196" t="str">
        <f>IFERROR(VLOOKUP(AK196,tbFactorMes,2,FALSE),"")</f>
        <v/>
      </c>
      <c r="AM196">
        <f t="shared" si="48"/>
        <v>0</v>
      </c>
      <c r="AP196" t="str">
        <f>IFERROR(VLOOKUP(AO196,tbFactorMes,2,FALSE),"")</f>
        <v/>
      </c>
      <c r="AQ196">
        <f t="shared" si="49"/>
        <v>0</v>
      </c>
      <c r="AT196" t="str">
        <f>IFERROR(VLOOKUP(AS196,tbFactorMes,2,FALSE),"")</f>
        <v/>
      </c>
      <c r="AU196">
        <f t="shared" si="50"/>
        <v>0</v>
      </c>
      <c r="AX196" t="str">
        <f>IFERROR(VLOOKUP(AW196,tbFactorMes,2,FALSE),"")</f>
        <v/>
      </c>
      <c r="AY196">
        <f t="shared" si="51"/>
        <v>0</v>
      </c>
      <c r="BB196" t="str">
        <f>IFERROR(VLOOKUP(BA196,tbFactorMes,2,FALSE),"")</f>
        <v/>
      </c>
      <c r="BC196">
        <f t="shared" si="52"/>
        <v>0</v>
      </c>
      <c r="BF196" t="str">
        <f>IFERROR(VLOOKUP(BE196,tbFactorMes,2,FALSE),"")</f>
        <v/>
      </c>
      <c r="BG196">
        <f t="shared" si="53"/>
        <v>0</v>
      </c>
      <c r="BH196">
        <f t="shared" si="54"/>
        <v>0</v>
      </c>
      <c r="BI196">
        <f t="shared" si="55"/>
        <v>0</v>
      </c>
    </row>
    <row r="197" spans="11:61" x14ac:dyDescent="0.35">
      <c r="K197" t="str">
        <f>IFERROR(VLOOKUP(F197,tbTurnos,3,FALSE),"")</f>
        <v/>
      </c>
      <c r="N197" t="str">
        <f>IFERROR(VLOOKUP(M197,tbFactorMes,2,FALSE),"")</f>
        <v/>
      </c>
      <c r="O197">
        <f t="shared" si="42"/>
        <v>0</v>
      </c>
      <c r="R197" t="str">
        <f>IFERROR(VLOOKUP(Q197,tbFactorMes,2,FALSE),"")</f>
        <v/>
      </c>
      <c r="S197">
        <f t="shared" si="43"/>
        <v>0</v>
      </c>
      <c r="V197" t="str">
        <f>IFERROR(VLOOKUP(U197,tbFactorMes,2,FALSE),"")</f>
        <v/>
      </c>
      <c r="W197">
        <f t="shared" si="44"/>
        <v>0</v>
      </c>
      <c r="Z197" t="str">
        <f>IFERROR(VLOOKUP(Y197,tbFactorMes,2,FALSE),"")</f>
        <v/>
      </c>
      <c r="AA197">
        <f t="shared" si="45"/>
        <v>0</v>
      </c>
      <c r="AD197" t="str">
        <f>IFERROR(VLOOKUP(AC197,tbFactorMes,2,FALSE),"")</f>
        <v/>
      </c>
      <c r="AE197">
        <f t="shared" si="46"/>
        <v>0</v>
      </c>
      <c r="AH197" t="str">
        <f>IFERROR(VLOOKUP(AG197,tbFactorMes,2,FALSE),"")</f>
        <v/>
      </c>
      <c r="AI197">
        <f t="shared" si="47"/>
        <v>0</v>
      </c>
      <c r="AL197" t="str">
        <f>IFERROR(VLOOKUP(AK197,tbFactorMes,2,FALSE),"")</f>
        <v/>
      </c>
      <c r="AM197">
        <f t="shared" si="48"/>
        <v>0</v>
      </c>
      <c r="AP197" t="str">
        <f>IFERROR(VLOOKUP(AO197,tbFactorMes,2,FALSE),"")</f>
        <v/>
      </c>
      <c r="AQ197">
        <f t="shared" si="49"/>
        <v>0</v>
      </c>
      <c r="AT197" t="str">
        <f>IFERROR(VLOOKUP(AS197,tbFactorMes,2,FALSE),"")</f>
        <v/>
      </c>
      <c r="AU197">
        <f t="shared" si="50"/>
        <v>0</v>
      </c>
      <c r="AX197" t="str">
        <f>IFERROR(VLOOKUP(AW197,tbFactorMes,2,FALSE),"")</f>
        <v/>
      </c>
      <c r="AY197">
        <f t="shared" si="51"/>
        <v>0</v>
      </c>
      <c r="BB197" t="str">
        <f>IFERROR(VLOOKUP(BA197,tbFactorMes,2,FALSE),"")</f>
        <v/>
      </c>
      <c r="BC197">
        <f t="shared" si="52"/>
        <v>0</v>
      </c>
      <c r="BF197" t="str">
        <f>IFERROR(VLOOKUP(BE197,tbFactorMes,2,FALSE),"")</f>
        <v/>
      </c>
      <c r="BG197">
        <f t="shared" si="53"/>
        <v>0</v>
      </c>
      <c r="BH197">
        <f t="shared" si="54"/>
        <v>0</v>
      </c>
      <c r="BI197">
        <f t="shared" si="55"/>
        <v>0</v>
      </c>
    </row>
    <row r="198" spans="11:61" x14ac:dyDescent="0.35">
      <c r="K198" t="str">
        <f>IFERROR(VLOOKUP(F198,tbTurnos,3,FALSE),"")</f>
        <v/>
      </c>
      <c r="N198" t="str">
        <f>IFERROR(VLOOKUP(M198,tbFactorMes,2,FALSE),"")</f>
        <v/>
      </c>
      <c r="O198">
        <f t="shared" si="42"/>
        <v>0</v>
      </c>
      <c r="R198" t="str">
        <f>IFERROR(VLOOKUP(Q198,tbFactorMes,2,FALSE),"")</f>
        <v/>
      </c>
      <c r="S198">
        <f t="shared" si="43"/>
        <v>0</v>
      </c>
      <c r="V198" t="str">
        <f>IFERROR(VLOOKUP(U198,tbFactorMes,2,FALSE),"")</f>
        <v/>
      </c>
      <c r="W198">
        <f t="shared" si="44"/>
        <v>0</v>
      </c>
      <c r="Z198" t="str">
        <f>IFERROR(VLOOKUP(Y198,tbFactorMes,2,FALSE),"")</f>
        <v/>
      </c>
      <c r="AA198">
        <f t="shared" si="45"/>
        <v>0</v>
      </c>
      <c r="AD198" t="str">
        <f>IFERROR(VLOOKUP(AC198,tbFactorMes,2,FALSE),"")</f>
        <v/>
      </c>
      <c r="AE198">
        <f t="shared" si="46"/>
        <v>0</v>
      </c>
      <c r="AH198" t="str">
        <f>IFERROR(VLOOKUP(AG198,tbFactorMes,2,FALSE),"")</f>
        <v/>
      </c>
      <c r="AI198">
        <f t="shared" si="47"/>
        <v>0</v>
      </c>
      <c r="AL198" t="str">
        <f>IFERROR(VLOOKUP(AK198,tbFactorMes,2,FALSE),"")</f>
        <v/>
      </c>
      <c r="AM198">
        <f t="shared" si="48"/>
        <v>0</v>
      </c>
      <c r="AP198" t="str">
        <f>IFERROR(VLOOKUP(AO198,tbFactorMes,2,FALSE),"")</f>
        <v/>
      </c>
      <c r="AQ198">
        <f t="shared" si="49"/>
        <v>0</v>
      </c>
      <c r="AT198" t="str">
        <f>IFERROR(VLOOKUP(AS198,tbFactorMes,2,FALSE),"")</f>
        <v/>
      </c>
      <c r="AU198">
        <f t="shared" si="50"/>
        <v>0</v>
      </c>
      <c r="AX198" t="str">
        <f>IFERROR(VLOOKUP(AW198,tbFactorMes,2,FALSE),"")</f>
        <v/>
      </c>
      <c r="AY198">
        <f t="shared" si="51"/>
        <v>0</v>
      </c>
      <c r="BB198" t="str">
        <f>IFERROR(VLOOKUP(BA198,tbFactorMes,2,FALSE),"")</f>
        <v/>
      </c>
      <c r="BC198">
        <f t="shared" si="52"/>
        <v>0</v>
      </c>
      <c r="BF198" t="str">
        <f>IFERROR(VLOOKUP(BE198,tbFactorMes,2,FALSE),"")</f>
        <v/>
      </c>
      <c r="BG198">
        <f t="shared" si="53"/>
        <v>0</v>
      </c>
      <c r="BH198">
        <f t="shared" si="54"/>
        <v>0</v>
      </c>
      <c r="BI198">
        <f t="shared" si="55"/>
        <v>0</v>
      </c>
    </row>
    <row r="199" spans="11:61" x14ac:dyDescent="0.35">
      <c r="K199" t="str">
        <f>IFERROR(VLOOKUP(F199,tbTurnos,3,FALSE),"")</f>
        <v/>
      </c>
      <c r="N199" t="str">
        <f>IFERROR(VLOOKUP(M199,tbFactorMes,2,FALSE),"")</f>
        <v/>
      </c>
      <c r="O199">
        <f t="shared" si="42"/>
        <v>0</v>
      </c>
      <c r="R199" t="str">
        <f>IFERROR(VLOOKUP(Q199,tbFactorMes,2,FALSE),"")</f>
        <v/>
      </c>
      <c r="S199">
        <f t="shared" si="43"/>
        <v>0</v>
      </c>
      <c r="V199" t="str">
        <f>IFERROR(VLOOKUP(U199,tbFactorMes,2,FALSE),"")</f>
        <v/>
      </c>
      <c r="W199">
        <f t="shared" si="44"/>
        <v>0</v>
      </c>
      <c r="Z199" t="str">
        <f>IFERROR(VLOOKUP(Y199,tbFactorMes,2,FALSE),"")</f>
        <v/>
      </c>
      <c r="AA199">
        <f t="shared" si="45"/>
        <v>0</v>
      </c>
      <c r="AD199" t="str">
        <f>IFERROR(VLOOKUP(AC199,tbFactorMes,2,FALSE),"")</f>
        <v/>
      </c>
      <c r="AE199">
        <f t="shared" si="46"/>
        <v>0</v>
      </c>
      <c r="AH199" t="str">
        <f>IFERROR(VLOOKUP(AG199,tbFactorMes,2,FALSE),"")</f>
        <v/>
      </c>
      <c r="AI199">
        <f t="shared" si="47"/>
        <v>0</v>
      </c>
      <c r="AL199" t="str">
        <f>IFERROR(VLOOKUP(AK199,tbFactorMes,2,FALSE),"")</f>
        <v/>
      </c>
      <c r="AM199">
        <f t="shared" si="48"/>
        <v>0</v>
      </c>
      <c r="AP199" t="str">
        <f>IFERROR(VLOOKUP(AO199,tbFactorMes,2,FALSE),"")</f>
        <v/>
      </c>
      <c r="AQ199">
        <f t="shared" si="49"/>
        <v>0</v>
      </c>
      <c r="AT199" t="str">
        <f>IFERROR(VLOOKUP(AS199,tbFactorMes,2,FALSE),"")</f>
        <v/>
      </c>
      <c r="AU199">
        <f t="shared" si="50"/>
        <v>0</v>
      </c>
      <c r="AX199" t="str">
        <f>IFERROR(VLOOKUP(AW199,tbFactorMes,2,FALSE),"")</f>
        <v/>
      </c>
      <c r="AY199">
        <f t="shared" si="51"/>
        <v>0</v>
      </c>
      <c r="BB199" t="str">
        <f>IFERROR(VLOOKUP(BA199,tbFactorMes,2,FALSE),"")</f>
        <v/>
      </c>
      <c r="BC199">
        <f t="shared" si="52"/>
        <v>0</v>
      </c>
      <c r="BF199" t="str">
        <f>IFERROR(VLOOKUP(BE199,tbFactorMes,2,FALSE),"")</f>
        <v/>
      </c>
      <c r="BG199">
        <f t="shared" si="53"/>
        <v>0</v>
      </c>
      <c r="BH199">
        <f t="shared" si="54"/>
        <v>0</v>
      </c>
      <c r="BI199">
        <f t="shared" si="55"/>
        <v>0</v>
      </c>
    </row>
    <row r="200" spans="11:61" x14ac:dyDescent="0.35">
      <c r="K200" t="str">
        <f>IFERROR(VLOOKUP(F200,tbTurnos,3,FALSE),"")</f>
        <v/>
      </c>
      <c r="N200" t="str">
        <f>IFERROR(VLOOKUP(M200,tbFactorMes,2,FALSE),"")</f>
        <v/>
      </c>
      <c r="O200">
        <f t="shared" si="42"/>
        <v>0</v>
      </c>
      <c r="R200" t="str">
        <f>IFERROR(VLOOKUP(Q200,tbFactorMes,2,FALSE),"")</f>
        <v/>
      </c>
      <c r="S200">
        <f t="shared" si="43"/>
        <v>0</v>
      </c>
      <c r="V200" t="str">
        <f>IFERROR(VLOOKUP(U200,tbFactorMes,2,FALSE),"")</f>
        <v/>
      </c>
      <c r="W200">
        <f t="shared" si="44"/>
        <v>0</v>
      </c>
      <c r="Z200" t="str">
        <f>IFERROR(VLOOKUP(Y200,tbFactorMes,2,FALSE),"")</f>
        <v/>
      </c>
      <c r="AA200">
        <f t="shared" si="45"/>
        <v>0</v>
      </c>
      <c r="AD200" t="str">
        <f>IFERROR(VLOOKUP(AC200,tbFactorMes,2,FALSE),"")</f>
        <v/>
      </c>
      <c r="AE200">
        <f t="shared" si="46"/>
        <v>0</v>
      </c>
      <c r="AH200" t="str">
        <f>IFERROR(VLOOKUP(AG200,tbFactorMes,2,FALSE),"")</f>
        <v/>
      </c>
      <c r="AI200">
        <f t="shared" si="47"/>
        <v>0</v>
      </c>
      <c r="AL200" t="str">
        <f>IFERROR(VLOOKUP(AK200,tbFactorMes,2,FALSE),"")</f>
        <v/>
      </c>
      <c r="AM200">
        <f t="shared" si="48"/>
        <v>0</v>
      </c>
      <c r="AP200" t="str">
        <f>IFERROR(VLOOKUP(AO200,tbFactorMes,2,FALSE),"")</f>
        <v/>
      </c>
      <c r="AQ200">
        <f t="shared" si="49"/>
        <v>0</v>
      </c>
      <c r="AT200" t="str">
        <f>IFERROR(VLOOKUP(AS200,tbFactorMes,2,FALSE),"")</f>
        <v/>
      </c>
      <c r="AU200">
        <f t="shared" si="50"/>
        <v>0</v>
      </c>
      <c r="AX200" t="str">
        <f>IFERROR(VLOOKUP(AW200,tbFactorMes,2,FALSE),"")</f>
        <v/>
      </c>
      <c r="AY200">
        <f t="shared" si="51"/>
        <v>0</v>
      </c>
      <c r="BB200" t="str">
        <f>IFERROR(VLOOKUP(BA200,tbFactorMes,2,FALSE),"")</f>
        <v/>
      </c>
      <c r="BC200">
        <f t="shared" si="52"/>
        <v>0</v>
      </c>
      <c r="BF200" t="str">
        <f>IFERROR(VLOOKUP(BE200,tbFactorMes,2,FALSE),"")</f>
        <v/>
      </c>
      <c r="BG200">
        <f t="shared" si="53"/>
        <v>0</v>
      </c>
      <c r="BH200">
        <f t="shared" si="54"/>
        <v>0</v>
      </c>
      <c r="BI200">
        <f t="shared" si="55"/>
        <v>0</v>
      </c>
    </row>
    <row r="201" spans="11:61" x14ac:dyDescent="0.35">
      <c r="K201" t="str">
        <f>IFERROR(VLOOKUP(F201,tbTurnos,3,FALSE),"")</f>
        <v/>
      </c>
      <c r="N201" t="str">
        <f>IFERROR(VLOOKUP(M201,tbFactorMes,2,FALSE),"")</f>
        <v/>
      </c>
      <c r="O201">
        <f t="shared" si="42"/>
        <v>0</v>
      </c>
      <c r="R201" t="str">
        <f>IFERROR(VLOOKUP(Q201,tbFactorMes,2,FALSE),"")</f>
        <v/>
      </c>
      <c r="S201">
        <f t="shared" si="43"/>
        <v>0</v>
      </c>
      <c r="V201" t="str">
        <f>IFERROR(VLOOKUP(U201,tbFactorMes,2,FALSE),"")</f>
        <v/>
      </c>
      <c r="W201">
        <f t="shared" si="44"/>
        <v>0</v>
      </c>
      <c r="Z201" t="str">
        <f>IFERROR(VLOOKUP(Y201,tbFactorMes,2,FALSE),"")</f>
        <v/>
      </c>
      <c r="AA201">
        <f t="shared" si="45"/>
        <v>0</v>
      </c>
      <c r="AD201" t="str">
        <f>IFERROR(VLOOKUP(AC201,tbFactorMes,2,FALSE),"")</f>
        <v/>
      </c>
      <c r="AE201">
        <f t="shared" si="46"/>
        <v>0</v>
      </c>
      <c r="AH201" t="str">
        <f>IFERROR(VLOOKUP(AG201,tbFactorMes,2,FALSE),"")</f>
        <v/>
      </c>
      <c r="AI201">
        <f t="shared" si="47"/>
        <v>0</v>
      </c>
      <c r="AL201" t="str">
        <f>IFERROR(VLOOKUP(AK201,tbFactorMes,2,FALSE),"")</f>
        <v/>
      </c>
      <c r="AM201">
        <f t="shared" si="48"/>
        <v>0</v>
      </c>
      <c r="AP201" t="str">
        <f>IFERROR(VLOOKUP(AO201,tbFactorMes,2,FALSE),"")</f>
        <v/>
      </c>
      <c r="AQ201">
        <f t="shared" si="49"/>
        <v>0</v>
      </c>
      <c r="AT201" t="str">
        <f>IFERROR(VLOOKUP(AS201,tbFactorMes,2,FALSE),"")</f>
        <v/>
      </c>
      <c r="AU201">
        <f t="shared" si="50"/>
        <v>0</v>
      </c>
      <c r="AX201" t="str">
        <f>IFERROR(VLOOKUP(AW201,tbFactorMes,2,FALSE),"")</f>
        <v/>
      </c>
      <c r="AY201">
        <f t="shared" si="51"/>
        <v>0</v>
      </c>
      <c r="BB201" t="str">
        <f>IFERROR(VLOOKUP(BA201,tbFactorMes,2,FALSE),"")</f>
        <v/>
      </c>
      <c r="BC201">
        <f t="shared" si="52"/>
        <v>0</v>
      </c>
      <c r="BF201" t="str">
        <f>IFERROR(VLOOKUP(BE201,tbFactorMes,2,FALSE),"")</f>
        <v/>
      </c>
      <c r="BG201">
        <f t="shared" si="53"/>
        <v>0</v>
      </c>
      <c r="BH201">
        <f t="shared" si="54"/>
        <v>0</v>
      </c>
      <c r="BI201">
        <f t="shared" si="55"/>
        <v>0</v>
      </c>
    </row>
    <row r="202" spans="11:61" x14ac:dyDescent="0.35">
      <c r="K202" t="str">
        <f>IFERROR(VLOOKUP(F202,tbTurnos,3,FALSE),"")</f>
        <v/>
      </c>
      <c r="N202" t="str">
        <f>IFERROR(VLOOKUP(M202,tbFactorMes,2,FALSE),"")</f>
        <v/>
      </c>
      <c r="O202">
        <f t="shared" si="42"/>
        <v>0</v>
      </c>
      <c r="R202" t="str">
        <f>IFERROR(VLOOKUP(Q202,tbFactorMes,2,FALSE),"")</f>
        <v/>
      </c>
      <c r="S202">
        <f t="shared" si="43"/>
        <v>0</v>
      </c>
      <c r="V202" t="str">
        <f>IFERROR(VLOOKUP(U202,tbFactorMes,2,FALSE),"")</f>
        <v/>
      </c>
      <c r="W202">
        <f t="shared" si="44"/>
        <v>0</v>
      </c>
      <c r="Z202" t="str">
        <f>IFERROR(VLOOKUP(Y202,tbFactorMes,2,FALSE),"")</f>
        <v/>
      </c>
      <c r="AA202">
        <f t="shared" si="45"/>
        <v>0</v>
      </c>
      <c r="AD202" t="str">
        <f>IFERROR(VLOOKUP(AC202,tbFactorMes,2,FALSE),"")</f>
        <v/>
      </c>
      <c r="AE202">
        <f t="shared" si="46"/>
        <v>0</v>
      </c>
      <c r="AH202" t="str">
        <f>IFERROR(VLOOKUP(AG202,tbFactorMes,2,FALSE),"")</f>
        <v/>
      </c>
      <c r="AI202">
        <f t="shared" si="47"/>
        <v>0</v>
      </c>
      <c r="AL202" t="str">
        <f>IFERROR(VLOOKUP(AK202,tbFactorMes,2,FALSE),"")</f>
        <v/>
      </c>
      <c r="AM202">
        <f t="shared" si="48"/>
        <v>0</v>
      </c>
      <c r="AP202" t="str">
        <f>IFERROR(VLOOKUP(AO202,tbFactorMes,2,FALSE),"")</f>
        <v/>
      </c>
      <c r="AQ202">
        <f t="shared" si="49"/>
        <v>0</v>
      </c>
      <c r="AT202" t="str">
        <f>IFERROR(VLOOKUP(AS202,tbFactorMes,2,FALSE),"")</f>
        <v/>
      </c>
      <c r="AU202">
        <f t="shared" si="50"/>
        <v>0</v>
      </c>
      <c r="AX202" t="str">
        <f>IFERROR(VLOOKUP(AW202,tbFactorMes,2,FALSE),"")</f>
        <v/>
      </c>
      <c r="AY202">
        <f t="shared" si="51"/>
        <v>0</v>
      </c>
      <c r="BB202" t="str">
        <f>IFERROR(VLOOKUP(BA202,tbFactorMes,2,FALSE),"")</f>
        <v/>
      </c>
      <c r="BC202">
        <f t="shared" si="52"/>
        <v>0</v>
      </c>
      <c r="BF202" t="str">
        <f>IFERROR(VLOOKUP(BE202,tbFactorMes,2,FALSE),"")</f>
        <v/>
      </c>
      <c r="BG202">
        <f t="shared" si="53"/>
        <v>0</v>
      </c>
      <c r="BH202">
        <f t="shared" si="54"/>
        <v>0</v>
      </c>
      <c r="BI202">
        <f t="shared" si="55"/>
        <v>0</v>
      </c>
    </row>
    <row r="203" spans="11:61" x14ac:dyDescent="0.35">
      <c r="K203" t="str">
        <f>IFERROR(VLOOKUP(F203,tbTurnos,3,FALSE),"")</f>
        <v/>
      </c>
      <c r="N203" t="str">
        <f>IFERROR(VLOOKUP(M203,tbFactorMes,2,FALSE),"")</f>
        <v/>
      </c>
      <c r="O203">
        <f t="shared" si="42"/>
        <v>0</v>
      </c>
      <c r="R203" t="str">
        <f>IFERROR(VLOOKUP(Q203,tbFactorMes,2,FALSE),"")</f>
        <v/>
      </c>
      <c r="S203">
        <f t="shared" si="43"/>
        <v>0</v>
      </c>
      <c r="V203" t="str">
        <f>IFERROR(VLOOKUP(U203,tbFactorMes,2,FALSE),"")</f>
        <v/>
      </c>
      <c r="W203">
        <f t="shared" si="44"/>
        <v>0</v>
      </c>
      <c r="Z203" t="str">
        <f>IFERROR(VLOOKUP(Y203,tbFactorMes,2,FALSE),"")</f>
        <v/>
      </c>
      <c r="AA203">
        <f t="shared" si="45"/>
        <v>0</v>
      </c>
      <c r="AD203" t="str">
        <f>IFERROR(VLOOKUP(AC203,tbFactorMes,2,FALSE),"")</f>
        <v/>
      </c>
      <c r="AE203">
        <f t="shared" si="46"/>
        <v>0</v>
      </c>
      <c r="AH203" t="str">
        <f>IFERROR(VLOOKUP(AG203,tbFactorMes,2,FALSE),"")</f>
        <v/>
      </c>
      <c r="AI203">
        <f t="shared" si="47"/>
        <v>0</v>
      </c>
      <c r="AL203" t="str">
        <f>IFERROR(VLOOKUP(AK203,tbFactorMes,2,FALSE),"")</f>
        <v/>
      </c>
      <c r="AM203">
        <f t="shared" si="48"/>
        <v>0</v>
      </c>
      <c r="AP203" t="str">
        <f>IFERROR(VLOOKUP(AO203,tbFactorMes,2,FALSE),"")</f>
        <v/>
      </c>
      <c r="AQ203">
        <f t="shared" si="49"/>
        <v>0</v>
      </c>
      <c r="AT203" t="str">
        <f>IFERROR(VLOOKUP(AS203,tbFactorMes,2,FALSE),"")</f>
        <v/>
      </c>
      <c r="AU203">
        <f t="shared" si="50"/>
        <v>0</v>
      </c>
      <c r="AX203" t="str">
        <f>IFERROR(VLOOKUP(AW203,tbFactorMes,2,FALSE),"")</f>
        <v/>
      </c>
      <c r="AY203">
        <f t="shared" si="51"/>
        <v>0</v>
      </c>
      <c r="BB203" t="str">
        <f>IFERROR(VLOOKUP(BA203,tbFactorMes,2,FALSE),"")</f>
        <v/>
      </c>
      <c r="BC203">
        <f t="shared" si="52"/>
        <v>0</v>
      </c>
      <c r="BF203" t="str">
        <f>IFERROR(VLOOKUP(BE203,tbFactorMes,2,FALSE),"")</f>
        <v/>
      </c>
      <c r="BG203">
        <f t="shared" si="53"/>
        <v>0</v>
      </c>
      <c r="BH203">
        <f t="shared" si="54"/>
        <v>0</v>
      </c>
      <c r="BI203">
        <f t="shared" si="55"/>
        <v>0</v>
      </c>
    </row>
    <row r="204" spans="11:61" x14ac:dyDescent="0.35">
      <c r="K204" t="str">
        <f>IFERROR(VLOOKUP(F204,tbTurnos,3,FALSE),"")</f>
        <v/>
      </c>
      <c r="N204" t="str">
        <f>IFERROR(VLOOKUP(M204,tbFactorMes,2,FALSE),"")</f>
        <v/>
      </c>
      <c r="O204">
        <f t="shared" si="42"/>
        <v>0</v>
      </c>
      <c r="R204" t="str">
        <f>IFERROR(VLOOKUP(Q204,tbFactorMes,2,FALSE),"")</f>
        <v/>
      </c>
      <c r="S204">
        <f t="shared" si="43"/>
        <v>0</v>
      </c>
      <c r="V204" t="str">
        <f>IFERROR(VLOOKUP(U204,tbFactorMes,2,FALSE),"")</f>
        <v/>
      </c>
      <c r="W204">
        <f t="shared" si="44"/>
        <v>0</v>
      </c>
      <c r="Z204" t="str">
        <f>IFERROR(VLOOKUP(Y204,tbFactorMes,2,FALSE),"")</f>
        <v/>
      </c>
      <c r="AA204">
        <f t="shared" si="45"/>
        <v>0</v>
      </c>
      <c r="AD204" t="str">
        <f>IFERROR(VLOOKUP(AC204,tbFactorMes,2,FALSE),"")</f>
        <v/>
      </c>
      <c r="AE204">
        <f t="shared" si="46"/>
        <v>0</v>
      </c>
      <c r="AH204" t="str">
        <f>IFERROR(VLOOKUP(AG204,tbFactorMes,2,FALSE),"")</f>
        <v/>
      </c>
      <c r="AI204">
        <f t="shared" si="47"/>
        <v>0</v>
      </c>
      <c r="AL204" t="str">
        <f>IFERROR(VLOOKUP(AK204,tbFactorMes,2,FALSE),"")</f>
        <v/>
      </c>
      <c r="AM204">
        <f t="shared" si="48"/>
        <v>0</v>
      </c>
      <c r="AP204" t="str">
        <f>IFERROR(VLOOKUP(AO204,tbFactorMes,2,FALSE),"")</f>
        <v/>
      </c>
      <c r="AQ204">
        <f t="shared" si="49"/>
        <v>0</v>
      </c>
      <c r="AT204" t="str">
        <f>IFERROR(VLOOKUP(AS204,tbFactorMes,2,FALSE),"")</f>
        <v/>
      </c>
      <c r="AU204">
        <f t="shared" si="50"/>
        <v>0</v>
      </c>
      <c r="AX204" t="str">
        <f>IFERROR(VLOOKUP(AW204,tbFactorMes,2,FALSE),"")</f>
        <v/>
      </c>
      <c r="AY204">
        <f t="shared" si="51"/>
        <v>0</v>
      </c>
      <c r="BB204" t="str">
        <f>IFERROR(VLOOKUP(BA204,tbFactorMes,2,FALSE),"")</f>
        <v/>
      </c>
      <c r="BC204">
        <f t="shared" si="52"/>
        <v>0</v>
      </c>
      <c r="BF204" t="str">
        <f>IFERROR(VLOOKUP(BE204,tbFactorMes,2,FALSE),"")</f>
        <v/>
      </c>
      <c r="BG204">
        <f t="shared" si="53"/>
        <v>0</v>
      </c>
      <c r="BH204">
        <f t="shared" si="54"/>
        <v>0</v>
      </c>
      <c r="BI204">
        <f t="shared" si="55"/>
        <v>0</v>
      </c>
    </row>
    <row r="205" spans="11:61" x14ac:dyDescent="0.35">
      <c r="K205" t="str">
        <f>IFERROR(VLOOKUP(F205,tbTurnos,3,FALSE),"")</f>
        <v/>
      </c>
      <c r="N205" t="str">
        <f>IFERROR(VLOOKUP(M205,tbFactorMes,2,FALSE),"")</f>
        <v/>
      </c>
      <c r="O205">
        <f t="shared" si="42"/>
        <v>0</v>
      </c>
      <c r="R205" t="str">
        <f>IFERROR(VLOOKUP(Q205,tbFactorMes,2,FALSE),"")</f>
        <v/>
      </c>
      <c r="S205">
        <f t="shared" si="43"/>
        <v>0</v>
      </c>
      <c r="V205" t="str">
        <f>IFERROR(VLOOKUP(U205,tbFactorMes,2,FALSE),"")</f>
        <v/>
      </c>
      <c r="W205">
        <f t="shared" si="44"/>
        <v>0</v>
      </c>
      <c r="Z205" t="str">
        <f>IFERROR(VLOOKUP(Y205,tbFactorMes,2,FALSE),"")</f>
        <v/>
      </c>
      <c r="AA205">
        <f t="shared" si="45"/>
        <v>0</v>
      </c>
      <c r="AD205" t="str">
        <f>IFERROR(VLOOKUP(AC205,tbFactorMes,2,FALSE),"")</f>
        <v/>
      </c>
      <c r="AE205">
        <f t="shared" si="46"/>
        <v>0</v>
      </c>
      <c r="AH205" t="str">
        <f>IFERROR(VLOOKUP(AG205,tbFactorMes,2,FALSE),"")</f>
        <v/>
      </c>
      <c r="AI205">
        <f t="shared" si="47"/>
        <v>0</v>
      </c>
      <c r="AL205" t="str">
        <f>IFERROR(VLOOKUP(AK205,tbFactorMes,2,FALSE),"")</f>
        <v/>
      </c>
      <c r="AM205">
        <f t="shared" si="48"/>
        <v>0</v>
      </c>
      <c r="AP205" t="str">
        <f>IFERROR(VLOOKUP(AO205,tbFactorMes,2,FALSE),"")</f>
        <v/>
      </c>
      <c r="AQ205">
        <f t="shared" si="49"/>
        <v>0</v>
      </c>
      <c r="AT205" t="str">
        <f>IFERROR(VLOOKUP(AS205,tbFactorMes,2,FALSE),"")</f>
        <v/>
      </c>
      <c r="AU205">
        <f t="shared" si="50"/>
        <v>0</v>
      </c>
      <c r="AX205" t="str">
        <f>IFERROR(VLOOKUP(AW205,tbFactorMes,2,FALSE),"")</f>
        <v/>
      </c>
      <c r="AY205">
        <f t="shared" si="51"/>
        <v>0</v>
      </c>
      <c r="BB205" t="str">
        <f>IFERROR(VLOOKUP(BA205,tbFactorMes,2,FALSE),"")</f>
        <v/>
      </c>
      <c r="BC205">
        <f t="shared" si="52"/>
        <v>0</v>
      </c>
      <c r="BF205" t="str">
        <f>IFERROR(VLOOKUP(BE205,tbFactorMes,2,FALSE),"")</f>
        <v/>
      </c>
      <c r="BG205">
        <f t="shared" si="53"/>
        <v>0</v>
      </c>
      <c r="BH205">
        <f t="shared" si="54"/>
        <v>0</v>
      </c>
      <c r="BI205">
        <f t="shared" si="55"/>
        <v>0</v>
      </c>
    </row>
    <row r="206" spans="11:61" x14ac:dyDescent="0.35">
      <c r="K206" t="str">
        <f>IFERROR(VLOOKUP(F206,tbTurnos,3,FALSE),"")</f>
        <v/>
      </c>
      <c r="N206" t="str">
        <f>IFERROR(VLOOKUP(M206,tbFactorMes,2,FALSE),"")</f>
        <v/>
      </c>
      <c r="O206">
        <f t="shared" si="42"/>
        <v>0</v>
      </c>
      <c r="R206" t="str">
        <f>IFERROR(VLOOKUP(Q206,tbFactorMes,2,FALSE),"")</f>
        <v/>
      </c>
      <c r="S206">
        <f t="shared" si="43"/>
        <v>0</v>
      </c>
      <c r="V206" t="str">
        <f>IFERROR(VLOOKUP(U206,tbFactorMes,2,FALSE),"")</f>
        <v/>
      </c>
      <c r="W206">
        <f t="shared" si="44"/>
        <v>0</v>
      </c>
      <c r="Z206" t="str">
        <f>IFERROR(VLOOKUP(Y206,tbFactorMes,2,FALSE),"")</f>
        <v/>
      </c>
      <c r="AA206">
        <f t="shared" si="45"/>
        <v>0</v>
      </c>
      <c r="AD206" t="str">
        <f>IFERROR(VLOOKUP(AC206,tbFactorMes,2,FALSE),"")</f>
        <v/>
      </c>
      <c r="AE206">
        <f t="shared" si="46"/>
        <v>0</v>
      </c>
      <c r="AH206" t="str">
        <f>IFERROR(VLOOKUP(AG206,tbFactorMes,2,FALSE),"")</f>
        <v/>
      </c>
      <c r="AI206">
        <f t="shared" si="47"/>
        <v>0</v>
      </c>
      <c r="AL206" t="str">
        <f>IFERROR(VLOOKUP(AK206,tbFactorMes,2,FALSE),"")</f>
        <v/>
      </c>
      <c r="AM206">
        <f t="shared" si="48"/>
        <v>0</v>
      </c>
      <c r="AP206" t="str">
        <f>IFERROR(VLOOKUP(AO206,tbFactorMes,2,FALSE),"")</f>
        <v/>
      </c>
      <c r="AQ206">
        <f t="shared" si="49"/>
        <v>0</v>
      </c>
      <c r="AT206" t="str">
        <f>IFERROR(VLOOKUP(AS206,tbFactorMes,2,FALSE),"")</f>
        <v/>
      </c>
      <c r="AU206">
        <f t="shared" si="50"/>
        <v>0</v>
      </c>
      <c r="AX206" t="str">
        <f>IFERROR(VLOOKUP(AW206,tbFactorMes,2,FALSE),"")</f>
        <v/>
      </c>
      <c r="AY206">
        <f t="shared" si="51"/>
        <v>0</v>
      </c>
      <c r="BB206" t="str">
        <f>IFERROR(VLOOKUP(BA206,tbFactorMes,2,FALSE),"")</f>
        <v/>
      </c>
      <c r="BC206">
        <f t="shared" si="52"/>
        <v>0</v>
      </c>
      <c r="BF206" t="str">
        <f>IFERROR(VLOOKUP(BE206,tbFactorMes,2,FALSE),"")</f>
        <v/>
      </c>
      <c r="BG206">
        <f t="shared" si="53"/>
        <v>0</v>
      </c>
      <c r="BH206">
        <f t="shared" si="54"/>
        <v>0</v>
      </c>
      <c r="BI206">
        <f t="shared" si="55"/>
        <v>0</v>
      </c>
    </row>
    <row r="207" spans="11:61" x14ac:dyDescent="0.35">
      <c r="K207" t="str">
        <f>IFERROR(VLOOKUP(F207,tbTurnos,3,FALSE),"")</f>
        <v/>
      </c>
      <c r="N207" t="str">
        <f>IFERROR(VLOOKUP(M207,tbFactorMes,2,FALSE),"")</f>
        <v/>
      </c>
      <c r="O207">
        <f t="shared" si="42"/>
        <v>0</v>
      </c>
      <c r="R207" t="str">
        <f>IFERROR(VLOOKUP(Q207,tbFactorMes,2,FALSE),"")</f>
        <v/>
      </c>
      <c r="S207">
        <f t="shared" si="43"/>
        <v>0</v>
      </c>
      <c r="V207" t="str">
        <f>IFERROR(VLOOKUP(U207,tbFactorMes,2,FALSE),"")</f>
        <v/>
      </c>
      <c r="W207">
        <f t="shared" si="44"/>
        <v>0</v>
      </c>
      <c r="Z207" t="str">
        <f>IFERROR(VLOOKUP(Y207,tbFactorMes,2,FALSE),"")</f>
        <v/>
      </c>
      <c r="AA207">
        <f t="shared" si="45"/>
        <v>0</v>
      </c>
      <c r="AD207" t="str">
        <f>IFERROR(VLOOKUP(AC207,tbFactorMes,2,FALSE),"")</f>
        <v/>
      </c>
      <c r="AE207">
        <f t="shared" si="46"/>
        <v>0</v>
      </c>
      <c r="AH207" t="str">
        <f>IFERROR(VLOOKUP(AG207,tbFactorMes,2,FALSE),"")</f>
        <v/>
      </c>
      <c r="AI207">
        <f t="shared" si="47"/>
        <v>0</v>
      </c>
      <c r="AL207" t="str">
        <f>IFERROR(VLOOKUP(AK207,tbFactorMes,2,FALSE),"")</f>
        <v/>
      </c>
      <c r="AM207">
        <f t="shared" si="48"/>
        <v>0</v>
      </c>
      <c r="AP207" t="str">
        <f>IFERROR(VLOOKUP(AO207,tbFactorMes,2,FALSE),"")</f>
        <v/>
      </c>
      <c r="AQ207">
        <f t="shared" si="49"/>
        <v>0</v>
      </c>
      <c r="AT207" t="str">
        <f>IFERROR(VLOOKUP(AS207,tbFactorMes,2,FALSE),"")</f>
        <v/>
      </c>
      <c r="AU207">
        <f t="shared" si="50"/>
        <v>0</v>
      </c>
      <c r="AX207" t="str">
        <f>IFERROR(VLOOKUP(AW207,tbFactorMes,2,FALSE),"")</f>
        <v/>
      </c>
      <c r="AY207">
        <f t="shared" si="51"/>
        <v>0</v>
      </c>
      <c r="BB207" t="str">
        <f>IFERROR(VLOOKUP(BA207,tbFactorMes,2,FALSE),"")</f>
        <v/>
      </c>
      <c r="BC207">
        <f t="shared" si="52"/>
        <v>0</v>
      </c>
      <c r="BF207" t="str">
        <f>IFERROR(VLOOKUP(BE207,tbFactorMes,2,FALSE),"")</f>
        <v/>
      </c>
      <c r="BG207">
        <f t="shared" si="53"/>
        <v>0</v>
      </c>
      <c r="BH207">
        <f t="shared" si="54"/>
        <v>0</v>
      </c>
      <c r="BI207">
        <f t="shared" si="55"/>
        <v>0</v>
      </c>
    </row>
    <row r="208" spans="11:61" x14ac:dyDescent="0.35">
      <c r="K208" t="str">
        <f>IFERROR(VLOOKUP(F208,tbTurnos,3,FALSE),"")</f>
        <v/>
      </c>
      <c r="N208" t="str">
        <f>IFERROR(VLOOKUP(M208,tbFactorMes,2,FALSE),"")</f>
        <v/>
      </c>
      <c r="O208">
        <f t="shared" si="42"/>
        <v>0</v>
      </c>
      <c r="R208" t="str">
        <f>IFERROR(VLOOKUP(Q208,tbFactorMes,2,FALSE),"")</f>
        <v/>
      </c>
      <c r="S208">
        <f t="shared" si="43"/>
        <v>0</v>
      </c>
      <c r="V208" t="str">
        <f>IFERROR(VLOOKUP(U208,tbFactorMes,2,FALSE),"")</f>
        <v/>
      </c>
      <c r="W208">
        <f t="shared" si="44"/>
        <v>0</v>
      </c>
      <c r="Z208" t="str">
        <f>IFERROR(VLOOKUP(Y208,tbFactorMes,2,FALSE),"")</f>
        <v/>
      </c>
      <c r="AA208">
        <f t="shared" si="45"/>
        <v>0</v>
      </c>
      <c r="AD208" t="str">
        <f>IFERROR(VLOOKUP(AC208,tbFactorMes,2,FALSE),"")</f>
        <v/>
      </c>
      <c r="AE208">
        <f t="shared" si="46"/>
        <v>0</v>
      </c>
      <c r="AH208" t="str">
        <f>IFERROR(VLOOKUP(AG208,tbFactorMes,2,FALSE),"")</f>
        <v/>
      </c>
      <c r="AI208">
        <f t="shared" si="47"/>
        <v>0</v>
      </c>
      <c r="AL208" t="str">
        <f>IFERROR(VLOOKUP(AK208,tbFactorMes,2,FALSE),"")</f>
        <v/>
      </c>
      <c r="AM208">
        <f t="shared" si="48"/>
        <v>0</v>
      </c>
      <c r="AP208" t="str">
        <f>IFERROR(VLOOKUP(AO208,tbFactorMes,2,FALSE),"")</f>
        <v/>
      </c>
      <c r="AQ208">
        <f t="shared" si="49"/>
        <v>0</v>
      </c>
      <c r="AT208" t="str">
        <f>IFERROR(VLOOKUP(AS208,tbFactorMes,2,FALSE),"")</f>
        <v/>
      </c>
      <c r="AU208">
        <f t="shared" si="50"/>
        <v>0</v>
      </c>
      <c r="AX208" t="str">
        <f>IFERROR(VLOOKUP(AW208,tbFactorMes,2,FALSE),"")</f>
        <v/>
      </c>
      <c r="AY208">
        <f t="shared" si="51"/>
        <v>0</v>
      </c>
      <c r="BB208" t="str">
        <f>IFERROR(VLOOKUP(BA208,tbFactorMes,2,FALSE),"")</f>
        <v/>
      </c>
      <c r="BC208">
        <f t="shared" si="52"/>
        <v>0</v>
      </c>
      <c r="BF208" t="str">
        <f>IFERROR(VLOOKUP(BE208,tbFactorMes,2,FALSE),"")</f>
        <v/>
      </c>
      <c r="BG208">
        <f t="shared" si="53"/>
        <v>0</v>
      </c>
      <c r="BH208">
        <f t="shared" si="54"/>
        <v>0</v>
      </c>
      <c r="BI208">
        <f t="shared" si="55"/>
        <v>0</v>
      </c>
    </row>
    <row r="209" spans="11:61" x14ac:dyDescent="0.35">
      <c r="K209" t="str">
        <f>IFERROR(VLOOKUP(F209,tbTurnos,3,FALSE),"")</f>
        <v/>
      </c>
      <c r="N209" t="str">
        <f>IFERROR(VLOOKUP(M209,tbFactorMes,2,FALSE),"")</f>
        <v/>
      </c>
      <c r="O209">
        <f t="shared" si="42"/>
        <v>0</v>
      </c>
      <c r="R209" t="str">
        <f>IFERROR(VLOOKUP(Q209,tbFactorMes,2,FALSE),"")</f>
        <v/>
      </c>
      <c r="S209">
        <f t="shared" si="43"/>
        <v>0</v>
      </c>
      <c r="V209" t="str">
        <f>IFERROR(VLOOKUP(U209,tbFactorMes,2,FALSE),"")</f>
        <v/>
      </c>
      <c r="W209">
        <f t="shared" si="44"/>
        <v>0</v>
      </c>
      <c r="Z209" t="str">
        <f>IFERROR(VLOOKUP(Y209,tbFactorMes,2,FALSE),"")</f>
        <v/>
      </c>
      <c r="AA209">
        <f t="shared" si="45"/>
        <v>0</v>
      </c>
      <c r="AD209" t="str">
        <f>IFERROR(VLOOKUP(AC209,tbFactorMes,2,FALSE),"")</f>
        <v/>
      </c>
      <c r="AE209">
        <f t="shared" si="46"/>
        <v>0</v>
      </c>
      <c r="AH209" t="str">
        <f>IFERROR(VLOOKUP(AG209,tbFactorMes,2,FALSE),"")</f>
        <v/>
      </c>
      <c r="AI209">
        <f t="shared" si="47"/>
        <v>0</v>
      </c>
      <c r="AL209" t="str">
        <f>IFERROR(VLOOKUP(AK209,tbFactorMes,2,FALSE),"")</f>
        <v/>
      </c>
      <c r="AM209">
        <f t="shared" si="48"/>
        <v>0</v>
      </c>
      <c r="AP209" t="str">
        <f>IFERROR(VLOOKUP(AO209,tbFactorMes,2,FALSE),"")</f>
        <v/>
      </c>
      <c r="AQ209">
        <f t="shared" si="49"/>
        <v>0</v>
      </c>
      <c r="AT209" t="str">
        <f>IFERROR(VLOOKUP(AS209,tbFactorMes,2,FALSE),"")</f>
        <v/>
      </c>
      <c r="AU209">
        <f t="shared" si="50"/>
        <v>0</v>
      </c>
      <c r="AX209" t="str">
        <f>IFERROR(VLOOKUP(AW209,tbFactorMes,2,FALSE),"")</f>
        <v/>
      </c>
      <c r="AY209">
        <f t="shared" si="51"/>
        <v>0</v>
      </c>
      <c r="BB209" t="str">
        <f>IFERROR(VLOOKUP(BA209,tbFactorMes,2,FALSE),"")</f>
        <v/>
      </c>
      <c r="BC209">
        <f t="shared" si="52"/>
        <v>0</v>
      </c>
      <c r="BF209" t="str">
        <f>IFERROR(VLOOKUP(BE209,tbFactorMes,2,FALSE),"")</f>
        <v/>
      </c>
      <c r="BG209">
        <f t="shared" si="53"/>
        <v>0</v>
      </c>
      <c r="BH209">
        <f t="shared" si="54"/>
        <v>0</v>
      </c>
      <c r="BI209">
        <f t="shared" si="55"/>
        <v>0</v>
      </c>
    </row>
    <row r="210" spans="11:61" x14ac:dyDescent="0.35">
      <c r="K210" t="str">
        <f>IFERROR(VLOOKUP(F210,tbTurnos,3,FALSE),"")</f>
        <v/>
      </c>
      <c r="N210" t="str">
        <f>IFERROR(VLOOKUP(M210,tbFactorMes,2,FALSE),"")</f>
        <v/>
      </c>
      <c r="O210">
        <f t="shared" si="42"/>
        <v>0</v>
      </c>
      <c r="R210" t="str">
        <f>IFERROR(VLOOKUP(Q210,tbFactorMes,2,FALSE),"")</f>
        <v/>
      </c>
      <c r="S210">
        <f t="shared" si="43"/>
        <v>0</v>
      </c>
      <c r="V210" t="str">
        <f>IFERROR(VLOOKUP(U210,tbFactorMes,2,FALSE),"")</f>
        <v/>
      </c>
      <c r="W210">
        <f t="shared" si="44"/>
        <v>0</v>
      </c>
      <c r="Z210" t="str">
        <f>IFERROR(VLOOKUP(Y210,tbFactorMes,2,FALSE),"")</f>
        <v/>
      </c>
      <c r="AA210">
        <f t="shared" si="45"/>
        <v>0</v>
      </c>
      <c r="AD210" t="str">
        <f>IFERROR(VLOOKUP(AC210,tbFactorMes,2,FALSE),"")</f>
        <v/>
      </c>
      <c r="AE210">
        <f t="shared" si="46"/>
        <v>0</v>
      </c>
      <c r="AH210" t="str">
        <f>IFERROR(VLOOKUP(AG210,tbFactorMes,2,FALSE),"")</f>
        <v/>
      </c>
      <c r="AI210">
        <f t="shared" si="47"/>
        <v>0</v>
      </c>
      <c r="AL210" t="str">
        <f>IFERROR(VLOOKUP(AK210,tbFactorMes,2,FALSE),"")</f>
        <v/>
      </c>
      <c r="AM210">
        <f t="shared" si="48"/>
        <v>0</v>
      </c>
      <c r="AP210" t="str">
        <f>IFERROR(VLOOKUP(AO210,tbFactorMes,2,FALSE),"")</f>
        <v/>
      </c>
      <c r="AQ210">
        <f t="shared" si="49"/>
        <v>0</v>
      </c>
      <c r="AT210" t="str">
        <f>IFERROR(VLOOKUP(AS210,tbFactorMes,2,FALSE),"")</f>
        <v/>
      </c>
      <c r="AU210">
        <f t="shared" si="50"/>
        <v>0</v>
      </c>
      <c r="AX210" t="str">
        <f>IFERROR(VLOOKUP(AW210,tbFactorMes,2,FALSE),"")</f>
        <v/>
      </c>
      <c r="AY210">
        <f t="shared" si="51"/>
        <v>0</v>
      </c>
      <c r="BB210" t="str">
        <f>IFERROR(VLOOKUP(BA210,tbFactorMes,2,FALSE),"")</f>
        <v/>
      </c>
      <c r="BC210">
        <f t="shared" si="52"/>
        <v>0</v>
      </c>
      <c r="BF210" t="str">
        <f>IFERROR(VLOOKUP(BE210,tbFactorMes,2,FALSE),"")</f>
        <v/>
      </c>
      <c r="BG210">
        <f t="shared" si="53"/>
        <v>0</v>
      </c>
      <c r="BH210">
        <f t="shared" si="54"/>
        <v>0</v>
      </c>
      <c r="BI210">
        <f t="shared" si="55"/>
        <v>0</v>
      </c>
    </row>
    <row r="211" spans="11:61" x14ac:dyDescent="0.35">
      <c r="K211" t="str">
        <f>IFERROR(VLOOKUP(F211,tbTurnos,3,FALSE),"")</f>
        <v/>
      </c>
      <c r="N211" t="str">
        <f>IFERROR(VLOOKUP(M211,tbFactorMes,2,FALSE),"")</f>
        <v/>
      </c>
      <c r="O211">
        <f t="shared" si="42"/>
        <v>0</v>
      </c>
      <c r="R211" t="str">
        <f>IFERROR(VLOOKUP(Q211,tbFactorMes,2,FALSE),"")</f>
        <v/>
      </c>
      <c r="S211">
        <f t="shared" si="43"/>
        <v>0</v>
      </c>
      <c r="V211" t="str">
        <f>IFERROR(VLOOKUP(U211,tbFactorMes,2,FALSE),"")</f>
        <v/>
      </c>
      <c r="W211">
        <f t="shared" si="44"/>
        <v>0</v>
      </c>
      <c r="Z211" t="str">
        <f>IFERROR(VLOOKUP(Y211,tbFactorMes,2,FALSE),"")</f>
        <v/>
      </c>
      <c r="AA211">
        <f t="shared" si="45"/>
        <v>0</v>
      </c>
      <c r="AD211" t="str">
        <f>IFERROR(VLOOKUP(AC211,tbFactorMes,2,FALSE),"")</f>
        <v/>
      </c>
      <c r="AE211">
        <f t="shared" si="46"/>
        <v>0</v>
      </c>
      <c r="AH211" t="str">
        <f>IFERROR(VLOOKUP(AG211,tbFactorMes,2,FALSE),"")</f>
        <v/>
      </c>
      <c r="AI211">
        <f t="shared" si="47"/>
        <v>0</v>
      </c>
      <c r="AL211" t="str">
        <f>IFERROR(VLOOKUP(AK211,tbFactorMes,2,FALSE),"")</f>
        <v/>
      </c>
      <c r="AM211">
        <f t="shared" si="48"/>
        <v>0</v>
      </c>
      <c r="AP211" t="str">
        <f>IFERROR(VLOOKUP(AO211,tbFactorMes,2,FALSE),"")</f>
        <v/>
      </c>
      <c r="AQ211">
        <f t="shared" si="49"/>
        <v>0</v>
      </c>
      <c r="AT211" t="str">
        <f>IFERROR(VLOOKUP(AS211,tbFactorMes,2,FALSE),"")</f>
        <v/>
      </c>
      <c r="AU211">
        <f t="shared" si="50"/>
        <v>0</v>
      </c>
      <c r="AX211" t="str">
        <f>IFERROR(VLOOKUP(AW211,tbFactorMes,2,FALSE),"")</f>
        <v/>
      </c>
      <c r="AY211">
        <f t="shared" si="51"/>
        <v>0</v>
      </c>
      <c r="BB211" t="str">
        <f>IFERROR(VLOOKUP(BA211,tbFactorMes,2,FALSE),"")</f>
        <v/>
      </c>
      <c r="BC211">
        <f t="shared" si="52"/>
        <v>0</v>
      </c>
      <c r="BF211" t="str">
        <f>IFERROR(VLOOKUP(BE211,tbFactorMes,2,FALSE),"")</f>
        <v/>
      </c>
      <c r="BG211">
        <f t="shared" si="53"/>
        <v>0</v>
      </c>
      <c r="BH211">
        <f t="shared" si="54"/>
        <v>0</v>
      </c>
      <c r="BI211">
        <f t="shared" si="55"/>
        <v>0</v>
      </c>
    </row>
    <row r="212" spans="11:61" x14ac:dyDescent="0.35">
      <c r="K212" t="str">
        <f>IFERROR(VLOOKUP(F212,tbTurnos,3,FALSE),"")</f>
        <v/>
      </c>
      <c r="N212" t="str">
        <f>IFERROR(VLOOKUP(M212,tbFactorMes,2,FALSE),"")</f>
        <v/>
      </c>
      <c r="O212">
        <f t="shared" si="42"/>
        <v>0</v>
      </c>
      <c r="R212" t="str">
        <f>IFERROR(VLOOKUP(Q212,tbFactorMes,2,FALSE),"")</f>
        <v/>
      </c>
      <c r="S212">
        <f t="shared" si="43"/>
        <v>0</v>
      </c>
      <c r="V212" t="str">
        <f>IFERROR(VLOOKUP(U212,tbFactorMes,2,FALSE),"")</f>
        <v/>
      </c>
      <c r="W212">
        <f t="shared" si="44"/>
        <v>0</v>
      </c>
      <c r="Z212" t="str">
        <f>IFERROR(VLOOKUP(Y212,tbFactorMes,2,FALSE),"")</f>
        <v/>
      </c>
      <c r="AA212">
        <f t="shared" si="45"/>
        <v>0</v>
      </c>
      <c r="AD212" t="str">
        <f>IFERROR(VLOOKUP(AC212,tbFactorMes,2,FALSE),"")</f>
        <v/>
      </c>
      <c r="AE212">
        <f t="shared" si="46"/>
        <v>0</v>
      </c>
      <c r="AH212" t="str">
        <f>IFERROR(VLOOKUP(AG212,tbFactorMes,2,FALSE),"")</f>
        <v/>
      </c>
      <c r="AI212">
        <f t="shared" si="47"/>
        <v>0</v>
      </c>
      <c r="AL212" t="str">
        <f>IFERROR(VLOOKUP(AK212,tbFactorMes,2,FALSE),"")</f>
        <v/>
      </c>
      <c r="AM212">
        <f t="shared" si="48"/>
        <v>0</v>
      </c>
      <c r="AP212" t="str">
        <f>IFERROR(VLOOKUP(AO212,tbFactorMes,2,FALSE),"")</f>
        <v/>
      </c>
      <c r="AQ212">
        <f t="shared" si="49"/>
        <v>0</v>
      </c>
      <c r="AT212" t="str">
        <f>IFERROR(VLOOKUP(AS212,tbFactorMes,2,FALSE),"")</f>
        <v/>
      </c>
      <c r="AU212">
        <f t="shared" si="50"/>
        <v>0</v>
      </c>
      <c r="AX212" t="str">
        <f>IFERROR(VLOOKUP(AW212,tbFactorMes,2,FALSE),"")</f>
        <v/>
      </c>
      <c r="AY212">
        <f t="shared" si="51"/>
        <v>0</v>
      </c>
      <c r="BB212" t="str">
        <f>IFERROR(VLOOKUP(BA212,tbFactorMes,2,FALSE),"")</f>
        <v/>
      </c>
      <c r="BC212">
        <f t="shared" si="52"/>
        <v>0</v>
      </c>
      <c r="BF212" t="str">
        <f>IFERROR(VLOOKUP(BE212,tbFactorMes,2,FALSE),"")</f>
        <v/>
      </c>
      <c r="BG212">
        <f t="shared" si="53"/>
        <v>0</v>
      </c>
      <c r="BH212">
        <f t="shared" si="54"/>
        <v>0</v>
      </c>
      <c r="BI212">
        <f t="shared" si="55"/>
        <v>0</v>
      </c>
    </row>
    <row r="213" spans="11:61" x14ac:dyDescent="0.35">
      <c r="K213" t="str">
        <f>IFERROR(VLOOKUP(F213,tbTurnos,3,FALSE),"")</f>
        <v/>
      </c>
      <c r="N213" t="str">
        <f>IFERROR(VLOOKUP(M213,tbFactorMes,2,FALSE),"")</f>
        <v/>
      </c>
      <c r="O213">
        <f t="shared" si="42"/>
        <v>0</v>
      </c>
      <c r="R213" t="str">
        <f>IFERROR(VLOOKUP(Q213,tbFactorMes,2,FALSE),"")</f>
        <v/>
      </c>
      <c r="S213">
        <f t="shared" si="43"/>
        <v>0</v>
      </c>
      <c r="V213" t="str">
        <f>IFERROR(VLOOKUP(U213,tbFactorMes,2,FALSE),"")</f>
        <v/>
      </c>
      <c r="W213">
        <f t="shared" si="44"/>
        <v>0</v>
      </c>
      <c r="Z213" t="str">
        <f>IFERROR(VLOOKUP(Y213,tbFactorMes,2,FALSE),"")</f>
        <v/>
      </c>
      <c r="AA213">
        <f t="shared" si="45"/>
        <v>0</v>
      </c>
      <c r="AD213" t="str">
        <f>IFERROR(VLOOKUP(AC213,tbFactorMes,2,FALSE),"")</f>
        <v/>
      </c>
      <c r="AE213">
        <f t="shared" si="46"/>
        <v>0</v>
      </c>
      <c r="AH213" t="str">
        <f>IFERROR(VLOOKUP(AG213,tbFactorMes,2,FALSE),"")</f>
        <v/>
      </c>
      <c r="AI213">
        <f t="shared" si="47"/>
        <v>0</v>
      </c>
      <c r="AL213" t="str">
        <f>IFERROR(VLOOKUP(AK213,tbFactorMes,2,FALSE),"")</f>
        <v/>
      </c>
      <c r="AM213">
        <f t="shared" si="48"/>
        <v>0</v>
      </c>
      <c r="AP213" t="str">
        <f>IFERROR(VLOOKUP(AO213,tbFactorMes,2,FALSE),"")</f>
        <v/>
      </c>
      <c r="AQ213">
        <f t="shared" si="49"/>
        <v>0</v>
      </c>
      <c r="AT213" t="str">
        <f>IFERROR(VLOOKUP(AS213,tbFactorMes,2,FALSE),"")</f>
        <v/>
      </c>
      <c r="AU213">
        <f t="shared" si="50"/>
        <v>0</v>
      </c>
      <c r="AX213" t="str">
        <f>IFERROR(VLOOKUP(AW213,tbFactorMes,2,FALSE),"")</f>
        <v/>
      </c>
      <c r="AY213">
        <f t="shared" si="51"/>
        <v>0</v>
      </c>
      <c r="BB213" t="str">
        <f>IFERROR(VLOOKUP(BA213,tbFactorMes,2,FALSE),"")</f>
        <v/>
      </c>
      <c r="BC213">
        <f t="shared" si="52"/>
        <v>0</v>
      </c>
      <c r="BF213" t="str">
        <f>IFERROR(VLOOKUP(BE213,tbFactorMes,2,FALSE),"")</f>
        <v/>
      </c>
      <c r="BG213">
        <f t="shared" si="53"/>
        <v>0</v>
      </c>
      <c r="BH213">
        <f t="shared" si="54"/>
        <v>0</v>
      </c>
      <c r="BI213">
        <f t="shared" si="55"/>
        <v>0</v>
      </c>
    </row>
    <row r="214" spans="11:61" x14ac:dyDescent="0.35">
      <c r="K214" t="str">
        <f>IFERROR(VLOOKUP(F214,tbTurnos,3,FALSE),"")</f>
        <v/>
      </c>
      <c r="N214" t="str">
        <f>IFERROR(VLOOKUP(M214,tbFactorMes,2,FALSE),"")</f>
        <v/>
      </c>
      <c r="O214">
        <f t="shared" si="42"/>
        <v>0</v>
      </c>
      <c r="R214" t="str">
        <f>IFERROR(VLOOKUP(Q214,tbFactorMes,2,FALSE),"")</f>
        <v/>
      </c>
      <c r="S214">
        <f t="shared" si="43"/>
        <v>0</v>
      </c>
      <c r="V214" t="str">
        <f>IFERROR(VLOOKUP(U214,tbFactorMes,2,FALSE),"")</f>
        <v/>
      </c>
      <c r="W214">
        <f t="shared" si="44"/>
        <v>0</v>
      </c>
      <c r="Z214" t="str">
        <f>IFERROR(VLOOKUP(Y214,tbFactorMes,2,FALSE),"")</f>
        <v/>
      </c>
      <c r="AA214">
        <f t="shared" si="45"/>
        <v>0</v>
      </c>
      <c r="AD214" t="str">
        <f>IFERROR(VLOOKUP(AC214,tbFactorMes,2,FALSE),"")</f>
        <v/>
      </c>
      <c r="AE214">
        <f t="shared" si="46"/>
        <v>0</v>
      </c>
      <c r="AH214" t="str">
        <f>IFERROR(VLOOKUP(AG214,tbFactorMes,2,FALSE),"")</f>
        <v/>
      </c>
      <c r="AI214">
        <f t="shared" si="47"/>
        <v>0</v>
      </c>
      <c r="AL214" t="str">
        <f>IFERROR(VLOOKUP(AK214,tbFactorMes,2,FALSE),"")</f>
        <v/>
      </c>
      <c r="AM214">
        <f t="shared" si="48"/>
        <v>0</v>
      </c>
      <c r="AP214" t="str">
        <f>IFERROR(VLOOKUP(AO214,tbFactorMes,2,FALSE),"")</f>
        <v/>
      </c>
      <c r="AQ214">
        <f t="shared" si="49"/>
        <v>0</v>
      </c>
      <c r="AT214" t="str">
        <f>IFERROR(VLOOKUP(AS214,tbFactorMes,2,FALSE),"")</f>
        <v/>
      </c>
      <c r="AU214">
        <f t="shared" si="50"/>
        <v>0</v>
      </c>
      <c r="AX214" t="str">
        <f>IFERROR(VLOOKUP(AW214,tbFactorMes,2,FALSE),"")</f>
        <v/>
      </c>
      <c r="AY214">
        <f t="shared" si="51"/>
        <v>0</v>
      </c>
      <c r="BB214" t="str">
        <f>IFERROR(VLOOKUP(BA214,tbFactorMes,2,FALSE),"")</f>
        <v/>
      </c>
      <c r="BC214">
        <f t="shared" si="52"/>
        <v>0</v>
      </c>
      <c r="BF214" t="str">
        <f>IFERROR(VLOOKUP(BE214,tbFactorMes,2,FALSE),"")</f>
        <v/>
      </c>
      <c r="BG214">
        <f t="shared" si="53"/>
        <v>0</v>
      </c>
      <c r="BH214">
        <f t="shared" si="54"/>
        <v>0</v>
      </c>
      <c r="BI214">
        <f t="shared" si="55"/>
        <v>0</v>
      </c>
    </row>
    <row r="215" spans="11:61" x14ac:dyDescent="0.35">
      <c r="K215" t="str">
        <f>IFERROR(VLOOKUP(F215,tbTurnos,3,FALSE),"")</f>
        <v/>
      </c>
      <c r="N215" t="str">
        <f>IFERROR(VLOOKUP(M215,tbFactorMes,2,FALSE),"")</f>
        <v/>
      </c>
      <c r="O215">
        <f t="shared" si="42"/>
        <v>0</v>
      </c>
      <c r="R215" t="str">
        <f>IFERROR(VLOOKUP(Q215,tbFactorMes,2,FALSE),"")</f>
        <v/>
      </c>
      <c r="S215">
        <f t="shared" si="43"/>
        <v>0</v>
      </c>
      <c r="V215" t="str">
        <f>IFERROR(VLOOKUP(U215,tbFactorMes,2,FALSE),"")</f>
        <v/>
      </c>
      <c r="W215">
        <f t="shared" si="44"/>
        <v>0</v>
      </c>
      <c r="Z215" t="str">
        <f>IFERROR(VLOOKUP(Y215,tbFactorMes,2,FALSE),"")</f>
        <v/>
      </c>
      <c r="AA215">
        <f t="shared" si="45"/>
        <v>0</v>
      </c>
      <c r="AD215" t="str">
        <f>IFERROR(VLOOKUP(AC215,tbFactorMes,2,FALSE),"")</f>
        <v/>
      </c>
      <c r="AE215">
        <f t="shared" si="46"/>
        <v>0</v>
      </c>
      <c r="AH215" t="str">
        <f>IFERROR(VLOOKUP(AG215,tbFactorMes,2,FALSE),"")</f>
        <v/>
      </c>
      <c r="AI215">
        <f t="shared" si="47"/>
        <v>0</v>
      </c>
      <c r="AL215" t="str">
        <f>IFERROR(VLOOKUP(AK215,tbFactorMes,2,FALSE),"")</f>
        <v/>
      </c>
      <c r="AM215">
        <f t="shared" si="48"/>
        <v>0</v>
      </c>
      <c r="AP215" t="str">
        <f>IFERROR(VLOOKUP(AO215,tbFactorMes,2,FALSE),"")</f>
        <v/>
      </c>
      <c r="AQ215">
        <f t="shared" si="49"/>
        <v>0</v>
      </c>
      <c r="AT215" t="str">
        <f>IFERROR(VLOOKUP(AS215,tbFactorMes,2,FALSE),"")</f>
        <v/>
      </c>
      <c r="AU215">
        <f t="shared" si="50"/>
        <v>0</v>
      </c>
      <c r="AX215" t="str">
        <f>IFERROR(VLOOKUP(AW215,tbFactorMes,2,FALSE),"")</f>
        <v/>
      </c>
      <c r="AY215">
        <f t="shared" si="51"/>
        <v>0</v>
      </c>
      <c r="BB215" t="str">
        <f>IFERROR(VLOOKUP(BA215,tbFactorMes,2,FALSE),"")</f>
        <v/>
      </c>
      <c r="BC215">
        <f t="shared" si="52"/>
        <v>0</v>
      </c>
      <c r="BF215" t="str">
        <f>IFERROR(VLOOKUP(BE215,tbFactorMes,2,FALSE),"")</f>
        <v/>
      </c>
      <c r="BG215">
        <f t="shared" si="53"/>
        <v>0</v>
      </c>
      <c r="BH215">
        <f t="shared" si="54"/>
        <v>0</v>
      </c>
      <c r="BI215">
        <f t="shared" si="55"/>
        <v>0</v>
      </c>
    </row>
    <row r="216" spans="11:61" x14ac:dyDescent="0.35">
      <c r="K216" t="str">
        <f>IFERROR(VLOOKUP(F216,tbTurnos,3,FALSE),"")</f>
        <v/>
      </c>
      <c r="N216" t="str">
        <f>IFERROR(VLOOKUP(M216,tbFactorMes,2,FALSE),"")</f>
        <v/>
      </c>
      <c r="O216">
        <f t="shared" si="42"/>
        <v>0</v>
      </c>
      <c r="R216" t="str">
        <f>IFERROR(VLOOKUP(Q216,tbFactorMes,2,FALSE),"")</f>
        <v/>
      </c>
      <c r="S216">
        <f t="shared" si="43"/>
        <v>0</v>
      </c>
      <c r="V216" t="str">
        <f>IFERROR(VLOOKUP(U216,tbFactorMes,2,FALSE),"")</f>
        <v/>
      </c>
      <c r="W216">
        <f t="shared" si="44"/>
        <v>0</v>
      </c>
      <c r="Z216" t="str">
        <f>IFERROR(VLOOKUP(Y216,tbFactorMes,2,FALSE),"")</f>
        <v/>
      </c>
      <c r="AA216">
        <f t="shared" si="45"/>
        <v>0</v>
      </c>
      <c r="AD216" t="str">
        <f>IFERROR(VLOOKUP(AC216,tbFactorMes,2,FALSE),"")</f>
        <v/>
      </c>
      <c r="AE216">
        <f t="shared" si="46"/>
        <v>0</v>
      </c>
      <c r="AH216" t="str">
        <f>IFERROR(VLOOKUP(AG216,tbFactorMes,2,FALSE),"")</f>
        <v/>
      </c>
      <c r="AI216">
        <f t="shared" si="47"/>
        <v>0</v>
      </c>
      <c r="AL216" t="str">
        <f>IFERROR(VLOOKUP(AK216,tbFactorMes,2,FALSE),"")</f>
        <v/>
      </c>
      <c r="AM216">
        <f t="shared" si="48"/>
        <v>0</v>
      </c>
      <c r="AP216" t="str">
        <f>IFERROR(VLOOKUP(AO216,tbFactorMes,2,FALSE),"")</f>
        <v/>
      </c>
      <c r="AQ216">
        <f t="shared" si="49"/>
        <v>0</v>
      </c>
      <c r="AT216" t="str">
        <f>IFERROR(VLOOKUP(AS216,tbFactorMes,2,FALSE),"")</f>
        <v/>
      </c>
      <c r="AU216">
        <f t="shared" si="50"/>
        <v>0</v>
      </c>
      <c r="AX216" t="str">
        <f>IFERROR(VLOOKUP(AW216,tbFactorMes,2,FALSE),"")</f>
        <v/>
      </c>
      <c r="AY216">
        <f t="shared" si="51"/>
        <v>0</v>
      </c>
      <c r="BB216" t="str">
        <f>IFERROR(VLOOKUP(BA216,tbFactorMes,2,FALSE),"")</f>
        <v/>
      </c>
      <c r="BC216">
        <f t="shared" si="52"/>
        <v>0</v>
      </c>
      <c r="BF216" t="str">
        <f>IFERROR(VLOOKUP(BE216,tbFactorMes,2,FALSE),"")</f>
        <v/>
      </c>
      <c r="BG216">
        <f t="shared" si="53"/>
        <v>0</v>
      </c>
      <c r="BH216">
        <f t="shared" si="54"/>
        <v>0</v>
      </c>
      <c r="BI216">
        <f t="shared" si="55"/>
        <v>0</v>
      </c>
    </row>
    <row r="217" spans="11:61" x14ac:dyDescent="0.35">
      <c r="K217" t="str">
        <f>IFERROR(VLOOKUP(F217,tbTurnos,3,FALSE),"")</f>
        <v/>
      </c>
      <c r="N217" t="str">
        <f>IFERROR(VLOOKUP(M217,tbFactorMes,2,FALSE),"")</f>
        <v/>
      </c>
      <c r="O217">
        <f t="shared" si="42"/>
        <v>0</v>
      </c>
      <c r="R217" t="str">
        <f>IFERROR(VLOOKUP(Q217,tbFactorMes,2,FALSE),"")</f>
        <v/>
      </c>
      <c r="S217">
        <f t="shared" si="43"/>
        <v>0</v>
      </c>
      <c r="V217" t="str">
        <f>IFERROR(VLOOKUP(U217,tbFactorMes,2,FALSE),"")</f>
        <v/>
      </c>
      <c r="W217">
        <f t="shared" si="44"/>
        <v>0</v>
      </c>
      <c r="Z217" t="str">
        <f>IFERROR(VLOOKUP(Y217,tbFactorMes,2,FALSE),"")</f>
        <v/>
      </c>
      <c r="AA217">
        <f t="shared" si="45"/>
        <v>0</v>
      </c>
      <c r="AD217" t="str">
        <f>IFERROR(VLOOKUP(AC217,tbFactorMes,2,FALSE),"")</f>
        <v/>
      </c>
      <c r="AE217">
        <f t="shared" si="46"/>
        <v>0</v>
      </c>
      <c r="AH217" t="str">
        <f>IFERROR(VLOOKUP(AG217,tbFactorMes,2,FALSE),"")</f>
        <v/>
      </c>
      <c r="AI217">
        <f t="shared" si="47"/>
        <v>0</v>
      </c>
      <c r="AL217" t="str">
        <f>IFERROR(VLOOKUP(AK217,tbFactorMes,2,FALSE),"")</f>
        <v/>
      </c>
      <c r="AM217">
        <f t="shared" si="48"/>
        <v>0</v>
      </c>
      <c r="AP217" t="str">
        <f>IFERROR(VLOOKUP(AO217,tbFactorMes,2,FALSE),"")</f>
        <v/>
      </c>
      <c r="AQ217">
        <f t="shared" si="49"/>
        <v>0</v>
      </c>
      <c r="AT217" t="str">
        <f>IFERROR(VLOOKUP(AS217,tbFactorMes,2,FALSE),"")</f>
        <v/>
      </c>
      <c r="AU217">
        <f t="shared" si="50"/>
        <v>0</v>
      </c>
      <c r="AX217" t="str">
        <f>IFERROR(VLOOKUP(AW217,tbFactorMes,2,FALSE),"")</f>
        <v/>
      </c>
      <c r="AY217">
        <f t="shared" si="51"/>
        <v>0</v>
      </c>
      <c r="BB217" t="str">
        <f>IFERROR(VLOOKUP(BA217,tbFactorMes,2,FALSE),"")</f>
        <v/>
      </c>
      <c r="BC217">
        <f t="shared" si="52"/>
        <v>0</v>
      </c>
      <c r="BF217" t="str">
        <f>IFERROR(VLOOKUP(BE217,tbFactorMes,2,FALSE),"")</f>
        <v/>
      </c>
      <c r="BG217">
        <f t="shared" si="53"/>
        <v>0</v>
      </c>
      <c r="BH217">
        <f t="shared" si="54"/>
        <v>0</v>
      </c>
      <c r="BI217">
        <f t="shared" si="55"/>
        <v>0</v>
      </c>
    </row>
    <row r="218" spans="11:61" x14ac:dyDescent="0.35">
      <c r="K218" t="str">
        <f>IFERROR(VLOOKUP(F218,tbTurnos,3,FALSE),"")</f>
        <v/>
      </c>
      <c r="N218" t="str">
        <f>IFERROR(VLOOKUP(M218,tbFactorMes,2,FALSE),"")</f>
        <v/>
      </c>
      <c r="O218">
        <f t="shared" si="42"/>
        <v>0</v>
      </c>
      <c r="R218" t="str">
        <f>IFERROR(VLOOKUP(Q218,tbFactorMes,2,FALSE),"")</f>
        <v/>
      </c>
      <c r="S218">
        <f t="shared" si="43"/>
        <v>0</v>
      </c>
      <c r="V218" t="str">
        <f>IFERROR(VLOOKUP(U218,tbFactorMes,2,FALSE),"")</f>
        <v/>
      </c>
      <c r="W218">
        <f t="shared" si="44"/>
        <v>0</v>
      </c>
      <c r="Z218" t="str">
        <f>IFERROR(VLOOKUP(Y218,tbFactorMes,2,FALSE),"")</f>
        <v/>
      </c>
      <c r="AA218">
        <f t="shared" si="45"/>
        <v>0</v>
      </c>
      <c r="AD218" t="str">
        <f>IFERROR(VLOOKUP(AC218,tbFactorMes,2,FALSE),"")</f>
        <v/>
      </c>
      <c r="AE218">
        <f t="shared" si="46"/>
        <v>0</v>
      </c>
      <c r="AH218" t="str">
        <f>IFERROR(VLOOKUP(AG218,tbFactorMes,2,FALSE),"")</f>
        <v/>
      </c>
      <c r="AI218">
        <f t="shared" si="47"/>
        <v>0</v>
      </c>
      <c r="AL218" t="str">
        <f>IFERROR(VLOOKUP(AK218,tbFactorMes,2,FALSE),"")</f>
        <v/>
      </c>
      <c r="AM218">
        <f t="shared" si="48"/>
        <v>0</v>
      </c>
      <c r="AP218" t="str">
        <f>IFERROR(VLOOKUP(AO218,tbFactorMes,2,FALSE),"")</f>
        <v/>
      </c>
      <c r="AQ218">
        <f t="shared" si="49"/>
        <v>0</v>
      </c>
      <c r="AT218" t="str">
        <f>IFERROR(VLOOKUP(AS218,tbFactorMes,2,FALSE),"")</f>
        <v/>
      </c>
      <c r="AU218">
        <f t="shared" si="50"/>
        <v>0</v>
      </c>
      <c r="AX218" t="str">
        <f>IFERROR(VLOOKUP(AW218,tbFactorMes,2,FALSE),"")</f>
        <v/>
      </c>
      <c r="AY218">
        <f t="shared" si="51"/>
        <v>0</v>
      </c>
      <c r="BB218" t="str">
        <f>IFERROR(VLOOKUP(BA218,tbFactorMes,2,FALSE),"")</f>
        <v/>
      </c>
      <c r="BC218">
        <f t="shared" si="52"/>
        <v>0</v>
      </c>
      <c r="BF218" t="str">
        <f>IFERROR(VLOOKUP(BE218,tbFactorMes,2,FALSE),"")</f>
        <v/>
      </c>
      <c r="BG218">
        <f t="shared" si="53"/>
        <v>0</v>
      </c>
      <c r="BH218">
        <f t="shared" si="54"/>
        <v>0</v>
      </c>
      <c r="BI218">
        <f t="shared" si="55"/>
        <v>0</v>
      </c>
    </row>
    <row r="219" spans="11:61" x14ac:dyDescent="0.35">
      <c r="K219" t="str">
        <f>IFERROR(VLOOKUP(F219,tbTurnos,3,FALSE),"")</f>
        <v/>
      </c>
      <c r="N219" t="str">
        <f>IFERROR(VLOOKUP(M219,tbFactorMes,2,FALSE),"")</f>
        <v/>
      </c>
      <c r="O219">
        <f t="shared" si="42"/>
        <v>0</v>
      </c>
      <c r="R219" t="str">
        <f>IFERROR(VLOOKUP(Q219,tbFactorMes,2,FALSE),"")</f>
        <v/>
      </c>
      <c r="S219">
        <f t="shared" si="43"/>
        <v>0</v>
      </c>
      <c r="V219" t="str">
        <f>IFERROR(VLOOKUP(U219,tbFactorMes,2,FALSE),"")</f>
        <v/>
      </c>
      <c r="W219">
        <f t="shared" si="44"/>
        <v>0</v>
      </c>
      <c r="Z219" t="str">
        <f>IFERROR(VLOOKUP(Y219,tbFactorMes,2,FALSE),"")</f>
        <v/>
      </c>
      <c r="AA219">
        <f t="shared" si="45"/>
        <v>0</v>
      </c>
      <c r="AD219" t="str">
        <f>IFERROR(VLOOKUP(AC219,tbFactorMes,2,FALSE),"")</f>
        <v/>
      </c>
      <c r="AE219">
        <f t="shared" si="46"/>
        <v>0</v>
      </c>
      <c r="AH219" t="str">
        <f>IFERROR(VLOOKUP(AG219,tbFactorMes,2,FALSE),"")</f>
        <v/>
      </c>
      <c r="AI219">
        <f t="shared" si="47"/>
        <v>0</v>
      </c>
      <c r="AL219" t="str">
        <f>IFERROR(VLOOKUP(AK219,tbFactorMes,2,FALSE),"")</f>
        <v/>
      </c>
      <c r="AM219">
        <f t="shared" si="48"/>
        <v>0</v>
      </c>
      <c r="AP219" t="str">
        <f>IFERROR(VLOOKUP(AO219,tbFactorMes,2,FALSE),"")</f>
        <v/>
      </c>
      <c r="AQ219">
        <f t="shared" si="49"/>
        <v>0</v>
      </c>
      <c r="AT219" t="str">
        <f>IFERROR(VLOOKUP(AS219,tbFactorMes,2,FALSE),"")</f>
        <v/>
      </c>
      <c r="AU219">
        <f t="shared" si="50"/>
        <v>0</v>
      </c>
      <c r="AX219" t="str">
        <f>IFERROR(VLOOKUP(AW219,tbFactorMes,2,FALSE),"")</f>
        <v/>
      </c>
      <c r="AY219">
        <f t="shared" si="51"/>
        <v>0</v>
      </c>
      <c r="BB219" t="str">
        <f>IFERROR(VLOOKUP(BA219,tbFactorMes,2,FALSE),"")</f>
        <v/>
      </c>
      <c r="BC219">
        <f t="shared" si="52"/>
        <v>0</v>
      </c>
      <c r="BF219" t="str">
        <f>IFERROR(VLOOKUP(BE219,tbFactorMes,2,FALSE),"")</f>
        <v/>
      </c>
      <c r="BG219">
        <f t="shared" si="53"/>
        <v>0</v>
      </c>
      <c r="BH219">
        <f t="shared" si="54"/>
        <v>0</v>
      </c>
      <c r="BI219">
        <f t="shared" si="55"/>
        <v>0</v>
      </c>
    </row>
    <row r="220" spans="11:61" x14ac:dyDescent="0.35">
      <c r="K220" t="str">
        <f>IFERROR(VLOOKUP(F220,tbTurnos,3,FALSE),"")</f>
        <v/>
      </c>
      <c r="N220" t="str">
        <f>IFERROR(VLOOKUP(M220,tbFactorMes,2,FALSE),"")</f>
        <v/>
      </c>
      <c r="O220">
        <f t="shared" si="42"/>
        <v>0</v>
      </c>
      <c r="R220" t="str">
        <f>IFERROR(VLOOKUP(Q220,tbFactorMes,2,FALSE),"")</f>
        <v/>
      </c>
      <c r="S220">
        <f t="shared" si="43"/>
        <v>0</v>
      </c>
      <c r="V220" t="str">
        <f>IFERROR(VLOOKUP(U220,tbFactorMes,2,FALSE),"")</f>
        <v/>
      </c>
      <c r="W220">
        <f t="shared" si="44"/>
        <v>0</v>
      </c>
      <c r="Z220" t="str">
        <f>IFERROR(VLOOKUP(Y220,tbFactorMes,2,FALSE),"")</f>
        <v/>
      </c>
      <c r="AA220">
        <f t="shared" si="45"/>
        <v>0</v>
      </c>
      <c r="AD220" t="str">
        <f>IFERROR(VLOOKUP(AC220,tbFactorMes,2,FALSE),"")</f>
        <v/>
      </c>
      <c r="AE220">
        <f t="shared" si="46"/>
        <v>0</v>
      </c>
      <c r="AH220" t="str">
        <f>IFERROR(VLOOKUP(AG220,tbFactorMes,2,FALSE),"")</f>
        <v/>
      </c>
      <c r="AI220">
        <f t="shared" si="47"/>
        <v>0</v>
      </c>
      <c r="AL220" t="str">
        <f>IFERROR(VLOOKUP(AK220,tbFactorMes,2,FALSE),"")</f>
        <v/>
      </c>
      <c r="AM220">
        <f t="shared" si="48"/>
        <v>0</v>
      </c>
      <c r="AP220" t="str">
        <f>IFERROR(VLOOKUP(AO220,tbFactorMes,2,FALSE),"")</f>
        <v/>
      </c>
      <c r="AQ220">
        <f t="shared" si="49"/>
        <v>0</v>
      </c>
      <c r="AT220" t="str">
        <f>IFERROR(VLOOKUP(AS220,tbFactorMes,2,FALSE),"")</f>
        <v/>
      </c>
      <c r="AU220">
        <f t="shared" si="50"/>
        <v>0</v>
      </c>
      <c r="AX220" t="str">
        <f>IFERROR(VLOOKUP(AW220,tbFactorMes,2,FALSE),"")</f>
        <v/>
      </c>
      <c r="AY220">
        <f t="shared" si="51"/>
        <v>0</v>
      </c>
      <c r="BB220" t="str">
        <f>IFERROR(VLOOKUP(BA220,tbFactorMes,2,FALSE),"")</f>
        <v/>
      </c>
      <c r="BC220">
        <f t="shared" si="52"/>
        <v>0</v>
      </c>
      <c r="BF220" t="str">
        <f>IFERROR(VLOOKUP(BE220,tbFactorMes,2,FALSE),"")</f>
        <v/>
      </c>
      <c r="BG220">
        <f t="shared" si="53"/>
        <v>0</v>
      </c>
      <c r="BH220">
        <f t="shared" si="54"/>
        <v>0</v>
      </c>
      <c r="BI220">
        <f t="shared" si="55"/>
        <v>0</v>
      </c>
    </row>
    <row r="221" spans="11:61" x14ac:dyDescent="0.35">
      <c r="K221" t="str">
        <f>IFERROR(VLOOKUP(F221,tbTurnos,3,FALSE),"")</f>
        <v/>
      </c>
      <c r="N221" t="str">
        <f>IFERROR(VLOOKUP(M221,tbFactorMes,2,FALSE),"")</f>
        <v/>
      </c>
      <c r="O221">
        <f t="shared" si="42"/>
        <v>0</v>
      </c>
      <c r="R221" t="str">
        <f>IFERROR(VLOOKUP(Q221,tbFactorMes,2,FALSE),"")</f>
        <v/>
      </c>
      <c r="S221">
        <f t="shared" si="43"/>
        <v>0</v>
      </c>
      <c r="V221" t="str">
        <f>IFERROR(VLOOKUP(U221,tbFactorMes,2,FALSE),"")</f>
        <v/>
      </c>
      <c r="W221">
        <f t="shared" si="44"/>
        <v>0</v>
      </c>
      <c r="Z221" t="str">
        <f>IFERROR(VLOOKUP(Y221,tbFactorMes,2,FALSE),"")</f>
        <v/>
      </c>
      <c r="AA221">
        <f t="shared" si="45"/>
        <v>0</v>
      </c>
      <c r="AD221" t="str">
        <f>IFERROR(VLOOKUP(AC221,tbFactorMes,2,FALSE),"")</f>
        <v/>
      </c>
      <c r="AE221">
        <f t="shared" si="46"/>
        <v>0</v>
      </c>
      <c r="AH221" t="str">
        <f>IFERROR(VLOOKUP(AG221,tbFactorMes,2,FALSE),"")</f>
        <v/>
      </c>
      <c r="AI221">
        <f t="shared" si="47"/>
        <v>0</v>
      </c>
      <c r="AL221" t="str">
        <f>IFERROR(VLOOKUP(AK221,tbFactorMes,2,FALSE),"")</f>
        <v/>
      </c>
      <c r="AM221">
        <f t="shared" si="48"/>
        <v>0</v>
      </c>
      <c r="AP221" t="str">
        <f>IFERROR(VLOOKUP(AO221,tbFactorMes,2,FALSE),"")</f>
        <v/>
      </c>
      <c r="AQ221">
        <f t="shared" si="49"/>
        <v>0</v>
      </c>
      <c r="AT221" t="str">
        <f>IFERROR(VLOOKUP(AS221,tbFactorMes,2,FALSE),"")</f>
        <v/>
      </c>
      <c r="AU221">
        <f t="shared" si="50"/>
        <v>0</v>
      </c>
      <c r="AX221" t="str">
        <f>IFERROR(VLOOKUP(AW221,tbFactorMes,2,FALSE),"")</f>
        <v/>
      </c>
      <c r="AY221">
        <f t="shared" si="51"/>
        <v>0</v>
      </c>
      <c r="BB221" t="str">
        <f>IFERROR(VLOOKUP(BA221,tbFactorMes,2,FALSE),"")</f>
        <v/>
      </c>
      <c r="BC221">
        <f t="shared" si="52"/>
        <v>0</v>
      </c>
      <c r="BF221" t="str">
        <f>IFERROR(VLOOKUP(BE221,tbFactorMes,2,FALSE),"")</f>
        <v/>
      </c>
      <c r="BG221">
        <f t="shared" si="53"/>
        <v>0</v>
      </c>
      <c r="BH221">
        <f t="shared" si="54"/>
        <v>0</v>
      </c>
      <c r="BI221">
        <f t="shared" si="55"/>
        <v>0</v>
      </c>
    </row>
    <row r="222" spans="11:61" x14ac:dyDescent="0.35">
      <c r="K222" t="str">
        <f>IFERROR(VLOOKUP(F222,tbTurnos,3,FALSE),"")</f>
        <v/>
      </c>
      <c r="N222" t="str">
        <f>IFERROR(VLOOKUP(M222,tbFactorMes,2,FALSE),"")</f>
        <v/>
      </c>
      <c r="O222">
        <f t="shared" si="42"/>
        <v>0</v>
      </c>
      <c r="R222" t="str">
        <f>IFERROR(VLOOKUP(Q222,tbFactorMes,2,FALSE),"")</f>
        <v/>
      </c>
      <c r="S222">
        <f t="shared" si="43"/>
        <v>0</v>
      </c>
      <c r="V222" t="str">
        <f>IFERROR(VLOOKUP(U222,tbFactorMes,2,FALSE),"")</f>
        <v/>
      </c>
      <c r="W222">
        <f t="shared" si="44"/>
        <v>0</v>
      </c>
      <c r="Z222" t="str">
        <f>IFERROR(VLOOKUP(Y222,tbFactorMes,2,FALSE),"")</f>
        <v/>
      </c>
      <c r="AA222">
        <f t="shared" si="45"/>
        <v>0</v>
      </c>
      <c r="AD222" t="str">
        <f>IFERROR(VLOOKUP(AC222,tbFactorMes,2,FALSE),"")</f>
        <v/>
      </c>
      <c r="AE222">
        <f t="shared" si="46"/>
        <v>0</v>
      </c>
      <c r="AH222" t="str">
        <f>IFERROR(VLOOKUP(AG222,tbFactorMes,2,FALSE),"")</f>
        <v/>
      </c>
      <c r="AI222">
        <f t="shared" si="47"/>
        <v>0</v>
      </c>
      <c r="AL222" t="str">
        <f>IFERROR(VLOOKUP(AK222,tbFactorMes,2,FALSE),"")</f>
        <v/>
      </c>
      <c r="AM222">
        <f t="shared" si="48"/>
        <v>0</v>
      </c>
      <c r="AP222" t="str">
        <f>IFERROR(VLOOKUP(AO222,tbFactorMes,2,FALSE),"")</f>
        <v/>
      </c>
      <c r="AQ222">
        <f t="shared" si="49"/>
        <v>0</v>
      </c>
      <c r="AT222" t="str">
        <f>IFERROR(VLOOKUP(AS222,tbFactorMes,2,FALSE),"")</f>
        <v/>
      </c>
      <c r="AU222">
        <f t="shared" si="50"/>
        <v>0</v>
      </c>
      <c r="AX222" t="str">
        <f>IFERROR(VLOOKUP(AW222,tbFactorMes,2,FALSE),"")</f>
        <v/>
      </c>
      <c r="AY222">
        <f t="shared" si="51"/>
        <v>0</v>
      </c>
      <c r="BB222" t="str">
        <f>IFERROR(VLOOKUP(BA222,tbFactorMes,2,FALSE),"")</f>
        <v/>
      </c>
      <c r="BC222">
        <f t="shared" si="52"/>
        <v>0</v>
      </c>
      <c r="BF222" t="str">
        <f>IFERROR(VLOOKUP(BE222,tbFactorMes,2,FALSE),"")</f>
        <v/>
      </c>
      <c r="BG222">
        <f t="shared" si="53"/>
        <v>0</v>
      </c>
      <c r="BH222">
        <f t="shared" si="54"/>
        <v>0</v>
      </c>
      <c r="BI222">
        <f t="shared" si="55"/>
        <v>0</v>
      </c>
    </row>
    <row r="223" spans="11:61" x14ac:dyDescent="0.35">
      <c r="K223" t="str">
        <f>IFERROR(VLOOKUP(F223,tbTurnos,3,FALSE),"")</f>
        <v/>
      </c>
      <c r="N223" t="str">
        <f>IFERROR(VLOOKUP(M223,tbFactorMes,2,FALSE),"")</f>
        <v/>
      </c>
      <c r="O223">
        <f t="shared" si="42"/>
        <v>0</v>
      </c>
      <c r="R223" t="str">
        <f>IFERROR(VLOOKUP(Q223,tbFactorMes,2,FALSE),"")</f>
        <v/>
      </c>
      <c r="S223">
        <f t="shared" si="43"/>
        <v>0</v>
      </c>
      <c r="V223" t="str">
        <f>IFERROR(VLOOKUP(U223,tbFactorMes,2,FALSE),"")</f>
        <v/>
      </c>
      <c r="W223">
        <f t="shared" si="44"/>
        <v>0</v>
      </c>
      <c r="Z223" t="str">
        <f>IFERROR(VLOOKUP(Y223,tbFactorMes,2,FALSE),"")</f>
        <v/>
      </c>
      <c r="AA223">
        <f t="shared" si="45"/>
        <v>0</v>
      </c>
      <c r="AD223" t="str">
        <f>IFERROR(VLOOKUP(AC223,tbFactorMes,2,FALSE),"")</f>
        <v/>
      </c>
      <c r="AE223">
        <f t="shared" si="46"/>
        <v>0</v>
      </c>
      <c r="AH223" t="str">
        <f>IFERROR(VLOOKUP(AG223,tbFactorMes,2,FALSE),"")</f>
        <v/>
      </c>
      <c r="AI223">
        <f t="shared" si="47"/>
        <v>0</v>
      </c>
      <c r="AL223" t="str">
        <f>IFERROR(VLOOKUP(AK223,tbFactorMes,2,FALSE),"")</f>
        <v/>
      </c>
      <c r="AM223">
        <f t="shared" si="48"/>
        <v>0</v>
      </c>
      <c r="AP223" t="str">
        <f>IFERROR(VLOOKUP(AO223,tbFactorMes,2,FALSE),"")</f>
        <v/>
      </c>
      <c r="AQ223">
        <f t="shared" si="49"/>
        <v>0</v>
      </c>
      <c r="AT223" t="str">
        <f>IFERROR(VLOOKUP(AS223,tbFactorMes,2,FALSE),"")</f>
        <v/>
      </c>
      <c r="AU223">
        <f t="shared" si="50"/>
        <v>0</v>
      </c>
      <c r="AX223" t="str">
        <f>IFERROR(VLOOKUP(AW223,tbFactorMes,2,FALSE),"")</f>
        <v/>
      </c>
      <c r="AY223">
        <f t="shared" si="51"/>
        <v>0</v>
      </c>
      <c r="BB223" t="str">
        <f>IFERROR(VLOOKUP(BA223,tbFactorMes,2,FALSE),"")</f>
        <v/>
      </c>
      <c r="BC223">
        <f t="shared" si="52"/>
        <v>0</v>
      </c>
      <c r="BF223" t="str">
        <f>IFERROR(VLOOKUP(BE223,tbFactorMes,2,FALSE),"")</f>
        <v/>
      </c>
      <c r="BG223">
        <f t="shared" si="53"/>
        <v>0</v>
      </c>
      <c r="BH223">
        <f t="shared" si="54"/>
        <v>0</v>
      </c>
      <c r="BI223">
        <f t="shared" si="55"/>
        <v>0</v>
      </c>
    </row>
    <row r="224" spans="11:61" x14ac:dyDescent="0.35">
      <c r="K224" t="str">
        <f>IFERROR(VLOOKUP(F224,tbTurnos,3,FALSE),"")</f>
        <v/>
      </c>
      <c r="N224" t="str">
        <f>IFERROR(VLOOKUP(M224,tbFactorMes,2,FALSE),"")</f>
        <v/>
      </c>
      <c r="O224">
        <f t="shared" si="42"/>
        <v>0</v>
      </c>
      <c r="R224" t="str">
        <f>IFERROR(VLOOKUP(Q224,tbFactorMes,2,FALSE),"")</f>
        <v/>
      </c>
      <c r="S224">
        <f t="shared" si="43"/>
        <v>0</v>
      </c>
      <c r="V224" t="str">
        <f>IFERROR(VLOOKUP(U224,tbFactorMes,2,FALSE),"")</f>
        <v/>
      </c>
      <c r="W224">
        <f t="shared" si="44"/>
        <v>0</v>
      </c>
      <c r="Z224" t="str">
        <f>IFERROR(VLOOKUP(Y224,tbFactorMes,2,FALSE),"")</f>
        <v/>
      </c>
      <c r="AA224">
        <f t="shared" si="45"/>
        <v>0</v>
      </c>
      <c r="AD224" t="str">
        <f>IFERROR(VLOOKUP(AC224,tbFactorMes,2,FALSE),"")</f>
        <v/>
      </c>
      <c r="AE224">
        <f t="shared" si="46"/>
        <v>0</v>
      </c>
      <c r="AH224" t="str">
        <f>IFERROR(VLOOKUP(AG224,tbFactorMes,2,FALSE),"")</f>
        <v/>
      </c>
      <c r="AI224">
        <f t="shared" si="47"/>
        <v>0</v>
      </c>
      <c r="AL224" t="str">
        <f>IFERROR(VLOOKUP(AK224,tbFactorMes,2,FALSE),"")</f>
        <v/>
      </c>
      <c r="AM224">
        <f t="shared" si="48"/>
        <v>0</v>
      </c>
      <c r="AP224" t="str">
        <f>IFERROR(VLOOKUP(AO224,tbFactorMes,2,FALSE),"")</f>
        <v/>
      </c>
      <c r="AQ224">
        <f t="shared" si="49"/>
        <v>0</v>
      </c>
      <c r="AT224" t="str">
        <f>IFERROR(VLOOKUP(AS224,tbFactorMes,2,FALSE),"")</f>
        <v/>
      </c>
      <c r="AU224">
        <f t="shared" si="50"/>
        <v>0</v>
      </c>
      <c r="AX224" t="str">
        <f>IFERROR(VLOOKUP(AW224,tbFactorMes,2,FALSE),"")</f>
        <v/>
      </c>
      <c r="AY224">
        <f t="shared" si="51"/>
        <v>0</v>
      </c>
      <c r="BB224" t="str">
        <f>IFERROR(VLOOKUP(BA224,tbFactorMes,2,FALSE),"")</f>
        <v/>
      </c>
      <c r="BC224">
        <f t="shared" si="52"/>
        <v>0</v>
      </c>
      <c r="BF224" t="str">
        <f>IFERROR(VLOOKUP(BE224,tbFactorMes,2,FALSE),"")</f>
        <v/>
      </c>
      <c r="BG224">
        <f t="shared" si="53"/>
        <v>0</v>
      </c>
      <c r="BH224">
        <f t="shared" si="54"/>
        <v>0</v>
      </c>
      <c r="BI224">
        <f t="shared" si="55"/>
        <v>0</v>
      </c>
    </row>
    <row r="225" spans="11:61" x14ac:dyDescent="0.35">
      <c r="K225" t="str">
        <f>IFERROR(VLOOKUP(F225,tbTurnos,3,FALSE),"")</f>
        <v/>
      </c>
      <c r="N225" t="str">
        <f>IFERROR(VLOOKUP(M225,tbFactorMes,2,FALSE),"")</f>
        <v/>
      </c>
      <c r="O225">
        <f t="shared" si="42"/>
        <v>0</v>
      </c>
      <c r="R225" t="str">
        <f>IFERROR(VLOOKUP(Q225,tbFactorMes,2,FALSE),"")</f>
        <v/>
      </c>
      <c r="S225">
        <f t="shared" si="43"/>
        <v>0</v>
      </c>
      <c r="V225" t="str">
        <f>IFERROR(VLOOKUP(U225,tbFactorMes,2,FALSE),"")</f>
        <v/>
      </c>
      <c r="W225">
        <f t="shared" si="44"/>
        <v>0</v>
      </c>
      <c r="Z225" t="str">
        <f>IFERROR(VLOOKUP(Y225,tbFactorMes,2,FALSE),"")</f>
        <v/>
      </c>
      <c r="AA225">
        <f t="shared" si="45"/>
        <v>0</v>
      </c>
      <c r="AD225" t="str">
        <f>IFERROR(VLOOKUP(AC225,tbFactorMes,2,FALSE),"")</f>
        <v/>
      </c>
      <c r="AE225">
        <f t="shared" si="46"/>
        <v>0</v>
      </c>
      <c r="AH225" t="str">
        <f>IFERROR(VLOOKUP(AG225,tbFactorMes,2,FALSE),"")</f>
        <v/>
      </c>
      <c r="AI225">
        <f t="shared" si="47"/>
        <v>0</v>
      </c>
      <c r="AL225" t="str">
        <f>IFERROR(VLOOKUP(AK225,tbFactorMes,2,FALSE),"")</f>
        <v/>
      </c>
      <c r="AM225">
        <f t="shared" si="48"/>
        <v>0</v>
      </c>
      <c r="AP225" t="str">
        <f>IFERROR(VLOOKUP(AO225,tbFactorMes,2,FALSE),"")</f>
        <v/>
      </c>
      <c r="AQ225">
        <f t="shared" si="49"/>
        <v>0</v>
      </c>
      <c r="AT225" t="str">
        <f>IFERROR(VLOOKUP(AS225,tbFactorMes,2,FALSE),"")</f>
        <v/>
      </c>
      <c r="AU225">
        <f t="shared" si="50"/>
        <v>0</v>
      </c>
      <c r="AX225" t="str">
        <f>IFERROR(VLOOKUP(AW225,tbFactorMes,2,FALSE),"")</f>
        <v/>
      </c>
      <c r="AY225">
        <f t="shared" si="51"/>
        <v>0</v>
      </c>
      <c r="BB225" t="str">
        <f>IFERROR(VLOOKUP(BA225,tbFactorMes,2,FALSE),"")</f>
        <v/>
      </c>
      <c r="BC225">
        <f t="shared" si="52"/>
        <v>0</v>
      </c>
      <c r="BF225" t="str">
        <f>IFERROR(VLOOKUP(BE225,tbFactorMes,2,FALSE),"")</f>
        <v/>
      </c>
      <c r="BG225">
        <f t="shared" si="53"/>
        <v>0</v>
      </c>
      <c r="BH225">
        <f t="shared" si="54"/>
        <v>0</v>
      </c>
      <c r="BI225">
        <f t="shared" si="55"/>
        <v>0</v>
      </c>
    </row>
    <row r="226" spans="11:61" x14ac:dyDescent="0.35">
      <c r="K226" t="str">
        <f>IFERROR(VLOOKUP(F226,tbTurnos,3,FALSE),"")</f>
        <v/>
      </c>
      <c r="N226" t="str">
        <f>IFERROR(VLOOKUP(M226,tbFactorMes,2,FALSE),"")</f>
        <v/>
      </c>
      <c r="O226">
        <f t="shared" si="42"/>
        <v>0</v>
      </c>
      <c r="R226" t="str">
        <f>IFERROR(VLOOKUP(Q226,tbFactorMes,2,FALSE),"")</f>
        <v/>
      </c>
      <c r="S226">
        <f t="shared" si="43"/>
        <v>0</v>
      </c>
      <c r="V226" t="str">
        <f>IFERROR(VLOOKUP(U226,tbFactorMes,2,FALSE),"")</f>
        <v/>
      </c>
      <c r="W226">
        <f t="shared" si="44"/>
        <v>0</v>
      </c>
      <c r="Z226" t="str">
        <f>IFERROR(VLOOKUP(Y226,tbFactorMes,2,FALSE),"")</f>
        <v/>
      </c>
      <c r="AA226">
        <f t="shared" si="45"/>
        <v>0</v>
      </c>
      <c r="AD226" t="str">
        <f>IFERROR(VLOOKUP(AC226,tbFactorMes,2,FALSE),"")</f>
        <v/>
      </c>
      <c r="AE226">
        <f t="shared" si="46"/>
        <v>0</v>
      </c>
      <c r="AH226" t="str">
        <f>IFERROR(VLOOKUP(AG226,tbFactorMes,2,FALSE),"")</f>
        <v/>
      </c>
      <c r="AI226">
        <f t="shared" si="47"/>
        <v>0</v>
      </c>
      <c r="AL226" t="str">
        <f>IFERROR(VLOOKUP(AK226,tbFactorMes,2,FALSE),"")</f>
        <v/>
      </c>
      <c r="AM226">
        <f t="shared" si="48"/>
        <v>0</v>
      </c>
      <c r="AP226" t="str">
        <f>IFERROR(VLOOKUP(AO226,tbFactorMes,2,FALSE),"")</f>
        <v/>
      </c>
      <c r="AQ226">
        <f t="shared" si="49"/>
        <v>0</v>
      </c>
      <c r="AT226" t="str">
        <f>IFERROR(VLOOKUP(AS226,tbFactorMes,2,FALSE),"")</f>
        <v/>
      </c>
      <c r="AU226">
        <f t="shared" si="50"/>
        <v>0</v>
      </c>
      <c r="AX226" t="str">
        <f>IFERROR(VLOOKUP(AW226,tbFactorMes,2,FALSE),"")</f>
        <v/>
      </c>
      <c r="AY226">
        <f t="shared" si="51"/>
        <v>0</v>
      </c>
      <c r="BB226" t="str">
        <f>IFERROR(VLOOKUP(BA226,tbFactorMes,2,FALSE),"")</f>
        <v/>
      </c>
      <c r="BC226">
        <f t="shared" si="52"/>
        <v>0</v>
      </c>
      <c r="BF226" t="str">
        <f>IFERROR(VLOOKUP(BE226,tbFactorMes,2,FALSE),"")</f>
        <v/>
      </c>
      <c r="BG226">
        <f t="shared" si="53"/>
        <v>0</v>
      </c>
      <c r="BH226">
        <f t="shared" si="54"/>
        <v>0</v>
      </c>
      <c r="BI226">
        <f t="shared" si="55"/>
        <v>0</v>
      </c>
    </row>
    <row r="227" spans="11:61" x14ac:dyDescent="0.35">
      <c r="K227" t="str">
        <f>IFERROR(VLOOKUP(F227,tbTurnos,3,FALSE),"")</f>
        <v/>
      </c>
      <c r="N227" t="str">
        <f>IFERROR(VLOOKUP(M227,tbFactorMes,2,FALSE),"")</f>
        <v/>
      </c>
      <c r="O227">
        <f t="shared" si="42"/>
        <v>0</v>
      </c>
      <c r="R227" t="str">
        <f>IFERROR(VLOOKUP(Q227,tbFactorMes,2,FALSE),"")</f>
        <v/>
      </c>
      <c r="S227">
        <f t="shared" si="43"/>
        <v>0</v>
      </c>
      <c r="V227" t="str">
        <f>IFERROR(VLOOKUP(U227,tbFactorMes,2,FALSE),"")</f>
        <v/>
      </c>
      <c r="W227">
        <f t="shared" si="44"/>
        <v>0</v>
      </c>
      <c r="Z227" t="str">
        <f>IFERROR(VLOOKUP(Y227,tbFactorMes,2,FALSE),"")</f>
        <v/>
      </c>
      <c r="AA227">
        <f t="shared" si="45"/>
        <v>0</v>
      </c>
      <c r="AD227" t="str">
        <f>IFERROR(VLOOKUP(AC227,tbFactorMes,2,FALSE),"")</f>
        <v/>
      </c>
      <c r="AE227">
        <f t="shared" si="46"/>
        <v>0</v>
      </c>
      <c r="AH227" t="str">
        <f>IFERROR(VLOOKUP(AG227,tbFactorMes,2,FALSE),"")</f>
        <v/>
      </c>
      <c r="AI227">
        <f t="shared" si="47"/>
        <v>0</v>
      </c>
      <c r="AL227" t="str">
        <f>IFERROR(VLOOKUP(AK227,tbFactorMes,2,FALSE),"")</f>
        <v/>
      </c>
      <c r="AM227">
        <f t="shared" si="48"/>
        <v>0</v>
      </c>
      <c r="AP227" t="str">
        <f>IFERROR(VLOOKUP(AO227,tbFactorMes,2,FALSE),"")</f>
        <v/>
      </c>
      <c r="AQ227">
        <f t="shared" si="49"/>
        <v>0</v>
      </c>
      <c r="AT227" t="str">
        <f>IFERROR(VLOOKUP(AS227,tbFactorMes,2,FALSE),"")</f>
        <v/>
      </c>
      <c r="AU227">
        <f t="shared" si="50"/>
        <v>0</v>
      </c>
      <c r="AX227" t="str">
        <f>IFERROR(VLOOKUP(AW227,tbFactorMes,2,FALSE),"")</f>
        <v/>
      </c>
      <c r="AY227">
        <f t="shared" si="51"/>
        <v>0</v>
      </c>
      <c r="BB227" t="str">
        <f>IFERROR(VLOOKUP(BA227,tbFactorMes,2,FALSE),"")</f>
        <v/>
      </c>
      <c r="BC227">
        <f t="shared" si="52"/>
        <v>0</v>
      </c>
      <c r="BF227" t="str">
        <f>IFERROR(VLOOKUP(BE227,tbFactorMes,2,FALSE),"")</f>
        <v/>
      </c>
      <c r="BG227">
        <f t="shared" si="53"/>
        <v>0</v>
      </c>
      <c r="BH227">
        <f t="shared" si="54"/>
        <v>0</v>
      </c>
      <c r="BI227">
        <f t="shared" si="55"/>
        <v>0</v>
      </c>
    </row>
    <row r="228" spans="11:61" x14ac:dyDescent="0.35">
      <c r="K228" t="str">
        <f>IFERROR(VLOOKUP(F228,tbTurnos,3,FALSE),"")</f>
        <v/>
      </c>
      <c r="N228" t="str">
        <f>IFERROR(VLOOKUP(M228,tbFactorMes,2,FALSE),"")</f>
        <v/>
      </c>
      <c r="O228">
        <f t="shared" si="42"/>
        <v>0</v>
      </c>
      <c r="R228" t="str">
        <f>IFERROR(VLOOKUP(Q228,tbFactorMes,2,FALSE),"")</f>
        <v/>
      </c>
      <c r="S228">
        <f t="shared" si="43"/>
        <v>0</v>
      </c>
      <c r="V228" t="str">
        <f>IFERROR(VLOOKUP(U228,tbFactorMes,2,FALSE),"")</f>
        <v/>
      </c>
      <c r="W228">
        <f t="shared" si="44"/>
        <v>0</v>
      </c>
      <c r="Z228" t="str">
        <f>IFERROR(VLOOKUP(Y228,tbFactorMes,2,FALSE),"")</f>
        <v/>
      </c>
      <c r="AA228">
        <f t="shared" si="45"/>
        <v>0</v>
      </c>
      <c r="AD228" t="str">
        <f>IFERROR(VLOOKUP(AC228,tbFactorMes,2,FALSE),"")</f>
        <v/>
      </c>
      <c r="AE228">
        <f t="shared" si="46"/>
        <v>0</v>
      </c>
      <c r="AH228" t="str">
        <f>IFERROR(VLOOKUP(AG228,tbFactorMes,2,FALSE),"")</f>
        <v/>
      </c>
      <c r="AI228">
        <f t="shared" si="47"/>
        <v>0</v>
      </c>
      <c r="AL228" t="str">
        <f>IFERROR(VLOOKUP(AK228,tbFactorMes,2,FALSE),"")</f>
        <v/>
      </c>
      <c r="AM228">
        <f t="shared" si="48"/>
        <v>0</v>
      </c>
      <c r="AP228" t="str">
        <f>IFERROR(VLOOKUP(AO228,tbFactorMes,2,FALSE),"")</f>
        <v/>
      </c>
      <c r="AQ228">
        <f t="shared" si="49"/>
        <v>0</v>
      </c>
      <c r="AT228" t="str">
        <f>IFERROR(VLOOKUP(AS228,tbFactorMes,2,FALSE),"")</f>
        <v/>
      </c>
      <c r="AU228">
        <f t="shared" si="50"/>
        <v>0</v>
      </c>
      <c r="AX228" t="str">
        <f>IFERROR(VLOOKUP(AW228,tbFactorMes,2,FALSE),"")</f>
        <v/>
      </c>
      <c r="AY228">
        <f t="shared" si="51"/>
        <v>0</v>
      </c>
      <c r="BB228" t="str">
        <f>IFERROR(VLOOKUP(BA228,tbFactorMes,2,FALSE),"")</f>
        <v/>
      </c>
      <c r="BC228">
        <f t="shared" si="52"/>
        <v>0</v>
      </c>
      <c r="BF228" t="str">
        <f>IFERROR(VLOOKUP(BE228,tbFactorMes,2,FALSE),"")</f>
        <v/>
      </c>
      <c r="BG228">
        <f t="shared" si="53"/>
        <v>0</v>
      </c>
      <c r="BH228">
        <f t="shared" si="54"/>
        <v>0</v>
      </c>
      <c r="BI228">
        <f t="shared" si="55"/>
        <v>0</v>
      </c>
    </row>
    <row r="229" spans="11:61" x14ac:dyDescent="0.35">
      <c r="K229" t="str">
        <f>IFERROR(VLOOKUP(F229,tbTurnos,3,FALSE),"")</f>
        <v/>
      </c>
      <c r="N229" t="str">
        <f>IFERROR(VLOOKUP(M229,tbFactorMes,2,FALSE),"")</f>
        <v/>
      </c>
      <c r="O229">
        <f t="shared" si="42"/>
        <v>0</v>
      </c>
      <c r="R229" t="str">
        <f>IFERROR(VLOOKUP(Q229,tbFactorMes,2,FALSE),"")</f>
        <v/>
      </c>
      <c r="S229">
        <f t="shared" si="43"/>
        <v>0</v>
      </c>
      <c r="V229" t="str">
        <f>IFERROR(VLOOKUP(U229,tbFactorMes,2,FALSE),"")</f>
        <v/>
      </c>
      <c r="W229">
        <f t="shared" si="44"/>
        <v>0</v>
      </c>
      <c r="Z229" t="str">
        <f>IFERROR(VLOOKUP(Y229,tbFactorMes,2,FALSE),"")</f>
        <v/>
      </c>
      <c r="AA229">
        <f t="shared" si="45"/>
        <v>0</v>
      </c>
      <c r="AD229" t="str">
        <f>IFERROR(VLOOKUP(AC229,tbFactorMes,2,FALSE),"")</f>
        <v/>
      </c>
      <c r="AE229">
        <f t="shared" si="46"/>
        <v>0</v>
      </c>
      <c r="AH229" t="str">
        <f>IFERROR(VLOOKUP(AG229,tbFactorMes,2,FALSE),"")</f>
        <v/>
      </c>
      <c r="AI229">
        <f t="shared" si="47"/>
        <v>0</v>
      </c>
      <c r="AL229" t="str">
        <f>IFERROR(VLOOKUP(AK229,tbFactorMes,2,FALSE),"")</f>
        <v/>
      </c>
      <c r="AM229">
        <f t="shared" si="48"/>
        <v>0</v>
      </c>
      <c r="AP229" t="str">
        <f>IFERROR(VLOOKUP(AO229,tbFactorMes,2,FALSE),"")</f>
        <v/>
      </c>
      <c r="AQ229">
        <f t="shared" si="49"/>
        <v>0</v>
      </c>
      <c r="AT229" t="str">
        <f>IFERROR(VLOOKUP(AS229,tbFactorMes,2,FALSE),"")</f>
        <v/>
      </c>
      <c r="AU229">
        <f t="shared" si="50"/>
        <v>0</v>
      </c>
      <c r="AX229" t="str">
        <f>IFERROR(VLOOKUP(AW229,tbFactorMes,2,FALSE),"")</f>
        <v/>
      </c>
      <c r="AY229">
        <f t="shared" si="51"/>
        <v>0</v>
      </c>
      <c r="BB229" t="str">
        <f>IFERROR(VLOOKUP(BA229,tbFactorMes,2,FALSE),"")</f>
        <v/>
      </c>
      <c r="BC229">
        <f t="shared" si="52"/>
        <v>0</v>
      </c>
      <c r="BF229" t="str">
        <f>IFERROR(VLOOKUP(BE229,tbFactorMes,2,FALSE),"")</f>
        <v/>
      </c>
      <c r="BG229">
        <f t="shared" si="53"/>
        <v>0</v>
      </c>
      <c r="BH229">
        <f t="shared" si="54"/>
        <v>0</v>
      </c>
      <c r="BI229">
        <f t="shared" si="55"/>
        <v>0</v>
      </c>
    </row>
    <row r="230" spans="11:61" x14ac:dyDescent="0.35">
      <c r="K230" t="str">
        <f>IFERROR(VLOOKUP(F230,tbTurnos,3,FALSE),"")</f>
        <v/>
      </c>
      <c r="N230" t="str">
        <f>IFERROR(VLOOKUP(M230,tbFactorMes,2,FALSE),"")</f>
        <v/>
      </c>
      <c r="O230">
        <f t="shared" si="42"/>
        <v>0</v>
      </c>
      <c r="R230" t="str">
        <f>IFERROR(VLOOKUP(Q230,tbFactorMes,2,FALSE),"")</f>
        <v/>
      </c>
      <c r="S230">
        <f t="shared" si="43"/>
        <v>0</v>
      </c>
      <c r="V230" t="str">
        <f>IFERROR(VLOOKUP(U230,tbFactorMes,2,FALSE),"")</f>
        <v/>
      </c>
      <c r="W230">
        <f t="shared" si="44"/>
        <v>0</v>
      </c>
      <c r="Z230" t="str">
        <f>IFERROR(VLOOKUP(Y230,tbFactorMes,2,FALSE),"")</f>
        <v/>
      </c>
      <c r="AA230">
        <f t="shared" si="45"/>
        <v>0</v>
      </c>
      <c r="AD230" t="str">
        <f>IFERROR(VLOOKUP(AC230,tbFactorMes,2,FALSE),"")</f>
        <v/>
      </c>
      <c r="AE230">
        <f t="shared" si="46"/>
        <v>0</v>
      </c>
      <c r="AH230" t="str">
        <f>IFERROR(VLOOKUP(AG230,tbFactorMes,2,FALSE),"")</f>
        <v/>
      </c>
      <c r="AI230">
        <f t="shared" si="47"/>
        <v>0</v>
      </c>
      <c r="AL230" t="str">
        <f>IFERROR(VLOOKUP(AK230,tbFactorMes,2,FALSE),"")</f>
        <v/>
      </c>
      <c r="AM230">
        <f t="shared" si="48"/>
        <v>0</v>
      </c>
      <c r="AP230" t="str">
        <f>IFERROR(VLOOKUP(AO230,tbFactorMes,2,FALSE),"")</f>
        <v/>
      </c>
      <c r="AQ230">
        <f t="shared" si="49"/>
        <v>0</v>
      </c>
      <c r="AT230" t="str">
        <f>IFERROR(VLOOKUP(AS230,tbFactorMes,2,FALSE),"")</f>
        <v/>
      </c>
      <c r="AU230">
        <f t="shared" si="50"/>
        <v>0</v>
      </c>
      <c r="AX230" t="str">
        <f>IFERROR(VLOOKUP(AW230,tbFactorMes,2,FALSE),"")</f>
        <v/>
      </c>
      <c r="AY230">
        <f t="shared" si="51"/>
        <v>0</v>
      </c>
      <c r="BB230" t="str">
        <f>IFERROR(VLOOKUP(BA230,tbFactorMes,2,FALSE),"")</f>
        <v/>
      </c>
      <c r="BC230">
        <f t="shared" si="52"/>
        <v>0</v>
      </c>
      <c r="BF230" t="str">
        <f>IFERROR(VLOOKUP(BE230,tbFactorMes,2,FALSE),"")</f>
        <v/>
      </c>
      <c r="BG230">
        <f t="shared" si="53"/>
        <v>0</v>
      </c>
      <c r="BH230">
        <f t="shared" si="54"/>
        <v>0</v>
      </c>
      <c r="BI230">
        <f t="shared" si="55"/>
        <v>0</v>
      </c>
    </row>
    <row r="231" spans="11:61" x14ac:dyDescent="0.35">
      <c r="K231" t="str">
        <f>IFERROR(VLOOKUP(F231,tbTurnos,3,FALSE),"")</f>
        <v/>
      </c>
      <c r="N231" t="str">
        <f>IFERROR(VLOOKUP(M231,tbFactorMes,2,FALSE),"")</f>
        <v/>
      </c>
      <c r="O231">
        <f t="shared" si="42"/>
        <v>0</v>
      </c>
      <c r="R231" t="str">
        <f>IFERROR(VLOOKUP(Q231,tbFactorMes,2,FALSE),"")</f>
        <v/>
      </c>
      <c r="S231">
        <f t="shared" si="43"/>
        <v>0</v>
      </c>
      <c r="V231" t="str">
        <f>IFERROR(VLOOKUP(U231,tbFactorMes,2,FALSE),"")</f>
        <v/>
      </c>
      <c r="W231">
        <f t="shared" si="44"/>
        <v>0</v>
      </c>
      <c r="Z231" t="str">
        <f>IFERROR(VLOOKUP(Y231,tbFactorMes,2,FALSE),"")</f>
        <v/>
      </c>
      <c r="AA231">
        <f t="shared" si="45"/>
        <v>0</v>
      </c>
      <c r="AD231" t="str">
        <f>IFERROR(VLOOKUP(AC231,tbFactorMes,2,FALSE),"")</f>
        <v/>
      </c>
      <c r="AE231">
        <f t="shared" si="46"/>
        <v>0</v>
      </c>
      <c r="AH231" t="str">
        <f>IFERROR(VLOOKUP(AG231,tbFactorMes,2,FALSE),"")</f>
        <v/>
      </c>
      <c r="AI231">
        <f t="shared" si="47"/>
        <v>0</v>
      </c>
      <c r="AL231" t="str">
        <f>IFERROR(VLOOKUP(AK231,tbFactorMes,2,FALSE),"")</f>
        <v/>
      </c>
      <c r="AM231">
        <f t="shared" si="48"/>
        <v>0</v>
      </c>
      <c r="AP231" t="str">
        <f>IFERROR(VLOOKUP(AO231,tbFactorMes,2,FALSE),"")</f>
        <v/>
      </c>
      <c r="AQ231">
        <f t="shared" si="49"/>
        <v>0</v>
      </c>
      <c r="AT231" t="str">
        <f>IFERROR(VLOOKUP(AS231,tbFactorMes,2,FALSE),"")</f>
        <v/>
      </c>
      <c r="AU231">
        <f t="shared" si="50"/>
        <v>0</v>
      </c>
      <c r="AX231" t="str">
        <f>IFERROR(VLOOKUP(AW231,tbFactorMes,2,FALSE),"")</f>
        <v/>
      </c>
      <c r="AY231">
        <f t="shared" si="51"/>
        <v>0</v>
      </c>
      <c r="BB231" t="str">
        <f>IFERROR(VLOOKUP(BA231,tbFactorMes,2,FALSE),"")</f>
        <v/>
      </c>
      <c r="BC231">
        <f t="shared" si="52"/>
        <v>0</v>
      </c>
      <c r="BF231" t="str">
        <f>IFERROR(VLOOKUP(BE231,tbFactorMes,2,FALSE),"")</f>
        <v/>
      </c>
      <c r="BG231">
        <f t="shared" si="53"/>
        <v>0</v>
      </c>
      <c r="BH231">
        <f t="shared" si="54"/>
        <v>0</v>
      </c>
      <c r="BI231">
        <f t="shared" si="55"/>
        <v>0</v>
      </c>
    </row>
    <row r="232" spans="11:61" x14ac:dyDescent="0.35">
      <c r="K232" t="str">
        <f>IFERROR(VLOOKUP(F232,tbTurnos,3,FALSE),"")</f>
        <v/>
      </c>
      <c r="N232" t="str">
        <f>IFERROR(VLOOKUP(M232,tbFactorMes,2,FALSE),"")</f>
        <v/>
      </c>
      <c r="O232">
        <f t="shared" si="42"/>
        <v>0</v>
      </c>
      <c r="R232" t="str">
        <f>IFERROR(VLOOKUP(Q232,tbFactorMes,2,FALSE),"")</f>
        <v/>
      </c>
      <c r="S232">
        <f t="shared" si="43"/>
        <v>0</v>
      </c>
      <c r="V232" t="str">
        <f>IFERROR(VLOOKUP(U232,tbFactorMes,2,FALSE),"")</f>
        <v/>
      </c>
      <c r="W232">
        <f t="shared" si="44"/>
        <v>0</v>
      </c>
      <c r="Z232" t="str">
        <f>IFERROR(VLOOKUP(Y232,tbFactorMes,2,FALSE),"")</f>
        <v/>
      </c>
      <c r="AA232">
        <f t="shared" si="45"/>
        <v>0</v>
      </c>
      <c r="AD232" t="str">
        <f>IFERROR(VLOOKUP(AC232,tbFactorMes,2,FALSE),"")</f>
        <v/>
      </c>
      <c r="AE232">
        <f t="shared" si="46"/>
        <v>0</v>
      </c>
      <c r="AH232" t="str">
        <f>IFERROR(VLOOKUP(AG232,tbFactorMes,2,FALSE),"")</f>
        <v/>
      </c>
      <c r="AI232">
        <f t="shared" si="47"/>
        <v>0</v>
      </c>
      <c r="AL232" t="str">
        <f>IFERROR(VLOOKUP(AK232,tbFactorMes,2,FALSE),"")</f>
        <v/>
      </c>
      <c r="AM232">
        <f t="shared" si="48"/>
        <v>0</v>
      </c>
      <c r="AP232" t="str">
        <f>IFERROR(VLOOKUP(AO232,tbFactorMes,2,FALSE),"")</f>
        <v/>
      </c>
      <c r="AQ232">
        <f t="shared" si="49"/>
        <v>0</v>
      </c>
      <c r="AT232" t="str">
        <f>IFERROR(VLOOKUP(AS232,tbFactorMes,2,FALSE),"")</f>
        <v/>
      </c>
      <c r="AU232">
        <f t="shared" si="50"/>
        <v>0</v>
      </c>
      <c r="AX232" t="str">
        <f>IFERROR(VLOOKUP(AW232,tbFactorMes,2,FALSE),"")</f>
        <v/>
      </c>
      <c r="AY232">
        <f t="shared" si="51"/>
        <v>0</v>
      </c>
      <c r="BB232" t="str">
        <f>IFERROR(VLOOKUP(BA232,tbFactorMes,2,FALSE),"")</f>
        <v/>
      </c>
      <c r="BC232">
        <f t="shared" si="52"/>
        <v>0</v>
      </c>
      <c r="BF232" t="str">
        <f>IFERROR(VLOOKUP(BE232,tbFactorMes,2,FALSE),"")</f>
        <v/>
      </c>
      <c r="BG232">
        <f t="shared" si="53"/>
        <v>0</v>
      </c>
      <c r="BH232">
        <f t="shared" si="54"/>
        <v>0</v>
      </c>
      <c r="BI232">
        <f t="shared" si="55"/>
        <v>0</v>
      </c>
    </row>
    <row r="233" spans="11:61" x14ac:dyDescent="0.35">
      <c r="K233" t="str">
        <f>IFERROR(VLOOKUP(F233,tbTurnos,3,FALSE),"")</f>
        <v/>
      </c>
      <c r="N233" t="str">
        <f>IFERROR(VLOOKUP(M233,tbFactorMes,2,FALSE),"")</f>
        <v/>
      </c>
      <c r="O233">
        <f t="shared" si="42"/>
        <v>0</v>
      </c>
      <c r="R233" t="str">
        <f>IFERROR(VLOOKUP(Q233,tbFactorMes,2,FALSE),"")</f>
        <v/>
      </c>
      <c r="S233">
        <f t="shared" si="43"/>
        <v>0</v>
      </c>
      <c r="V233" t="str">
        <f>IFERROR(VLOOKUP(U233,tbFactorMes,2,FALSE),"")</f>
        <v/>
      </c>
      <c r="W233">
        <f t="shared" si="44"/>
        <v>0</v>
      </c>
      <c r="Z233" t="str">
        <f>IFERROR(VLOOKUP(Y233,tbFactorMes,2,FALSE),"")</f>
        <v/>
      </c>
      <c r="AA233">
        <f t="shared" si="45"/>
        <v>0</v>
      </c>
      <c r="AD233" t="str">
        <f>IFERROR(VLOOKUP(AC233,tbFactorMes,2,FALSE),"")</f>
        <v/>
      </c>
      <c r="AE233">
        <f t="shared" si="46"/>
        <v>0</v>
      </c>
      <c r="AH233" t="str">
        <f>IFERROR(VLOOKUP(AG233,tbFactorMes,2,FALSE),"")</f>
        <v/>
      </c>
      <c r="AI233">
        <f t="shared" si="47"/>
        <v>0</v>
      </c>
      <c r="AL233" t="str">
        <f>IFERROR(VLOOKUP(AK233,tbFactorMes,2,FALSE),"")</f>
        <v/>
      </c>
      <c r="AM233">
        <f t="shared" si="48"/>
        <v>0</v>
      </c>
      <c r="AP233" t="str">
        <f>IFERROR(VLOOKUP(AO233,tbFactorMes,2,FALSE),"")</f>
        <v/>
      </c>
      <c r="AQ233">
        <f t="shared" si="49"/>
        <v>0</v>
      </c>
      <c r="AT233" t="str">
        <f>IFERROR(VLOOKUP(AS233,tbFactorMes,2,FALSE),"")</f>
        <v/>
      </c>
      <c r="AU233">
        <f t="shared" si="50"/>
        <v>0</v>
      </c>
      <c r="AX233" t="str">
        <f>IFERROR(VLOOKUP(AW233,tbFactorMes,2,FALSE),"")</f>
        <v/>
      </c>
      <c r="AY233">
        <f t="shared" si="51"/>
        <v>0</v>
      </c>
      <c r="BB233" t="str">
        <f>IFERROR(VLOOKUP(BA233,tbFactorMes,2,FALSE),"")</f>
        <v/>
      </c>
      <c r="BC233">
        <f t="shared" si="52"/>
        <v>0</v>
      </c>
      <c r="BF233" t="str">
        <f>IFERROR(VLOOKUP(BE233,tbFactorMes,2,FALSE),"")</f>
        <v/>
      </c>
      <c r="BG233">
        <f t="shared" si="53"/>
        <v>0</v>
      </c>
      <c r="BH233">
        <f t="shared" si="54"/>
        <v>0</v>
      </c>
      <c r="BI233">
        <f t="shared" si="55"/>
        <v>0</v>
      </c>
    </row>
    <row r="234" spans="11:61" x14ac:dyDescent="0.35">
      <c r="K234" t="str">
        <f>IFERROR(VLOOKUP(F234,tbTurnos,3,FALSE),"")</f>
        <v/>
      </c>
      <c r="N234" t="str">
        <f>IFERROR(VLOOKUP(M234,tbFactorMes,2,FALSE),"")</f>
        <v/>
      </c>
      <c r="O234">
        <f t="shared" si="42"/>
        <v>0</v>
      </c>
      <c r="R234" t="str">
        <f>IFERROR(VLOOKUP(Q234,tbFactorMes,2,FALSE),"")</f>
        <v/>
      </c>
      <c r="S234">
        <f t="shared" si="43"/>
        <v>0</v>
      </c>
      <c r="V234" t="str">
        <f>IFERROR(VLOOKUP(U234,tbFactorMes,2,FALSE),"")</f>
        <v/>
      </c>
      <c r="W234">
        <f t="shared" si="44"/>
        <v>0</v>
      </c>
      <c r="Z234" t="str">
        <f>IFERROR(VLOOKUP(Y234,tbFactorMes,2,FALSE),"")</f>
        <v/>
      </c>
      <c r="AA234">
        <f t="shared" si="45"/>
        <v>0</v>
      </c>
      <c r="AD234" t="str">
        <f>IFERROR(VLOOKUP(AC234,tbFactorMes,2,FALSE),"")</f>
        <v/>
      </c>
      <c r="AE234">
        <f t="shared" si="46"/>
        <v>0</v>
      </c>
      <c r="AH234" t="str">
        <f>IFERROR(VLOOKUP(AG234,tbFactorMes,2,FALSE),"")</f>
        <v/>
      </c>
      <c r="AI234">
        <f t="shared" si="47"/>
        <v>0</v>
      </c>
      <c r="AL234" t="str">
        <f>IFERROR(VLOOKUP(AK234,tbFactorMes,2,FALSE),"")</f>
        <v/>
      </c>
      <c r="AM234">
        <f t="shared" si="48"/>
        <v>0</v>
      </c>
      <c r="AP234" t="str">
        <f>IFERROR(VLOOKUP(AO234,tbFactorMes,2,FALSE),"")</f>
        <v/>
      </c>
      <c r="AQ234">
        <f t="shared" si="49"/>
        <v>0</v>
      </c>
      <c r="AT234" t="str">
        <f>IFERROR(VLOOKUP(AS234,tbFactorMes,2,FALSE),"")</f>
        <v/>
      </c>
      <c r="AU234">
        <f t="shared" si="50"/>
        <v>0</v>
      </c>
      <c r="AX234" t="str">
        <f>IFERROR(VLOOKUP(AW234,tbFactorMes,2,FALSE),"")</f>
        <v/>
      </c>
      <c r="AY234">
        <f t="shared" si="51"/>
        <v>0</v>
      </c>
      <c r="BB234" t="str">
        <f>IFERROR(VLOOKUP(BA234,tbFactorMes,2,FALSE),"")</f>
        <v/>
      </c>
      <c r="BC234">
        <f t="shared" si="52"/>
        <v>0</v>
      </c>
      <c r="BF234" t="str">
        <f>IFERROR(VLOOKUP(BE234,tbFactorMes,2,FALSE),"")</f>
        <v/>
      </c>
      <c r="BG234">
        <f t="shared" si="53"/>
        <v>0</v>
      </c>
      <c r="BH234">
        <f t="shared" si="54"/>
        <v>0</v>
      </c>
      <c r="BI234">
        <f t="shared" si="55"/>
        <v>0</v>
      </c>
    </row>
    <row r="235" spans="11:61" x14ac:dyDescent="0.35">
      <c r="K235" t="str">
        <f>IFERROR(VLOOKUP(F235,tbTurnos,3,FALSE),"")</f>
        <v/>
      </c>
      <c r="N235" t="str">
        <f>IFERROR(VLOOKUP(M235,tbFactorMes,2,FALSE),"")</f>
        <v/>
      </c>
      <c r="O235">
        <f t="shared" si="42"/>
        <v>0</v>
      </c>
      <c r="R235" t="str">
        <f>IFERROR(VLOOKUP(Q235,tbFactorMes,2,FALSE),"")</f>
        <v/>
      </c>
      <c r="S235">
        <f t="shared" si="43"/>
        <v>0</v>
      </c>
      <c r="V235" t="str">
        <f>IFERROR(VLOOKUP(U235,tbFactorMes,2,FALSE),"")</f>
        <v/>
      </c>
      <c r="W235">
        <f t="shared" si="44"/>
        <v>0</v>
      </c>
      <c r="Z235" t="str">
        <f>IFERROR(VLOOKUP(Y235,tbFactorMes,2,FALSE),"")</f>
        <v/>
      </c>
      <c r="AA235">
        <f t="shared" si="45"/>
        <v>0</v>
      </c>
      <c r="AD235" t="str">
        <f>IFERROR(VLOOKUP(AC235,tbFactorMes,2,FALSE),"")</f>
        <v/>
      </c>
      <c r="AE235">
        <f t="shared" si="46"/>
        <v>0</v>
      </c>
      <c r="AH235" t="str">
        <f>IFERROR(VLOOKUP(AG235,tbFactorMes,2,FALSE),"")</f>
        <v/>
      </c>
      <c r="AI235">
        <f t="shared" si="47"/>
        <v>0</v>
      </c>
      <c r="AL235" t="str">
        <f>IFERROR(VLOOKUP(AK235,tbFactorMes,2,FALSE),"")</f>
        <v/>
      </c>
      <c r="AM235">
        <f t="shared" si="48"/>
        <v>0</v>
      </c>
      <c r="AP235" t="str">
        <f>IFERROR(VLOOKUP(AO235,tbFactorMes,2,FALSE),"")</f>
        <v/>
      </c>
      <c r="AQ235">
        <f t="shared" si="49"/>
        <v>0</v>
      </c>
      <c r="AT235" t="str">
        <f>IFERROR(VLOOKUP(AS235,tbFactorMes,2,FALSE),"")</f>
        <v/>
      </c>
      <c r="AU235">
        <f t="shared" si="50"/>
        <v>0</v>
      </c>
      <c r="AX235" t="str">
        <f>IFERROR(VLOOKUP(AW235,tbFactorMes,2,FALSE),"")</f>
        <v/>
      </c>
      <c r="AY235">
        <f t="shared" si="51"/>
        <v>0</v>
      </c>
      <c r="BB235" t="str">
        <f>IFERROR(VLOOKUP(BA235,tbFactorMes,2,FALSE),"")</f>
        <v/>
      </c>
      <c r="BC235">
        <f t="shared" si="52"/>
        <v>0</v>
      </c>
      <c r="BF235" t="str">
        <f>IFERROR(VLOOKUP(BE235,tbFactorMes,2,FALSE),"")</f>
        <v/>
      </c>
      <c r="BG235">
        <f t="shared" si="53"/>
        <v>0</v>
      </c>
      <c r="BH235">
        <f t="shared" si="54"/>
        <v>0</v>
      </c>
      <c r="BI235">
        <f t="shared" si="55"/>
        <v>0</v>
      </c>
    </row>
    <row r="236" spans="11:61" x14ac:dyDescent="0.35">
      <c r="K236" t="str">
        <f>IFERROR(VLOOKUP(F236,tbTurnos,3,FALSE),"")</f>
        <v/>
      </c>
      <c r="N236" t="str">
        <f>IFERROR(VLOOKUP(M236,tbFactorMes,2,FALSE),"")</f>
        <v/>
      </c>
      <c r="O236">
        <f t="shared" si="42"/>
        <v>0</v>
      </c>
      <c r="R236" t="str">
        <f>IFERROR(VLOOKUP(Q236,tbFactorMes,2,FALSE),"")</f>
        <v/>
      </c>
      <c r="S236">
        <f t="shared" si="43"/>
        <v>0</v>
      </c>
      <c r="V236" t="str">
        <f>IFERROR(VLOOKUP(U236,tbFactorMes,2,FALSE),"")</f>
        <v/>
      </c>
      <c r="W236">
        <f t="shared" si="44"/>
        <v>0</v>
      </c>
      <c r="Z236" t="str">
        <f>IFERROR(VLOOKUP(Y236,tbFactorMes,2,FALSE),"")</f>
        <v/>
      </c>
      <c r="AA236">
        <f t="shared" si="45"/>
        <v>0</v>
      </c>
      <c r="AD236" t="str">
        <f>IFERROR(VLOOKUP(AC236,tbFactorMes,2,FALSE),"")</f>
        <v/>
      </c>
      <c r="AE236">
        <f t="shared" si="46"/>
        <v>0</v>
      </c>
      <c r="AH236" t="str">
        <f>IFERROR(VLOOKUP(AG236,tbFactorMes,2,FALSE),"")</f>
        <v/>
      </c>
      <c r="AI236">
        <f t="shared" si="47"/>
        <v>0</v>
      </c>
      <c r="AL236" t="str">
        <f>IFERROR(VLOOKUP(AK236,tbFactorMes,2,FALSE),"")</f>
        <v/>
      </c>
      <c r="AM236">
        <f t="shared" si="48"/>
        <v>0</v>
      </c>
      <c r="AP236" t="str">
        <f>IFERROR(VLOOKUP(AO236,tbFactorMes,2,FALSE),"")</f>
        <v/>
      </c>
      <c r="AQ236">
        <f t="shared" si="49"/>
        <v>0</v>
      </c>
      <c r="AT236" t="str">
        <f>IFERROR(VLOOKUP(AS236,tbFactorMes,2,FALSE),"")</f>
        <v/>
      </c>
      <c r="AU236">
        <f t="shared" si="50"/>
        <v>0</v>
      </c>
      <c r="AX236" t="str">
        <f>IFERROR(VLOOKUP(AW236,tbFactorMes,2,FALSE),"")</f>
        <v/>
      </c>
      <c r="AY236">
        <f t="shared" si="51"/>
        <v>0</v>
      </c>
      <c r="BB236" t="str">
        <f>IFERROR(VLOOKUP(BA236,tbFactorMes,2,FALSE),"")</f>
        <v/>
      </c>
      <c r="BC236">
        <f t="shared" si="52"/>
        <v>0</v>
      </c>
      <c r="BF236" t="str">
        <f>IFERROR(VLOOKUP(BE236,tbFactorMes,2,FALSE),"")</f>
        <v/>
      </c>
      <c r="BG236">
        <f t="shared" si="53"/>
        <v>0</v>
      </c>
      <c r="BH236">
        <f t="shared" si="54"/>
        <v>0</v>
      </c>
      <c r="BI236">
        <f t="shared" si="55"/>
        <v>0</v>
      </c>
    </row>
    <row r="237" spans="11:61" x14ac:dyDescent="0.35">
      <c r="K237" t="str">
        <f>IFERROR(VLOOKUP(F237,tbTurnos,3,FALSE),"")</f>
        <v/>
      </c>
      <c r="N237" t="str">
        <f>IFERROR(VLOOKUP(M237,tbFactorMes,2,FALSE),"")</f>
        <v/>
      </c>
      <c r="O237">
        <f t="shared" si="42"/>
        <v>0</v>
      </c>
      <c r="R237" t="str">
        <f>IFERROR(VLOOKUP(Q237,tbFactorMes,2,FALSE),"")</f>
        <v/>
      </c>
      <c r="S237">
        <f t="shared" si="43"/>
        <v>0</v>
      </c>
      <c r="V237" t="str">
        <f>IFERROR(VLOOKUP(U237,tbFactorMes,2,FALSE),"")</f>
        <v/>
      </c>
      <c r="W237">
        <f t="shared" si="44"/>
        <v>0</v>
      </c>
      <c r="Z237" t="str">
        <f>IFERROR(VLOOKUP(Y237,tbFactorMes,2,FALSE),"")</f>
        <v/>
      </c>
      <c r="AA237">
        <f t="shared" si="45"/>
        <v>0</v>
      </c>
      <c r="AD237" t="str">
        <f>IFERROR(VLOOKUP(AC237,tbFactorMes,2,FALSE),"")</f>
        <v/>
      </c>
      <c r="AE237">
        <f t="shared" si="46"/>
        <v>0</v>
      </c>
      <c r="AH237" t="str">
        <f>IFERROR(VLOOKUP(AG237,tbFactorMes,2,FALSE),"")</f>
        <v/>
      </c>
      <c r="AI237">
        <f t="shared" si="47"/>
        <v>0</v>
      </c>
      <c r="AL237" t="str">
        <f>IFERROR(VLOOKUP(AK237,tbFactorMes,2,FALSE),"")</f>
        <v/>
      </c>
      <c r="AM237">
        <f t="shared" si="48"/>
        <v>0</v>
      </c>
      <c r="AP237" t="str">
        <f>IFERROR(VLOOKUP(AO237,tbFactorMes,2,FALSE),"")</f>
        <v/>
      </c>
      <c r="AQ237">
        <f t="shared" si="49"/>
        <v>0</v>
      </c>
      <c r="AT237" t="str">
        <f>IFERROR(VLOOKUP(AS237,tbFactorMes,2,FALSE),"")</f>
        <v/>
      </c>
      <c r="AU237">
        <f t="shared" si="50"/>
        <v>0</v>
      </c>
      <c r="AX237" t="str">
        <f>IFERROR(VLOOKUP(AW237,tbFactorMes,2,FALSE),"")</f>
        <v/>
      </c>
      <c r="AY237">
        <f t="shared" si="51"/>
        <v>0</v>
      </c>
      <c r="BB237" t="str">
        <f>IFERROR(VLOOKUP(BA237,tbFactorMes,2,FALSE),"")</f>
        <v/>
      </c>
      <c r="BC237">
        <f t="shared" si="52"/>
        <v>0</v>
      </c>
      <c r="BF237" t="str">
        <f>IFERROR(VLOOKUP(BE237,tbFactorMes,2,FALSE),"")</f>
        <v/>
      </c>
      <c r="BG237">
        <f t="shared" si="53"/>
        <v>0</v>
      </c>
      <c r="BH237">
        <f t="shared" si="54"/>
        <v>0</v>
      </c>
      <c r="BI237">
        <f t="shared" si="55"/>
        <v>0</v>
      </c>
    </row>
    <row r="238" spans="11:61" x14ac:dyDescent="0.35">
      <c r="K238" t="str">
        <f>IFERROR(VLOOKUP(F238,tbTurnos,3,FALSE),"")</f>
        <v/>
      </c>
      <c r="N238" t="str">
        <f>IFERROR(VLOOKUP(M238,tbFactorMes,2,FALSE),"")</f>
        <v/>
      </c>
      <c r="O238">
        <f t="shared" si="42"/>
        <v>0</v>
      </c>
      <c r="R238" t="str">
        <f>IFERROR(VLOOKUP(Q238,tbFactorMes,2,FALSE),"")</f>
        <v/>
      </c>
      <c r="S238">
        <f t="shared" si="43"/>
        <v>0</v>
      </c>
      <c r="V238" t="str">
        <f>IFERROR(VLOOKUP(U238,tbFactorMes,2,FALSE),"")</f>
        <v/>
      </c>
      <c r="W238">
        <f t="shared" si="44"/>
        <v>0</v>
      </c>
      <c r="Z238" t="str">
        <f>IFERROR(VLOOKUP(Y238,tbFactorMes,2,FALSE),"")</f>
        <v/>
      </c>
      <c r="AA238">
        <f t="shared" si="45"/>
        <v>0</v>
      </c>
      <c r="AD238" t="str">
        <f>IFERROR(VLOOKUP(AC238,tbFactorMes,2,FALSE),"")</f>
        <v/>
      </c>
      <c r="AE238">
        <f t="shared" si="46"/>
        <v>0</v>
      </c>
      <c r="AH238" t="str">
        <f>IFERROR(VLOOKUP(AG238,tbFactorMes,2,FALSE),"")</f>
        <v/>
      </c>
      <c r="AI238">
        <f t="shared" si="47"/>
        <v>0</v>
      </c>
      <c r="AL238" t="str">
        <f>IFERROR(VLOOKUP(AK238,tbFactorMes,2,FALSE),"")</f>
        <v/>
      </c>
      <c r="AM238">
        <f t="shared" si="48"/>
        <v>0</v>
      </c>
      <c r="AP238" t="str">
        <f>IFERROR(VLOOKUP(AO238,tbFactorMes,2,FALSE),"")</f>
        <v/>
      </c>
      <c r="AQ238">
        <f t="shared" si="49"/>
        <v>0</v>
      </c>
      <c r="AT238" t="str">
        <f>IFERROR(VLOOKUP(AS238,tbFactorMes,2,FALSE),"")</f>
        <v/>
      </c>
      <c r="AU238">
        <f t="shared" si="50"/>
        <v>0</v>
      </c>
      <c r="AX238" t="str">
        <f>IFERROR(VLOOKUP(AW238,tbFactorMes,2,FALSE),"")</f>
        <v/>
      </c>
      <c r="AY238">
        <f t="shared" si="51"/>
        <v>0</v>
      </c>
      <c r="BB238" t="str">
        <f>IFERROR(VLOOKUP(BA238,tbFactorMes,2,FALSE),"")</f>
        <v/>
      </c>
      <c r="BC238">
        <f t="shared" si="52"/>
        <v>0</v>
      </c>
      <c r="BF238" t="str">
        <f>IFERROR(VLOOKUP(BE238,tbFactorMes,2,FALSE),"")</f>
        <v/>
      </c>
      <c r="BG238">
        <f t="shared" si="53"/>
        <v>0</v>
      </c>
      <c r="BH238">
        <f t="shared" si="54"/>
        <v>0</v>
      </c>
      <c r="BI238">
        <f t="shared" si="55"/>
        <v>0</v>
      </c>
    </row>
    <row r="239" spans="11:61" x14ac:dyDescent="0.35">
      <c r="K239" t="str">
        <f>IFERROR(VLOOKUP(F239,tbTurnos,3,FALSE),"")</f>
        <v/>
      </c>
      <c r="N239" t="str">
        <f>IFERROR(VLOOKUP(M239,tbFactorMes,2,FALSE),"")</f>
        <v/>
      </c>
      <c r="O239">
        <f t="shared" si="42"/>
        <v>0</v>
      </c>
      <c r="R239" t="str">
        <f>IFERROR(VLOOKUP(Q239,tbFactorMes,2,FALSE),"")</f>
        <v/>
      </c>
      <c r="S239">
        <f t="shared" si="43"/>
        <v>0</v>
      </c>
      <c r="V239" t="str">
        <f>IFERROR(VLOOKUP(U239,tbFactorMes,2,FALSE),"")</f>
        <v/>
      </c>
      <c r="W239">
        <f t="shared" si="44"/>
        <v>0</v>
      </c>
      <c r="Z239" t="str">
        <f>IFERROR(VLOOKUP(Y239,tbFactorMes,2,FALSE),"")</f>
        <v/>
      </c>
      <c r="AA239">
        <f t="shared" si="45"/>
        <v>0</v>
      </c>
      <c r="AD239" t="str">
        <f>IFERROR(VLOOKUP(AC239,tbFactorMes,2,FALSE),"")</f>
        <v/>
      </c>
      <c r="AE239">
        <f t="shared" si="46"/>
        <v>0</v>
      </c>
      <c r="AH239" t="str">
        <f>IFERROR(VLOOKUP(AG239,tbFactorMes,2,FALSE),"")</f>
        <v/>
      </c>
      <c r="AI239">
        <f t="shared" si="47"/>
        <v>0</v>
      </c>
      <c r="AL239" t="str">
        <f>IFERROR(VLOOKUP(AK239,tbFactorMes,2,FALSE),"")</f>
        <v/>
      </c>
      <c r="AM239">
        <f t="shared" si="48"/>
        <v>0</v>
      </c>
      <c r="AP239" t="str">
        <f>IFERROR(VLOOKUP(AO239,tbFactorMes,2,FALSE),"")</f>
        <v/>
      </c>
      <c r="AQ239">
        <f t="shared" si="49"/>
        <v>0</v>
      </c>
      <c r="AT239" t="str">
        <f>IFERROR(VLOOKUP(AS239,tbFactorMes,2,FALSE),"")</f>
        <v/>
      </c>
      <c r="AU239">
        <f t="shared" si="50"/>
        <v>0</v>
      </c>
      <c r="AX239" t="str">
        <f>IFERROR(VLOOKUP(AW239,tbFactorMes,2,FALSE),"")</f>
        <v/>
      </c>
      <c r="AY239">
        <f t="shared" si="51"/>
        <v>0</v>
      </c>
      <c r="BB239" t="str">
        <f>IFERROR(VLOOKUP(BA239,tbFactorMes,2,FALSE),"")</f>
        <v/>
      </c>
      <c r="BC239">
        <f t="shared" si="52"/>
        <v>0</v>
      </c>
      <c r="BF239" t="str">
        <f>IFERROR(VLOOKUP(BE239,tbFactorMes,2,FALSE),"")</f>
        <v/>
      </c>
      <c r="BG239">
        <f t="shared" si="53"/>
        <v>0</v>
      </c>
      <c r="BH239">
        <f t="shared" si="54"/>
        <v>0</v>
      </c>
      <c r="BI239">
        <f t="shared" si="55"/>
        <v>0</v>
      </c>
    </row>
    <row r="240" spans="11:61" x14ac:dyDescent="0.35">
      <c r="K240" t="str">
        <f>IFERROR(VLOOKUP(F240,tbTurnos,3,FALSE),"")</f>
        <v/>
      </c>
      <c r="N240" t="str">
        <f>IFERROR(VLOOKUP(M240,tbFactorMes,2,FALSE),"")</f>
        <v/>
      </c>
      <c r="O240">
        <f t="shared" si="42"/>
        <v>0</v>
      </c>
      <c r="R240" t="str">
        <f>IFERROR(VLOOKUP(Q240,tbFactorMes,2,FALSE),"")</f>
        <v/>
      </c>
      <c r="S240">
        <f t="shared" si="43"/>
        <v>0</v>
      </c>
      <c r="V240" t="str">
        <f>IFERROR(VLOOKUP(U240,tbFactorMes,2,FALSE),"")</f>
        <v/>
      </c>
      <c r="W240">
        <f t="shared" si="44"/>
        <v>0</v>
      </c>
      <c r="Z240" t="str">
        <f>IFERROR(VLOOKUP(Y240,tbFactorMes,2,FALSE),"")</f>
        <v/>
      </c>
      <c r="AA240">
        <f t="shared" si="45"/>
        <v>0</v>
      </c>
      <c r="AD240" t="str">
        <f>IFERROR(VLOOKUP(AC240,tbFactorMes,2,FALSE),"")</f>
        <v/>
      </c>
      <c r="AE240">
        <f t="shared" si="46"/>
        <v>0</v>
      </c>
      <c r="AH240" t="str">
        <f>IFERROR(VLOOKUP(AG240,tbFactorMes,2,FALSE),"")</f>
        <v/>
      </c>
      <c r="AI240">
        <f t="shared" si="47"/>
        <v>0</v>
      </c>
      <c r="AL240" t="str">
        <f>IFERROR(VLOOKUP(AK240,tbFactorMes,2,FALSE),"")</f>
        <v/>
      </c>
      <c r="AM240">
        <f t="shared" si="48"/>
        <v>0</v>
      </c>
      <c r="AP240" t="str">
        <f>IFERROR(VLOOKUP(AO240,tbFactorMes,2,FALSE),"")</f>
        <v/>
      </c>
      <c r="AQ240">
        <f t="shared" si="49"/>
        <v>0</v>
      </c>
      <c r="AT240" t="str">
        <f>IFERROR(VLOOKUP(AS240,tbFactorMes,2,FALSE),"")</f>
        <v/>
      </c>
      <c r="AU240">
        <f t="shared" si="50"/>
        <v>0</v>
      </c>
      <c r="AX240" t="str">
        <f>IFERROR(VLOOKUP(AW240,tbFactorMes,2,FALSE),"")</f>
        <v/>
      </c>
      <c r="AY240">
        <f t="shared" si="51"/>
        <v>0</v>
      </c>
      <c r="BB240" t="str">
        <f>IFERROR(VLOOKUP(BA240,tbFactorMes,2,FALSE),"")</f>
        <v/>
      </c>
      <c r="BC240">
        <f t="shared" si="52"/>
        <v>0</v>
      </c>
      <c r="BF240" t="str">
        <f>IFERROR(VLOOKUP(BE240,tbFactorMes,2,FALSE),"")</f>
        <v/>
      </c>
      <c r="BG240">
        <f t="shared" si="53"/>
        <v>0</v>
      </c>
      <c r="BH240">
        <f t="shared" si="54"/>
        <v>0</v>
      </c>
      <c r="BI240">
        <f t="shared" si="55"/>
        <v>0</v>
      </c>
    </row>
    <row r="241" spans="11:61" x14ac:dyDescent="0.35">
      <c r="K241" t="str">
        <f>IFERROR(VLOOKUP(F241,tbTurnos,3,FALSE),"")</f>
        <v/>
      </c>
      <c r="N241" t="str">
        <f>IFERROR(VLOOKUP(M241,tbFactorMes,2,FALSE),"")</f>
        <v/>
      </c>
      <c r="O241">
        <f t="shared" si="42"/>
        <v>0</v>
      </c>
      <c r="R241" t="str">
        <f>IFERROR(VLOOKUP(Q241,tbFactorMes,2,FALSE),"")</f>
        <v/>
      </c>
      <c r="S241">
        <f t="shared" si="43"/>
        <v>0</v>
      </c>
      <c r="V241" t="str">
        <f>IFERROR(VLOOKUP(U241,tbFactorMes,2,FALSE),"")</f>
        <v/>
      </c>
      <c r="W241">
        <f t="shared" si="44"/>
        <v>0</v>
      </c>
      <c r="Z241" t="str">
        <f>IFERROR(VLOOKUP(Y241,tbFactorMes,2,FALSE),"")</f>
        <v/>
      </c>
      <c r="AA241">
        <f t="shared" si="45"/>
        <v>0</v>
      </c>
      <c r="AD241" t="str">
        <f>IFERROR(VLOOKUP(AC241,tbFactorMes,2,FALSE),"")</f>
        <v/>
      </c>
      <c r="AE241">
        <f t="shared" si="46"/>
        <v>0</v>
      </c>
      <c r="AH241" t="str">
        <f>IFERROR(VLOOKUP(AG241,tbFactorMes,2,FALSE),"")</f>
        <v/>
      </c>
      <c r="AI241">
        <f t="shared" si="47"/>
        <v>0</v>
      </c>
      <c r="AL241" t="str">
        <f>IFERROR(VLOOKUP(AK241,tbFactorMes,2,FALSE),"")</f>
        <v/>
      </c>
      <c r="AM241">
        <f t="shared" si="48"/>
        <v>0</v>
      </c>
      <c r="AP241" t="str">
        <f>IFERROR(VLOOKUP(AO241,tbFactorMes,2,FALSE),"")</f>
        <v/>
      </c>
      <c r="AQ241">
        <f t="shared" si="49"/>
        <v>0</v>
      </c>
      <c r="AT241" t="str">
        <f>IFERROR(VLOOKUP(AS241,tbFactorMes,2,FALSE),"")</f>
        <v/>
      </c>
      <c r="AU241">
        <f t="shared" si="50"/>
        <v>0</v>
      </c>
      <c r="AX241" t="str">
        <f>IFERROR(VLOOKUP(AW241,tbFactorMes,2,FALSE),"")</f>
        <v/>
      </c>
      <c r="AY241">
        <f t="shared" si="51"/>
        <v>0</v>
      </c>
      <c r="BB241" t="str">
        <f>IFERROR(VLOOKUP(BA241,tbFactorMes,2,FALSE),"")</f>
        <v/>
      </c>
      <c r="BC241">
        <f t="shared" si="52"/>
        <v>0</v>
      </c>
      <c r="BF241" t="str">
        <f>IFERROR(VLOOKUP(BE241,tbFactorMes,2,FALSE),"")</f>
        <v/>
      </c>
      <c r="BG241">
        <f t="shared" si="53"/>
        <v>0</v>
      </c>
      <c r="BH241">
        <f t="shared" si="54"/>
        <v>0</v>
      </c>
      <c r="BI241">
        <f t="shared" si="55"/>
        <v>0</v>
      </c>
    </row>
    <row r="242" spans="11:61" x14ac:dyDescent="0.35">
      <c r="K242" t="str">
        <f>IFERROR(VLOOKUP(F242,tbTurnos,3,FALSE),"")</f>
        <v/>
      </c>
      <c r="N242" t="str">
        <f>IFERROR(VLOOKUP(M242,tbFactorMes,2,FALSE),"")</f>
        <v/>
      </c>
      <c r="O242">
        <f t="shared" si="42"/>
        <v>0</v>
      </c>
      <c r="R242" t="str">
        <f>IFERROR(VLOOKUP(Q242,tbFactorMes,2,FALSE),"")</f>
        <v/>
      </c>
      <c r="S242">
        <f t="shared" si="43"/>
        <v>0</v>
      </c>
      <c r="V242" t="str">
        <f>IFERROR(VLOOKUP(U242,tbFactorMes,2,FALSE),"")</f>
        <v/>
      </c>
      <c r="W242">
        <f t="shared" si="44"/>
        <v>0</v>
      </c>
      <c r="Z242" t="str">
        <f>IFERROR(VLOOKUP(Y242,tbFactorMes,2,FALSE),"")</f>
        <v/>
      </c>
      <c r="AA242">
        <f t="shared" si="45"/>
        <v>0</v>
      </c>
      <c r="AD242" t="str">
        <f>IFERROR(VLOOKUP(AC242,tbFactorMes,2,FALSE),"")</f>
        <v/>
      </c>
      <c r="AE242">
        <f t="shared" si="46"/>
        <v>0</v>
      </c>
      <c r="AH242" t="str">
        <f>IFERROR(VLOOKUP(AG242,tbFactorMes,2,FALSE),"")</f>
        <v/>
      </c>
      <c r="AI242">
        <f t="shared" si="47"/>
        <v>0</v>
      </c>
      <c r="AL242" t="str">
        <f>IFERROR(VLOOKUP(AK242,tbFactorMes,2,FALSE),"")</f>
        <v/>
      </c>
      <c r="AM242">
        <f t="shared" si="48"/>
        <v>0</v>
      </c>
      <c r="AP242" t="str">
        <f>IFERROR(VLOOKUP(AO242,tbFactorMes,2,FALSE),"")</f>
        <v/>
      </c>
      <c r="AQ242">
        <f t="shared" si="49"/>
        <v>0</v>
      </c>
      <c r="AT242" t="str">
        <f>IFERROR(VLOOKUP(AS242,tbFactorMes,2,FALSE),"")</f>
        <v/>
      </c>
      <c r="AU242">
        <f t="shared" si="50"/>
        <v>0</v>
      </c>
      <c r="AX242" t="str">
        <f>IFERROR(VLOOKUP(AW242,tbFactorMes,2,FALSE),"")</f>
        <v/>
      </c>
      <c r="AY242">
        <f t="shared" si="51"/>
        <v>0</v>
      </c>
      <c r="BB242" t="str">
        <f>IFERROR(VLOOKUP(BA242,tbFactorMes,2,FALSE),"")</f>
        <v/>
      </c>
      <c r="BC242">
        <f t="shared" si="52"/>
        <v>0</v>
      </c>
      <c r="BF242" t="str">
        <f>IFERROR(VLOOKUP(BE242,tbFactorMes,2,FALSE),"")</f>
        <v/>
      </c>
      <c r="BG242">
        <f t="shared" si="53"/>
        <v>0</v>
      </c>
      <c r="BH242">
        <f t="shared" si="54"/>
        <v>0</v>
      </c>
      <c r="BI242">
        <f t="shared" si="55"/>
        <v>0</v>
      </c>
    </row>
    <row r="243" spans="11:61" x14ac:dyDescent="0.35">
      <c r="K243" t="str">
        <f>IFERROR(VLOOKUP(F243,tbTurnos,3,FALSE),"")</f>
        <v/>
      </c>
      <c r="N243" t="str">
        <f>IFERROR(VLOOKUP(M243,tbFactorMes,2,FALSE),"")</f>
        <v/>
      </c>
      <c r="O243">
        <f t="shared" si="42"/>
        <v>0</v>
      </c>
      <c r="R243" t="str">
        <f>IFERROR(VLOOKUP(Q243,tbFactorMes,2,FALSE),"")</f>
        <v/>
      </c>
      <c r="S243">
        <f t="shared" si="43"/>
        <v>0</v>
      </c>
      <c r="V243" t="str">
        <f>IFERROR(VLOOKUP(U243,tbFactorMes,2,FALSE),"")</f>
        <v/>
      </c>
      <c r="W243">
        <f t="shared" si="44"/>
        <v>0</v>
      </c>
      <c r="Z243" t="str">
        <f>IFERROR(VLOOKUP(Y243,tbFactorMes,2,FALSE),"")</f>
        <v/>
      </c>
      <c r="AA243">
        <f t="shared" si="45"/>
        <v>0</v>
      </c>
      <c r="AD243" t="str">
        <f>IFERROR(VLOOKUP(AC243,tbFactorMes,2,FALSE),"")</f>
        <v/>
      </c>
      <c r="AE243">
        <f t="shared" si="46"/>
        <v>0</v>
      </c>
      <c r="AH243" t="str">
        <f>IFERROR(VLOOKUP(AG243,tbFactorMes,2,FALSE),"")</f>
        <v/>
      </c>
      <c r="AI243">
        <f t="shared" si="47"/>
        <v>0</v>
      </c>
      <c r="AL243" t="str">
        <f>IFERROR(VLOOKUP(AK243,tbFactorMes,2,FALSE),"")</f>
        <v/>
      </c>
      <c r="AM243">
        <f t="shared" si="48"/>
        <v>0</v>
      </c>
      <c r="AP243" t="str">
        <f>IFERROR(VLOOKUP(AO243,tbFactorMes,2,FALSE),"")</f>
        <v/>
      </c>
      <c r="AQ243">
        <f t="shared" si="49"/>
        <v>0</v>
      </c>
      <c r="AT243" t="str">
        <f>IFERROR(VLOOKUP(AS243,tbFactorMes,2,FALSE),"")</f>
        <v/>
      </c>
      <c r="AU243">
        <f t="shared" si="50"/>
        <v>0</v>
      </c>
      <c r="AX243" t="str">
        <f>IFERROR(VLOOKUP(AW243,tbFactorMes,2,FALSE),"")</f>
        <v/>
      </c>
      <c r="AY243">
        <f t="shared" si="51"/>
        <v>0</v>
      </c>
      <c r="BB243" t="str">
        <f>IFERROR(VLOOKUP(BA243,tbFactorMes,2,FALSE),"")</f>
        <v/>
      </c>
      <c r="BC243">
        <f t="shared" si="52"/>
        <v>0</v>
      </c>
      <c r="BF243" t="str">
        <f>IFERROR(VLOOKUP(BE243,tbFactorMes,2,FALSE),"")</f>
        <v/>
      </c>
      <c r="BG243">
        <f t="shared" si="53"/>
        <v>0</v>
      </c>
      <c r="BH243">
        <f t="shared" si="54"/>
        <v>0</v>
      </c>
      <c r="BI243">
        <f t="shared" si="55"/>
        <v>0</v>
      </c>
    </row>
    <row r="244" spans="11:61" x14ac:dyDescent="0.35">
      <c r="K244" t="str">
        <f>IFERROR(VLOOKUP(F244,tbTurnos,3,FALSE),"")</f>
        <v/>
      </c>
      <c r="N244" t="str">
        <f>IFERROR(VLOOKUP(M244,tbFactorMes,2,FALSE),"")</f>
        <v/>
      </c>
      <c r="O244">
        <f t="shared" si="42"/>
        <v>0</v>
      </c>
      <c r="R244" t="str">
        <f>IFERROR(VLOOKUP(Q244,tbFactorMes,2,FALSE),"")</f>
        <v/>
      </c>
      <c r="S244">
        <f t="shared" si="43"/>
        <v>0</v>
      </c>
      <c r="V244" t="str">
        <f>IFERROR(VLOOKUP(U244,tbFactorMes,2,FALSE),"")</f>
        <v/>
      </c>
      <c r="W244">
        <f t="shared" si="44"/>
        <v>0</v>
      </c>
      <c r="Z244" t="str">
        <f>IFERROR(VLOOKUP(Y244,tbFactorMes,2,FALSE),"")</f>
        <v/>
      </c>
      <c r="AA244">
        <f t="shared" si="45"/>
        <v>0</v>
      </c>
      <c r="AD244" t="str">
        <f>IFERROR(VLOOKUP(AC244,tbFactorMes,2,FALSE),"")</f>
        <v/>
      </c>
      <c r="AE244">
        <f t="shared" si="46"/>
        <v>0</v>
      </c>
      <c r="AH244" t="str">
        <f>IFERROR(VLOOKUP(AG244,tbFactorMes,2,FALSE),"")</f>
        <v/>
      </c>
      <c r="AI244">
        <f t="shared" si="47"/>
        <v>0</v>
      </c>
      <c r="AL244" t="str">
        <f>IFERROR(VLOOKUP(AK244,tbFactorMes,2,FALSE),"")</f>
        <v/>
      </c>
      <c r="AM244">
        <f t="shared" si="48"/>
        <v>0</v>
      </c>
      <c r="AP244" t="str">
        <f>IFERROR(VLOOKUP(AO244,tbFactorMes,2,FALSE),"")</f>
        <v/>
      </c>
      <c r="AQ244">
        <f t="shared" si="49"/>
        <v>0</v>
      </c>
      <c r="AT244" t="str">
        <f>IFERROR(VLOOKUP(AS244,tbFactorMes,2,FALSE),"")</f>
        <v/>
      </c>
      <c r="AU244">
        <f t="shared" si="50"/>
        <v>0</v>
      </c>
      <c r="AX244" t="str">
        <f>IFERROR(VLOOKUP(AW244,tbFactorMes,2,FALSE),"")</f>
        <v/>
      </c>
      <c r="AY244">
        <f t="shared" si="51"/>
        <v>0</v>
      </c>
      <c r="BB244" t="str">
        <f>IFERROR(VLOOKUP(BA244,tbFactorMes,2,FALSE),"")</f>
        <v/>
      </c>
      <c r="BC244">
        <f t="shared" si="52"/>
        <v>0</v>
      </c>
      <c r="BF244" t="str">
        <f>IFERROR(VLOOKUP(BE244,tbFactorMes,2,FALSE),"")</f>
        <v/>
      </c>
      <c r="BG244">
        <f t="shared" si="53"/>
        <v>0</v>
      </c>
      <c r="BH244">
        <f t="shared" si="54"/>
        <v>0</v>
      </c>
      <c r="BI244">
        <f t="shared" si="55"/>
        <v>0</v>
      </c>
    </row>
    <row r="245" spans="11:61" x14ac:dyDescent="0.35">
      <c r="K245" t="str">
        <f>IFERROR(VLOOKUP(F245,tbTurnos,3,FALSE),"")</f>
        <v/>
      </c>
      <c r="N245" t="str">
        <f>IFERROR(VLOOKUP(M245,tbFactorMes,2,FALSE),"")</f>
        <v/>
      </c>
      <c r="O245">
        <f t="shared" si="42"/>
        <v>0</v>
      </c>
      <c r="R245" t="str">
        <f>IFERROR(VLOOKUP(Q245,tbFactorMes,2,FALSE),"")</f>
        <v/>
      </c>
      <c r="S245">
        <f t="shared" si="43"/>
        <v>0</v>
      </c>
      <c r="V245" t="str">
        <f>IFERROR(VLOOKUP(U245,tbFactorMes,2,FALSE),"")</f>
        <v/>
      </c>
      <c r="W245">
        <f t="shared" si="44"/>
        <v>0</v>
      </c>
      <c r="Z245" t="str">
        <f>IFERROR(VLOOKUP(Y245,tbFactorMes,2,FALSE),"")</f>
        <v/>
      </c>
      <c r="AA245">
        <f t="shared" si="45"/>
        <v>0</v>
      </c>
      <c r="AD245" t="str">
        <f>IFERROR(VLOOKUP(AC245,tbFactorMes,2,FALSE),"")</f>
        <v/>
      </c>
      <c r="AE245">
        <f t="shared" si="46"/>
        <v>0</v>
      </c>
      <c r="AH245" t="str">
        <f>IFERROR(VLOOKUP(AG245,tbFactorMes,2,FALSE),"")</f>
        <v/>
      </c>
      <c r="AI245">
        <f t="shared" si="47"/>
        <v>0</v>
      </c>
      <c r="AL245" t="str">
        <f>IFERROR(VLOOKUP(AK245,tbFactorMes,2,FALSE),"")</f>
        <v/>
      </c>
      <c r="AM245">
        <f t="shared" si="48"/>
        <v>0</v>
      </c>
      <c r="AP245" t="str">
        <f>IFERROR(VLOOKUP(AO245,tbFactorMes,2,FALSE),"")</f>
        <v/>
      </c>
      <c r="AQ245">
        <f t="shared" si="49"/>
        <v>0</v>
      </c>
      <c r="AT245" t="str">
        <f>IFERROR(VLOOKUP(AS245,tbFactorMes,2,FALSE),"")</f>
        <v/>
      </c>
      <c r="AU245">
        <f t="shared" si="50"/>
        <v>0</v>
      </c>
      <c r="AX245" t="str">
        <f>IFERROR(VLOOKUP(AW245,tbFactorMes,2,FALSE),"")</f>
        <v/>
      </c>
      <c r="AY245">
        <f t="shared" si="51"/>
        <v>0</v>
      </c>
      <c r="BB245" t="str">
        <f>IFERROR(VLOOKUP(BA245,tbFactorMes,2,FALSE),"")</f>
        <v/>
      </c>
      <c r="BC245">
        <f t="shared" si="52"/>
        <v>0</v>
      </c>
      <c r="BF245" t="str">
        <f>IFERROR(VLOOKUP(BE245,tbFactorMes,2,FALSE),"")</f>
        <v/>
      </c>
      <c r="BG245">
        <f t="shared" si="53"/>
        <v>0</v>
      </c>
      <c r="BH245">
        <f t="shared" si="54"/>
        <v>0</v>
      </c>
      <c r="BI245">
        <f t="shared" si="55"/>
        <v>0</v>
      </c>
    </row>
    <row r="246" spans="11:61" x14ac:dyDescent="0.35">
      <c r="K246" t="str">
        <f>IFERROR(VLOOKUP(F246,tbTurnos,3,FALSE),"")</f>
        <v/>
      </c>
      <c r="N246" t="str">
        <f>IFERROR(VLOOKUP(M246,tbFactorMes,2,FALSE),"")</f>
        <v/>
      </c>
      <c r="O246">
        <f t="shared" si="42"/>
        <v>0</v>
      </c>
      <c r="R246" t="str">
        <f>IFERROR(VLOOKUP(Q246,tbFactorMes,2,FALSE),"")</f>
        <v/>
      </c>
      <c r="S246">
        <f t="shared" si="43"/>
        <v>0</v>
      </c>
      <c r="V246" t="str">
        <f>IFERROR(VLOOKUP(U246,tbFactorMes,2,FALSE),"")</f>
        <v/>
      </c>
      <c r="W246">
        <f t="shared" si="44"/>
        <v>0</v>
      </c>
      <c r="Z246" t="str">
        <f>IFERROR(VLOOKUP(Y246,tbFactorMes,2,FALSE),"")</f>
        <v/>
      </c>
      <c r="AA246">
        <f t="shared" si="45"/>
        <v>0</v>
      </c>
      <c r="AD246" t="str">
        <f>IFERROR(VLOOKUP(AC246,tbFactorMes,2,FALSE),"")</f>
        <v/>
      </c>
      <c r="AE246">
        <f t="shared" si="46"/>
        <v>0</v>
      </c>
      <c r="AH246" t="str">
        <f>IFERROR(VLOOKUP(AG246,tbFactorMes,2,FALSE),"")</f>
        <v/>
      </c>
      <c r="AI246">
        <f t="shared" si="47"/>
        <v>0</v>
      </c>
      <c r="AL246" t="str">
        <f>IFERROR(VLOOKUP(AK246,tbFactorMes,2,FALSE),"")</f>
        <v/>
      </c>
      <c r="AM246">
        <f t="shared" si="48"/>
        <v>0</v>
      </c>
      <c r="AP246" t="str">
        <f>IFERROR(VLOOKUP(AO246,tbFactorMes,2,FALSE),"")</f>
        <v/>
      </c>
      <c r="AQ246">
        <f t="shared" si="49"/>
        <v>0</v>
      </c>
      <c r="AT246" t="str">
        <f>IFERROR(VLOOKUP(AS246,tbFactorMes,2,FALSE),"")</f>
        <v/>
      </c>
      <c r="AU246">
        <f t="shared" si="50"/>
        <v>0</v>
      </c>
      <c r="AX246" t="str">
        <f>IFERROR(VLOOKUP(AW246,tbFactorMes,2,FALSE),"")</f>
        <v/>
      </c>
      <c r="AY246">
        <f t="shared" si="51"/>
        <v>0</v>
      </c>
      <c r="BB246" t="str">
        <f>IFERROR(VLOOKUP(BA246,tbFactorMes,2,FALSE),"")</f>
        <v/>
      </c>
      <c r="BC246">
        <f t="shared" si="52"/>
        <v>0</v>
      </c>
      <c r="BF246" t="str">
        <f>IFERROR(VLOOKUP(BE246,tbFactorMes,2,FALSE),"")</f>
        <v/>
      </c>
      <c r="BG246">
        <f t="shared" si="53"/>
        <v>0</v>
      </c>
      <c r="BH246">
        <f t="shared" si="54"/>
        <v>0</v>
      </c>
      <c r="BI246">
        <f t="shared" si="55"/>
        <v>0</v>
      </c>
    </row>
    <row r="247" spans="11:61" x14ac:dyDescent="0.35">
      <c r="K247" t="str">
        <f>IFERROR(VLOOKUP(F247,tbTurnos,3,FALSE),"")</f>
        <v/>
      </c>
      <c r="N247" t="str">
        <f>IFERROR(VLOOKUP(M247,tbFactorMes,2,FALSE),"")</f>
        <v/>
      </c>
      <c r="O247">
        <f t="shared" si="42"/>
        <v>0</v>
      </c>
      <c r="R247" t="str">
        <f>IFERROR(VLOOKUP(Q247,tbFactorMes,2,FALSE),"")</f>
        <v/>
      </c>
      <c r="S247">
        <f t="shared" si="43"/>
        <v>0</v>
      </c>
      <c r="V247" t="str">
        <f>IFERROR(VLOOKUP(U247,tbFactorMes,2,FALSE),"")</f>
        <v/>
      </c>
      <c r="W247">
        <f t="shared" si="44"/>
        <v>0</v>
      </c>
      <c r="Z247" t="str">
        <f>IFERROR(VLOOKUP(Y247,tbFactorMes,2,FALSE),"")</f>
        <v/>
      </c>
      <c r="AA247">
        <f t="shared" si="45"/>
        <v>0</v>
      </c>
      <c r="AD247" t="str">
        <f>IFERROR(VLOOKUP(AC247,tbFactorMes,2,FALSE),"")</f>
        <v/>
      </c>
      <c r="AE247">
        <f t="shared" si="46"/>
        <v>0</v>
      </c>
      <c r="AH247" t="str">
        <f>IFERROR(VLOOKUP(AG247,tbFactorMes,2,FALSE),"")</f>
        <v/>
      </c>
      <c r="AI247">
        <f t="shared" si="47"/>
        <v>0</v>
      </c>
      <c r="AL247" t="str">
        <f>IFERROR(VLOOKUP(AK247,tbFactorMes,2,FALSE),"")</f>
        <v/>
      </c>
      <c r="AM247">
        <f t="shared" si="48"/>
        <v>0</v>
      </c>
      <c r="AP247" t="str">
        <f>IFERROR(VLOOKUP(AO247,tbFactorMes,2,FALSE),"")</f>
        <v/>
      </c>
      <c r="AQ247">
        <f t="shared" si="49"/>
        <v>0</v>
      </c>
      <c r="AT247" t="str">
        <f>IFERROR(VLOOKUP(AS247,tbFactorMes,2,FALSE),"")</f>
        <v/>
      </c>
      <c r="AU247">
        <f t="shared" si="50"/>
        <v>0</v>
      </c>
      <c r="AX247" t="str">
        <f>IFERROR(VLOOKUP(AW247,tbFactorMes,2,FALSE),"")</f>
        <v/>
      </c>
      <c r="AY247">
        <f t="shared" si="51"/>
        <v>0</v>
      </c>
      <c r="BB247" t="str">
        <f>IFERROR(VLOOKUP(BA247,tbFactorMes,2,FALSE),"")</f>
        <v/>
      </c>
      <c r="BC247">
        <f t="shared" si="52"/>
        <v>0</v>
      </c>
      <c r="BF247" t="str">
        <f>IFERROR(VLOOKUP(BE247,tbFactorMes,2,FALSE),"")</f>
        <v/>
      </c>
      <c r="BG247">
        <f t="shared" si="53"/>
        <v>0</v>
      </c>
      <c r="BH247">
        <f t="shared" si="54"/>
        <v>0</v>
      </c>
      <c r="BI247">
        <f t="shared" si="55"/>
        <v>0</v>
      </c>
    </row>
    <row r="248" spans="11:61" x14ac:dyDescent="0.35">
      <c r="K248" t="str">
        <f>IFERROR(VLOOKUP(F248,tbTurnos,3,FALSE),"")</f>
        <v/>
      </c>
      <c r="N248" t="str">
        <f>IFERROR(VLOOKUP(M248,tbFactorMes,2,FALSE),"")</f>
        <v/>
      </c>
      <c r="O248">
        <f t="shared" si="42"/>
        <v>0</v>
      </c>
      <c r="R248" t="str">
        <f>IFERROR(VLOOKUP(Q248,tbFactorMes,2,FALSE),"")</f>
        <v/>
      </c>
      <c r="S248">
        <f t="shared" si="43"/>
        <v>0</v>
      </c>
      <c r="V248" t="str">
        <f>IFERROR(VLOOKUP(U248,tbFactorMes,2,FALSE),"")</f>
        <v/>
      </c>
      <c r="W248">
        <f t="shared" si="44"/>
        <v>0</v>
      </c>
      <c r="Z248" t="str">
        <f>IFERROR(VLOOKUP(Y248,tbFactorMes,2,FALSE),"")</f>
        <v/>
      </c>
      <c r="AA248">
        <f t="shared" si="45"/>
        <v>0</v>
      </c>
      <c r="AD248" t="str">
        <f>IFERROR(VLOOKUP(AC248,tbFactorMes,2,FALSE),"")</f>
        <v/>
      </c>
      <c r="AE248">
        <f t="shared" si="46"/>
        <v>0</v>
      </c>
      <c r="AH248" t="str">
        <f>IFERROR(VLOOKUP(AG248,tbFactorMes,2,FALSE),"")</f>
        <v/>
      </c>
      <c r="AI248">
        <f t="shared" si="47"/>
        <v>0</v>
      </c>
      <c r="AL248" t="str">
        <f>IFERROR(VLOOKUP(AK248,tbFactorMes,2,FALSE),"")</f>
        <v/>
      </c>
      <c r="AM248">
        <f t="shared" si="48"/>
        <v>0</v>
      </c>
      <c r="AP248" t="str">
        <f>IFERROR(VLOOKUP(AO248,tbFactorMes,2,FALSE),"")</f>
        <v/>
      </c>
      <c r="AQ248">
        <f t="shared" si="49"/>
        <v>0</v>
      </c>
      <c r="AT248" t="str">
        <f>IFERROR(VLOOKUP(AS248,tbFactorMes,2,FALSE),"")</f>
        <v/>
      </c>
      <c r="AU248">
        <f t="shared" si="50"/>
        <v>0</v>
      </c>
      <c r="AX248" t="str">
        <f>IFERROR(VLOOKUP(AW248,tbFactorMes,2,FALSE),"")</f>
        <v/>
      </c>
      <c r="AY248">
        <f t="shared" si="51"/>
        <v>0</v>
      </c>
      <c r="BB248" t="str">
        <f>IFERROR(VLOOKUP(BA248,tbFactorMes,2,FALSE),"")</f>
        <v/>
      </c>
      <c r="BC248">
        <f t="shared" si="52"/>
        <v>0</v>
      </c>
      <c r="BF248" t="str">
        <f>IFERROR(VLOOKUP(BE248,tbFactorMes,2,FALSE),"")</f>
        <v/>
      </c>
      <c r="BG248">
        <f t="shared" si="53"/>
        <v>0</v>
      </c>
      <c r="BH248">
        <f t="shared" si="54"/>
        <v>0</v>
      </c>
      <c r="BI248">
        <f t="shared" si="55"/>
        <v>0</v>
      </c>
    </row>
    <row r="249" spans="11:61" x14ac:dyDescent="0.35">
      <c r="K249" t="str">
        <f>IFERROR(VLOOKUP(F249,tbTurnos,3,FALSE),"")</f>
        <v/>
      </c>
      <c r="N249" t="str">
        <f>IFERROR(VLOOKUP(M249,tbFactorMes,2,FALSE),"")</f>
        <v/>
      </c>
      <c r="O249">
        <f t="shared" si="42"/>
        <v>0</v>
      </c>
      <c r="R249" t="str">
        <f>IFERROR(VLOOKUP(Q249,tbFactorMes,2,FALSE),"")</f>
        <v/>
      </c>
      <c r="S249">
        <f t="shared" si="43"/>
        <v>0</v>
      </c>
      <c r="V249" t="str">
        <f>IFERROR(VLOOKUP(U249,tbFactorMes,2,FALSE),"")</f>
        <v/>
      </c>
      <c r="W249">
        <f t="shared" si="44"/>
        <v>0</v>
      </c>
      <c r="Z249" t="str">
        <f>IFERROR(VLOOKUP(Y249,tbFactorMes,2,FALSE),"")</f>
        <v/>
      </c>
      <c r="AA249">
        <f t="shared" si="45"/>
        <v>0</v>
      </c>
      <c r="AD249" t="str">
        <f>IFERROR(VLOOKUP(AC249,tbFactorMes,2,FALSE),"")</f>
        <v/>
      </c>
      <c r="AE249">
        <f t="shared" si="46"/>
        <v>0</v>
      </c>
      <c r="AH249" t="str">
        <f>IFERROR(VLOOKUP(AG249,tbFactorMes,2,FALSE),"")</f>
        <v/>
      </c>
      <c r="AI249">
        <f t="shared" si="47"/>
        <v>0</v>
      </c>
      <c r="AL249" t="str">
        <f>IFERROR(VLOOKUP(AK249,tbFactorMes,2,FALSE),"")</f>
        <v/>
      </c>
      <c r="AM249">
        <f t="shared" si="48"/>
        <v>0</v>
      </c>
      <c r="AP249" t="str">
        <f>IFERROR(VLOOKUP(AO249,tbFactorMes,2,FALSE),"")</f>
        <v/>
      </c>
      <c r="AQ249">
        <f t="shared" si="49"/>
        <v>0</v>
      </c>
      <c r="AT249" t="str">
        <f>IFERROR(VLOOKUP(AS249,tbFactorMes,2,FALSE),"")</f>
        <v/>
      </c>
      <c r="AU249">
        <f t="shared" si="50"/>
        <v>0</v>
      </c>
      <c r="AX249" t="str">
        <f>IFERROR(VLOOKUP(AW249,tbFactorMes,2,FALSE),"")</f>
        <v/>
      </c>
      <c r="AY249">
        <f t="shared" si="51"/>
        <v>0</v>
      </c>
      <c r="BB249" t="str">
        <f>IFERROR(VLOOKUP(BA249,tbFactorMes,2,FALSE),"")</f>
        <v/>
      </c>
      <c r="BC249">
        <f t="shared" si="52"/>
        <v>0</v>
      </c>
      <c r="BF249" t="str">
        <f>IFERROR(VLOOKUP(BE249,tbFactorMes,2,FALSE),"")</f>
        <v/>
      </c>
      <c r="BG249">
        <f t="shared" si="53"/>
        <v>0</v>
      </c>
      <c r="BH249">
        <f t="shared" si="54"/>
        <v>0</v>
      </c>
      <c r="BI249">
        <f t="shared" si="55"/>
        <v>0</v>
      </c>
    </row>
    <row r="250" spans="11:61" x14ac:dyDescent="0.35">
      <c r="K250" t="str">
        <f>IFERROR(VLOOKUP(F250,tbTurnos,3,FALSE),"")</f>
        <v/>
      </c>
      <c r="N250" t="str">
        <f>IFERROR(VLOOKUP(M250,tbFactorMes,2,FALSE),"")</f>
        <v/>
      </c>
      <c r="O250">
        <f t="shared" si="42"/>
        <v>0</v>
      </c>
      <c r="R250" t="str">
        <f>IFERROR(VLOOKUP(Q250,tbFactorMes,2,FALSE),"")</f>
        <v/>
      </c>
      <c r="S250">
        <f t="shared" si="43"/>
        <v>0</v>
      </c>
      <c r="V250" t="str">
        <f>IFERROR(VLOOKUP(U250,tbFactorMes,2,FALSE),"")</f>
        <v/>
      </c>
      <c r="W250">
        <f t="shared" si="44"/>
        <v>0</v>
      </c>
      <c r="Z250" t="str">
        <f>IFERROR(VLOOKUP(Y250,tbFactorMes,2,FALSE),"")</f>
        <v/>
      </c>
      <c r="AA250">
        <f t="shared" si="45"/>
        <v>0</v>
      </c>
      <c r="AD250" t="str">
        <f>IFERROR(VLOOKUP(AC250,tbFactorMes,2,FALSE),"")</f>
        <v/>
      </c>
      <c r="AE250">
        <f t="shared" si="46"/>
        <v>0</v>
      </c>
      <c r="AH250" t="str">
        <f>IFERROR(VLOOKUP(AG250,tbFactorMes,2,FALSE),"")</f>
        <v/>
      </c>
      <c r="AI250">
        <f t="shared" si="47"/>
        <v>0</v>
      </c>
      <c r="AL250" t="str">
        <f>IFERROR(VLOOKUP(AK250,tbFactorMes,2,FALSE),"")</f>
        <v/>
      </c>
      <c r="AM250">
        <f t="shared" si="48"/>
        <v>0</v>
      </c>
      <c r="AP250" t="str">
        <f>IFERROR(VLOOKUP(AO250,tbFactorMes,2,FALSE),"")</f>
        <v/>
      </c>
      <c r="AQ250">
        <f t="shared" si="49"/>
        <v>0</v>
      </c>
      <c r="AT250" t="str">
        <f>IFERROR(VLOOKUP(AS250,tbFactorMes,2,FALSE),"")</f>
        <v/>
      </c>
      <c r="AU250">
        <f t="shared" si="50"/>
        <v>0</v>
      </c>
      <c r="AX250" t="str">
        <f>IFERROR(VLOOKUP(AW250,tbFactorMes,2,FALSE),"")</f>
        <v/>
      </c>
      <c r="AY250">
        <f t="shared" si="51"/>
        <v>0</v>
      </c>
      <c r="BB250" t="str">
        <f>IFERROR(VLOOKUP(BA250,tbFactorMes,2,FALSE),"")</f>
        <v/>
      </c>
      <c r="BC250">
        <f t="shared" si="52"/>
        <v>0</v>
      </c>
      <c r="BF250" t="str">
        <f>IFERROR(VLOOKUP(BE250,tbFactorMes,2,FALSE),"")</f>
        <v/>
      </c>
      <c r="BG250">
        <f t="shared" si="53"/>
        <v>0</v>
      </c>
      <c r="BH250">
        <f t="shared" si="54"/>
        <v>0</v>
      </c>
      <c r="BI250">
        <f t="shared" si="55"/>
        <v>0</v>
      </c>
    </row>
    <row r="251" spans="11:61" x14ac:dyDescent="0.35">
      <c r="K251" t="str">
        <f>IFERROR(VLOOKUP(F251,tbTurnos,3,FALSE),"")</f>
        <v/>
      </c>
      <c r="N251" t="str">
        <f>IFERROR(VLOOKUP(M251,tbFactorMes,2,FALSE),"")</f>
        <v/>
      </c>
      <c r="O251">
        <f t="shared" si="42"/>
        <v>0</v>
      </c>
      <c r="R251" t="str">
        <f>IFERROR(VLOOKUP(Q251,tbFactorMes,2,FALSE),"")</f>
        <v/>
      </c>
      <c r="S251">
        <f t="shared" si="43"/>
        <v>0</v>
      </c>
      <c r="V251" t="str">
        <f>IFERROR(VLOOKUP(U251,tbFactorMes,2,FALSE),"")</f>
        <v/>
      </c>
      <c r="W251">
        <f t="shared" si="44"/>
        <v>0</v>
      </c>
      <c r="Z251" t="str">
        <f>IFERROR(VLOOKUP(Y251,tbFactorMes,2,FALSE),"")</f>
        <v/>
      </c>
      <c r="AA251">
        <f t="shared" si="45"/>
        <v>0</v>
      </c>
      <c r="AD251" t="str">
        <f>IFERROR(VLOOKUP(AC251,tbFactorMes,2,FALSE),"")</f>
        <v/>
      </c>
      <c r="AE251">
        <f t="shared" si="46"/>
        <v>0</v>
      </c>
      <c r="AH251" t="str">
        <f>IFERROR(VLOOKUP(AG251,tbFactorMes,2,FALSE),"")</f>
        <v/>
      </c>
      <c r="AI251">
        <f t="shared" si="47"/>
        <v>0</v>
      </c>
      <c r="AL251" t="str">
        <f>IFERROR(VLOOKUP(AK251,tbFactorMes,2,FALSE),"")</f>
        <v/>
      </c>
      <c r="AM251">
        <f t="shared" si="48"/>
        <v>0</v>
      </c>
      <c r="AP251" t="str">
        <f>IFERROR(VLOOKUP(AO251,tbFactorMes,2,FALSE),"")</f>
        <v/>
      </c>
      <c r="AQ251">
        <f t="shared" si="49"/>
        <v>0</v>
      </c>
      <c r="AT251" t="str">
        <f>IFERROR(VLOOKUP(AS251,tbFactorMes,2,FALSE),"")</f>
        <v/>
      </c>
      <c r="AU251">
        <f t="shared" si="50"/>
        <v>0</v>
      </c>
      <c r="AX251" t="str">
        <f>IFERROR(VLOOKUP(AW251,tbFactorMes,2,FALSE),"")</f>
        <v/>
      </c>
      <c r="AY251">
        <f t="shared" si="51"/>
        <v>0</v>
      </c>
      <c r="BB251" t="str">
        <f>IFERROR(VLOOKUP(BA251,tbFactorMes,2,FALSE),"")</f>
        <v/>
      </c>
      <c r="BC251">
        <f t="shared" si="52"/>
        <v>0</v>
      </c>
      <c r="BF251" t="str">
        <f>IFERROR(VLOOKUP(BE251,tbFactorMes,2,FALSE),"")</f>
        <v/>
      </c>
      <c r="BG251">
        <f t="shared" si="53"/>
        <v>0</v>
      </c>
      <c r="BH251">
        <f t="shared" si="54"/>
        <v>0</v>
      </c>
      <c r="BI251">
        <f t="shared" si="55"/>
        <v>0</v>
      </c>
    </row>
    <row r="252" spans="11:61" x14ac:dyDescent="0.35">
      <c r="K252" t="str">
        <f>IFERROR(VLOOKUP(F252,tbTurnos,3,FALSE),"")</f>
        <v/>
      </c>
      <c r="N252" t="str">
        <f>IFERROR(VLOOKUP(M252,tbFactorMes,2,FALSE),"")</f>
        <v/>
      </c>
      <c r="O252">
        <f t="shared" si="42"/>
        <v>0</v>
      </c>
      <c r="R252" t="str">
        <f>IFERROR(VLOOKUP(Q252,tbFactorMes,2,FALSE),"")</f>
        <v/>
      </c>
      <c r="S252">
        <f t="shared" si="43"/>
        <v>0</v>
      </c>
      <c r="V252" t="str">
        <f>IFERROR(VLOOKUP(U252,tbFactorMes,2,FALSE),"")</f>
        <v/>
      </c>
      <c r="W252">
        <f t="shared" si="44"/>
        <v>0</v>
      </c>
      <c r="Z252" t="str">
        <f>IFERROR(VLOOKUP(Y252,tbFactorMes,2,FALSE),"")</f>
        <v/>
      </c>
      <c r="AA252">
        <f t="shared" si="45"/>
        <v>0</v>
      </c>
      <c r="AD252" t="str">
        <f>IFERROR(VLOOKUP(AC252,tbFactorMes,2,FALSE),"")</f>
        <v/>
      </c>
      <c r="AE252">
        <f t="shared" si="46"/>
        <v>0</v>
      </c>
      <c r="AH252" t="str">
        <f>IFERROR(VLOOKUP(AG252,tbFactorMes,2,FALSE),"")</f>
        <v/>
      </c>
      <c r="AI252">
        <f t="shared" si="47"/>
        <v>0</v>
      </c>
      <c r="AL252" t="str">
        <f>IFERROR(VLOOKUP(AK252,tbFactorMes,2,FALSE),"")</f>
        <v/>
      </c>
      <c r="AM252">
        <f t="shared" si="48"/>
        <v>0</v>
      </c>
      <c r="AP252" t="str">
        <f>IFERROR(VLOOKUP(AO252,tbFactorMes,2,FALSE),"")</f>
        <v/>
      </c>
      <c r="AQ252">
        <f t="shared" si="49"/>
        <v>0</v>
      </c>
      <c r="AT252" t="str">
        <f>IFERROR(VLOOKUP(AS252,tbFactorMes,2,FALSE),"")</f>
        <v/>
      </c>
      <c r="AU252">
        <f t="shared" si="50"/>
        <v>0</v>
      </c>
      <c r="AX252" t="str">
        <f>IFERROR(VLOOKUP(AW252,tbFactorMes,2,FALSE),"")</f>
        <v/>
      </c>
      <c r="AY252">
        <f t="shared" si="51"/>
        <v>0</v>
      </c>
      <c r="BB252" t="str">
        <f>IFERROR(VLOOKUP(BA252,tbFactorMes,2,FALSE),"")</f>
        <v/>
      </c>
      <c r="BC252">
        <f t="shared" si="52"/>
        <v>0</v>
      </c>
      <c r="BF252" t="str">
        <f>IFERROR(VLOOKUP(BE252,tbFactorMes,2,FALSE),"")</f>
        <v/>
      </c>
      <c r="BG252">
        <f t="shared" si="53"/>
        <v>0</v>
      </c>
      <c r="BH252">
        <f t="shared" si="54"/>
        <v>0</v>
      </c>
      <c r="BI252">
        <f t="shared" si="55"/>
        <v>0</v>
      </c>
    </row>
    <row r="253" spans="11:61" x14ac:dyDescent="0.35">
      <c r="K253" t="str">
        <f>IFERROR(VLOOKUP(F253,tbTurnos,3,FALSE),"")</f>
        <v/>
      </c>
      <c r="N253" t="str">
        <f>IFERROR(VLOOKUP(M253,tbFactorMes,2,FALSE),"")</f>
        <v/>
      </c>
      <c r="O253">
        <f t="shared" si="42"/>
        <v>0</v>
      </c>
      <c r="R253" t="str">
        <f>IFERROR(VLOOKUP(Q253,tbFactorMes,2,FALSE),"")</f>
        <v/>
      </c>
      <c r="S253">
        <f t="shared" si="43"/>
        <v>0</v>
      </c>
      <c r="V253" t="str">
        <f>IFERROR(VLOOKUP(U253,tbFactorMes,2,FALSE),"")</f>
        <v/>
      </c>
      <c r="W253">
        <f t="shared" si="44"/>
        <v>0</v>
      </c>
      <c r="Z253" t="str">
        <f>IFERROR(VLOOKUP(Y253,tbFactorMes,2,FALSE),"")</f>
        <v/>
      </c>
      <c r="AA253">
        <f t="shared" si="45"/>
        <v>0</v>
      </c>
      <c r="AD253" t="str">
        <f>IFERROR(VLOOKUP(AC253,tbFactorMes,2,FALSE),"")</f>
        <v/>
      </c>
      <c r="AE253">
        <f t="shared" si="46"/>
        <v>0</v>
      </c>
      <c r="AH253" t="str">
        <f>IFERROR(VLOOKUP(AG253,tbFactorMes,2,FALSE),"")</f>
        <v/>
      </c>
      <c r="AI253">
        <f t="shared" si="47"/>
        <v>0</v>
      </c>
      <c r="AL253" t="str">
        <f>IFERROR(VLOOKUP(AK253,tbFactorMes,2,FALSE),"")</f>
        <v/>
      </c>
      <c r="AM253">
        <f t="shared" si="48"/>
        <v>0</v>
      </c>
      <c r="AP253" t="str">
        <f>IFERROR(VLOOKUP(AO253,tbFactorMes,2,FALSE),"")</f>
        <v/>
      </c>
      <c r="AQ253">
        <f t="shared" si="49"/>
        <v>0</v>
      </c>
      <c r="AT253" t="str">
        <f>IFERROR(VLOOKUP(AS253,tbFactorMes,2,FALSE),"")</f>
        <v/>
      </c>
      <c r="AU253">
        <f t="shared" si="50"/>
        <v>0</v>
      </c>
      <c r="AX253" t="str">
        <f>IFERROR(VLOOKUP(AW253,tbFactorMes,2,FALSE),"")</f>
        <v/>
      </c>
      <c r="AY253">
        <f t="shared" si="51"/>
        <v>0</v>
      </c>
      <c r="BB253" t="str">
        <f>IFERROR(VLOOKUP(BA253,tbFactorMes,2,FALSE),"")</f>
        <v/>
      </c>
      <c r="BC253">
        <f t="shared" si="52"/>
        <v>0</v>
      </c>
      <c r="BF253" t="str">
        <f>IFERROR(VLOOKUP(BE253,tbFactorMes,2,FALSE),"")</f>
        <v/>
      </c>
      <c r="BG253">
        <f t="shared" si="53"/>
        <v>0</v>
      </c>
      <c r="BH253">
        <f t="shared" si="54"/>
        <v>0</v>
      </c>
      <c r="BI253">
        <f t="shared" si="55"/>
        <v>0</v>
      </c>
    </row>
    <row r="254" spans="11:61" x14ac:dyDescent="0.35">
      <c r="K254" t="str">
        <f>IFERROR(VLOOKUP(F254,tbTurnos,3,FALSE),"")</f>
        <v/>
      </c>
      <c r="N254" t="str">
        <f>IFERROR(VLOOKUP(M254,tbFactorMes,2,FALSE),"")</f>
        <v/>
      </c>
      <c r="O254">
        <f t="shared" si="42"/>
        <v>0</v>
      </c>
      <c r="R254" t="str">
        <f>IFERROR(VLOOKUP(Q254,tbFactorMes,2,FALSE),"")</f>
        <v/>
      </c>
      <c r="S254">
        <f t="shared" si="43"/>
        <v>0</v>
      </c>
      <c r="V254" t="str">
        <f>IFERROR(VLOOKUP(U254,tbFactorMes,2,FALSE),"")</f>
        <v/>
      </c>
      <c r="W254">
        <f t="shared" si="44"/>
        <v>0</v>
      </c>
      <c r="Z254" t="str">
        <f>IFERROR(VLOOKUP(Y254,tbFactorMes,2,FALSE),"")</f>
        <v/>
      </c>
      <c r="AA254">
        <f t="shared" si="45"/>
        <v>0</v>
      </c>
      <c r="AD254" t="str">
        <f>IFERROR(VLOOKUP(AC254,tbFactorMes,2,FALSE),"")</f>
        <v/>
      </c>
      <c r="AE254">
        <f t="shared" si="46"/>
        <v>0</v>
      </c>
      <c r="AH254" t="str">
        <f>IFERROR(VLOOKUP(AG254,tbFactorMes,2,FALSE),"")</f>
        <v/>
      </c>
      <c r="AI254">
        <f t="shared" si="47"/>
        <v>0</v>
      </c>
      <c r="AL254" t="str">
        <f>IFERROR(VLOOKUP(AK254,tbFactorMes,2,FALSE),"")</f>
        <v/>
      </c>
      <c r="AM254">
        <f t="shared" si="48"/>
        <v>0</v>
      </c>
      <c r="AP254" t="str">
        <f>IFERROR(VLOOKUP(AO254,tbFactorMes,2,FALSE),"")</f>
        <v/>
      </c>
      <c r="AQ254">
        <f t="shared" si="49"/>
        <v>0</v>
      </c>
      <c r="AT254" t="str">
        <f>IFERROR(VLOOKUP(AS254,tbFactorMes,2,FALSE),"")</f>
        <v/>
      </c>
      <c r="AU254">
        <f t="shared" si="50"/>
        <v>0</v>
      </c>
      <c r="AX254" t="str">
        <f>IFERROR(VLOOKUP(AW254,tbFactorMes,2,FALSE),"")</f>
        <v/>
      </c>
      <c r="AY254">
        <f t="shared" si="51"/>
        <v>0</v>
      </c>
      <c r="BB254" t="str">
        <f>IFERROR(VLOOKUP(BA254,tbFactorMes,2,FALSE),"")</f>
        <v/>
      </c>
      <c r="BC254">
        <f t="shared" si="52"/>
        <v>0</v>
      </c>
      <c r="BF254" t="str">
        <f>IFERROR(VLOOKUP(BE254,tbFactorMes,2,FALSE),"")</f>
        <v/>
      </c>
      <c r="BG254">
        <f t="shared" si="53"/>
        <v>0</v>
      </c>
      <c r="BH254">
        <f t="shared" si="54"/>
        <v>0</v>
      </c>
      <c r="BI254">
        <f t="shared" si="55"/>
        <v>0</v>
      </c>
    </row>
    <row r="255" spans="11:61" x14ac:dyDescent="0.35">
      <c r="K255" t="str">
        <f>IFERROR(VLOOKUP(F255,tbTurnos,3,FALSE),"")</f>
        <v/>
      </c>
      <c r="N255" t="str">
        <f>IFERROR(VLOOKUP(M255,tbFactorMes,2,FALSE),"")</f>
        <v/>
      </c>
      <c r="O255">
        <f t="shared" si="42"/>
        <v>0</v>
      </c>
      <c r="R255" t="str">
        <f>IFERROR(VLOOKUP(Q255,tbFactorMes,2,FALSE),"")</f>
        <v/>
      </c>
      <c r="S255">
        <f t="shared" si="43"/>
        <v>0</v>
      </c>
      <c r="V255" t="str">
        <f>IFERROR(VLOOKUP(U255,tbFactorMes,2,FALSE),"")</f>
        <v/>
      </c>
      <c r="W255">
        <f t="shared" si="44"/>
        <v>0</v>
      </c>
      <c r="Z255" t="str">
        <f>IFERROR(VLOOKUP(Y255,tbFactorMes,2,FALSE),"")</f>
        <v/>
      </c>
      <c r="AA255">
        <f t="shared" si="45"/>
        <v>0</v>
      </c>
      <c r="AD255" t="str">
        <f>IFERROR(VLOOKUP(AC255,tbFactorMes,2,FALSE),"")</f>
        <v/>
      </c>
      <c r="AE255">
        <f t="shared" si="46"/>
        <v>0</v>
      </c>
      <c r="AH255" t="str">
        <f>IFERROR(VLOOKUP(AG255,tbFactorMes,2,FALSE),"")</f>
        <v/>
      </c>
      <c r="AI255">
        <f t="shared" si="47"/>
        <v>0</v>
      </c>
      <c r="AL255" t="str">
        <f>IFERROR(VLOOKUP(AK255,tbFactorMes,2,FALSE),"")</f>
        <v/>
      </c>
      <c r="AM255">
        <f t="shared" si="48"/>
        <v>0</v>
      </c>
      <c r="AP255" t="str">
        <f>IFERROR(VLOOKUP(AO255,tbFactorMes,2,FALSE),"")</f>
        <v/>
      </c>
      <c r="AQ255">
        <f t="shared" si="49"/>
        <v>0</v>
      </c>
      <c r="AT255" t="str">
        <f>IFERROR(VLOOKUP(AS255,tbFactorMes,2,FALSE),"")</f>
        <v/>
      </c>
      <c r="AU255">
        <f t="shared" si="50"/>
        <v>0</v>
      </c>
      <c r="AX255" t="str">
        <f>IFERROR(VLOOKUP(AW255,tbFactorMes,2,FALSE),"")</f>
        <v/>
      </c>
      <c r="AY255">
        <f t="shared" si="51"/>
        <v>0</v>
      </c>
      <c r="BB255" t="str">
        <f>IFERROR(VLOOKUP(BA255,tbFactorMes,2,FALSE),"")</f>
        <v/>
      </c>
      <c r="BC255">
        <f t="shared" si="52"/>
        <v>0</v>
      </c>
      <c r="BF255" t="str">
        <f>IFERROR(VLOOKUP(BE255,tbFactorMes,2,FALSE),"")</f>
        <v/>
      </c>
      <c r="BG255">
        <f t="shared" si="53"/>
        <v>0</v>
      </c>
      <c r="BH255">
        <f t="shared" si="54"/>
        <v>0</v>
      </c>
      <c r="BI255">
        <f t="shared" si="55"/>
        <v>0</v>
      </c>
    </row>
    <row r="256" spans="11:61" x14ac:dyDescent="0.35">
      <c r="K256" t="str">
        <f>IFERROR(VLOOKUP(F256,tbTurnos,3,FALSE),"")</f>
        <v/>
      </c>
      <c r="N256" t="str">
        <f>IFERROR(VLOOKUP(M256,tbFactorMes,2,FALSE),"")</f>
        <v/>
      </c>
      <c r="O256">
        <f t="shared" si="42"/>
        <v>0</v>
      </c>
      <c r="R256" t="str">
        <f>IFERROR(VLOOKUP(Q256,tbFactorMes,2,FALSE),"")</f>
        <v/>
      </c>
      <c r="S256">
        <f t="shared" si="43"/>
        <v>0</v>
      </c>
      <c r="V256" t="str">
        <f>IFERROR(VLOOKUP(U256,tbFactorMes,2,FALSE),"")</f>
        <v/>
      </c>
      <c r="W256">
        <f t="shared" si="44"/>
        <v>0</v>
      </c>
      <c r="Z256" t="str">
        <f>IFERROR(VLOOKUP(Y256,tbFactorMes,2,FALSE),"")</f>
        <v/>
      </c>
      <c r="AA256">
        <f t="shared" si="45"/>
        <v>0</v>
      </c>
      <c r="AD256" t="str">
        <f>IFERROR(VLOOKUP(AC256,tbFactorMes,2,FALSE),"")</f>
        <v/>
      </c>
      <c r="AE256">
        <f t="shared" si="46"/>
        <v>0</v>
      </c>
      <c r="AH256" t="str">
        <f>IFERROR(VLOOKUP(AG256,tbFactorMes,2,FALSE),"")</f>
        <v/>
      </c>
      <c r="AI256">
        <f t="shared" si="47"/>
        <v>0</v>
      </c>
      <c r="AL256" t="str">
        <f>IFERROR(VLOOKUP(AK256,tbFactorMes,2,FALSE),"")</f>
        <v/>
      </c>
      <c r="AM256">
        <f t="shared" si="48"/>
        <v>0</v>
      </c>
      <c r="AP256" t="str">
        <f>IFERROR(VLOOKUP(AO256,tbFactorMes,2,FALSE),"")</f>
        <v/>
      </c>
      <c r="AQ256">
        <f t="shared" si="49"/>
        <v>0</v>
      </c>
      <c r="AT256" t="str">
        <f>IFERROR(VLOOKUP(AS256,tbFactorMes,2,FALSE),"")</f>
        <v/>
      </c>
      <c r="AU256">
        <f t="shared" si="50"/>
        <v>0</v>
      </c>
      <c r="AX256" t="str">
        <f>IFERROR(VLOOKUP(AW256,tbFactorMes,2,FALSE),"")</f>
        <v/>
      </c>
      <c r="AY256">
        <f t="shared" si="51"/>
        <v>0</v>
      </c>
      <c r="BB256" t="str">
        <f>IFERROR(VLOOKUP(BA256,tbFactorMes,2,FALSE),"")</f>
        <v/>
      </c>
      <c r="BC256">
        <f t="shared" si="52"/>
        <v>0</v>
      </c>
      <c r="BF256" t="str">
        <f>IFERROR(VLOOKUP(BE256,tbFactorMes,2,FALSE),"")</f>
        <v/>
      </c>
      <c r="BG256">
        <f t="shared" si="53"/>
        <v>0</v>
      </c>
      <c r="BH256">
        <f t="shared" si="54"/>
        <v>0</v>
      </c>
      <c r="BI256">
        <f t="shared" si="55"/>
        <v>0</v>
      </c>
    </row>
    <row r="257" spans="11:61" x14ac:dyDescent="0.35">
      <c r="K257" t="str">
        <f>IFERROR(VLOOKUP(F257,tbTurnos,3,FALSE),"")</f>
        <v/>
      </c>
      <c r="N257" t="str">
        <f>IFERROR(VLOOKUP(M257,tbFactorMes,2,FALSE),"")</f>
        <v/>
      </c>
      <c r="O257">
        <f t="shared" si="42"/>
        <v>0</v>
      </c>
      <c r="R257" t="str">
        <f>IFERROR(VLOOKUP(Q257,tbFactorMes,2,FALSE),"")</f>
        <v/>
      </c>
      <c r="S257">
        <f t="shared" si="43"/>
        <v>0</v>
      </c>
      <c r="V257" t="str">
        <f>IFERROR(VLOOKUP(U257,tbFactorMes,2,FALSE),"")</f>
        <v/>
      </c>
      <c r="W257">
        <f t="shared" si="44"/>
        <v>0</v>
      </c>
      <c r="Z257" t="str">
        <f>IFERROR(VLOOKUP(Y257,tbFactorMes,2,FALSE),"")</f>
        <v/>
      </c>
      <c r="AA257">
        <f t="shared" si="45"/>
        <v>0</v>
      </c>
      <c r="AD257" t="str">
        <f>IFERROR(VLOOKUP(AC257,tbFactorMes,2,FALSE),"")</f>
        <v/>
      </c>
      <c r="AE257">
        <f t="shared" si="46"/>
        <v>0</v>
      </c>
      <c r="AH257" t="str">
        <f>IFERROR(VLOOKUP(AG257,tbFactorMes,2,FALSE),"")</f>
        <v/>
      </c>
      <c r="AI257">
        <f t="shared" si="47"/>
        <v>0</v>
      </c>
      <c r="AL257" t="str">
        <f>IFERROR(VLOOKUP(AK257,tbFactorMes,2,FALSE),"")</f>
        <v/>
      </c>
      <c r="AM257">
        <f t="shared" si="48"/>
        <v>0</v>
      </c>
      <c r="AP257" t="str">
        <f>IFERROR(VLOOKUP(AO257,tbFactorMes,2,FALSE),"")</f>
        <v/>
      </c>
      <c r="AQ257">
        <f t="shared" si="49"/>
        <v>0</v>
      </c>
      <c r="AT257" t="str">
        <f>IFERROR(VLOOKUP(AS257,tbFactorMes,2,FALSE),"")</f>
        <v/>
      </c>
      <c r="AU257">
        <f t="shared" si="50"/>
        <v>0</v>
      </c>
      <c r="AX257" t="str">
        <f>IFERROR(VLOOKUP(AW257,tbFactorMes,2,FALSE),"")</f>
        <v/>
      </c>
      <c r="AY257">
        <f t="shared" si="51"/>
        <v>0</v>
      </c>
      <c r="BB257" t="str">
        <f>IFERROR(VLOOKUP(BA257,tbFactorMes,2,FALSE),"")</f>
        <v/>
      </c>
      <c r="BC257">
        <f t="shared" si="52"/>
        <v>0</v>
      </c>
      <c r="BF257" t="str">
        <f>IFERROR(VLOOKUP(BE257,tbFactorMes,2,FALSE),"")</f>
        <v/>
      </c>
      <c r="BG257">
        <f t="shared" si="53"/>
        <v>0</v>
      </c>
      <c r="BH257">
        <f t="shared" si="54"/>
        <v>0</v>
      </c>
      <c r="BI257">
        <f t="shared" si="55"/>
        <v>0</v>
      </c>
    </row>
    <row r="258" spans="11:61" x14ac:dyDescent="0.35">
      <c r="K258" t="str">
        <f>IFERROR(VLOOKUP(F258,tbTurnos,3,FALSE),"")</f>
        <v/>
      </c>
      <c r="N258" t="str">
        <f>IFERROR(VLOOKUP(M258,tbFactorMes,2,FALSE),"")</f>
        <v/>
      </c>
      <c r="O258">
        <f t="shared" ref="O258:O321" si="56">IFERROR((L258*$K258)/N258,0)*$J258</f>
        <v>0</v>
      </c>
      <c r="R258" t="str">
        <f>IFERROR(VLOOKUP(Q258,tbFactorMes,2,FALSE),"")</f>
        <v/>
      </c>
      <c r="S258">
        <f t="shared" ref="S258:S321" si="57">IFERROR((P258*$K258)/R258,0)*$J258</f>
        <v>0</v>
      </c>
      <c r="V258" t="str">
        <f>IFERROR(VLOOKUP(U258,tbFactorMes,2,FALSE),"")</f>
        <v/>
      </c>
      <c r="W258">
        <f t="shared" ref="W258:W321" si="58">IFERROR((T258*$K258)/V258,0)*$J258</f>
        <v>0</v>
      </c>
      <c r="Z258" t="str">
        <f>IFERROR(VLOOKUP(Y258,tbFactorMes,2,FALSE),"")</f>
        <v/>
      </c>
      <c r="AA258">
        <f t="shared" ref="AA258:AA321" si="59">IFERROR((X258*$K258)/Z258,0)*$J258</f>
        <v>0</v>
      </c>
      <c r="AD258" t="str">
        <f>IFERROR(VLOOKUP(AC258,tbFactorMes,2,FALSE),"")</f>
        <v/>
      </c>
      <c r="AE258">
        <f t="shared" ref="AE258:AE321" si="60">IFERROR((AB258*$K258)/AD258,0)*$J258</f>
        <v>0</v>
      </c>
      <c r="AH258" t="str">
        <f>IFERROR(VLOOKUP(AG258,tbFactorMes,2,FALSE),"")</f>
        <v/>
      </c>
      <c r="AI258">
        <f t="shared" ref="AI258:AI321" si="61">IFERROR((AF258*$K258)/AH258,0)*$J258</f>
        <v>0</v>
      </c>
      <c r="AL258" t="str">
        <f>IFERROR(VLOOKUP(AK258,tbFactorMes,2,FALSE),"")</f>
        <v/>
      </c>
      <c r="AM258">
        <f t="shared" ref="AM258:AM321" si="62">IFERROR((AJ258*$K258)/AL258,0)*$J258</f>
        <v>0</v>
      </c>
      <c r="AP258" t="str">
        <f>IFERROR(VLOOKUP(AO258,tbFactorMes,2,FALSE),"")</f>
        <v/>
      </c>
      <c r="AQ258">
        <f t="shared" ref="AQ258:AQ321" si="63">IFERROR((AN258*$K258)/AP258,0)*$J258</f>
        <v>0</v>
      </c>
      <c r="AT258" t="str">
        <f>IFERROR(VLOOKUP(AS258,tbFactorMes,2,FALSE),"")</f>
        <v/>
      </c>
      <c r="AU258">
        <f t="shared" ref="AU258:AU321" si="64">IFERROR((AR258*$K258)/AT258,0)*$J258</f>
        <v>0</v>
      </c>
      <c r="AX258" t="str">
        <f>IFERROR(VLOOKUP(AW258,tbFactorMes,2,FALSE),"")</f>
        <v/>
      </c>
      <c r="AY258">
        <f t="shared" ref="AY258:AY321" si="65">IFERROR((AV258*$K258)/AX258,0)*$J258</f>
        <v>0</v>
      </c>
      <c r="BB258" t="str">
        <f>IFERROR(VLOOKUP(BA258,tbFactorMes,2,FALSE),"")</f>
        <v/>
      </c>
      <c r="BC258">
        <f t="shared" ref="BC258:BC321" si="66">IFERROR((AZ258*$K258)/BB258,0)*$J258</f>
        <v>0</v>
      </c>
      <c r="BF258" t="str">
        <f>IFERROR(VLOOKUP(BE258,tbFactorMes,2,FALSE),"")</f>
        <v/>
      </c>
      <c r="BG258">
        <f t="shared" ref="BG258:BG321" si="67">IFERROR((BD258*$K258)/BF258,0)*$J258</f>
        <v>0</v>
      </c>
      <c r="BH258">
        <f t="shared" ref="BH258:BH321" si="68">IFERROR(SUM(O258,S258,W258,AA258,AE258,AI258,AM258,AQ258,AU258,AY258,BC258,BG258),0)</f>
        <v>0</v>
      </c>
      <c r="BI258">
        <f t="shared" ref="BI258:BI321" si="69">IFERROR(BH258*(1-$I258),0)</f>
        <v>0</v>
      </c>
    </row>
    <row r="259" spans="11:61" x14ac:dyDescent="0.35">
      <c r="K259" t="str">
        <f>IFERROR(VLOOKUP(F259,tbTurnos,3,FALSE),"")</f>
        <v/>
      </c>
      <c r="N259" t="str">
        <f>IFERROR(VLOOKUP(M259,tbFactorMes,2,FALSE),"")</f>
        <v/>
      </c>
      <c r="O259">
        <f t="shared" si="56"/>
        <v>0</v>
      </c>
      <c r="R259" t="str">
        <f>IFERROR(VLOOKUP(Q259,tbFactorMes,2,FALSE),"")</f>
        <v/>
      </c>
      <c r="S259">
        <f t="shared" si="57"/>
        <v>0</v>
      </c>
      <c r="V259" t="str">
        <f>IFERROR(VLOOKUP(U259,tbFactorMes,2,FALSE),"")</f>
        <v/>
      </c>
      <c r="W259">
        <f t="shared" si="58"/>
        <v>0</v>
      </c>
      <c r="Z259" t="str">
        <f>IFERROR(VLOOKUP(Y259,tbFactorMes,2,FALSE),"")</f>
        <v/>
      </c>
      <c r="AA259">
        <f t="shared" si="59"/>
        <v>0</v>
      </c>
      <c r="AD259" t="str">
        <f>IFERROR(VLOOKUP(AC259,tbFactorMes,2,FALSE),"")</f>
        <v/>
      </c>
      <c r="AE259">
        <f t="shared" si="60"/>
        <v>0</v>
      </c>
      <c r="AH259" t="str">
        <f>IFERROR(VLOOKUP(AG259,tbFactorMes,2,FALSE),"")</f>
        <v/>
      </c>
      <c r="AI259">
        <f t="shared" si="61"/>
        <v>0</v>
      </c>
      <c r="AL259" t="str">
        <f>IFERROR(VLOOKUP(AK259,tbFactorMes,2,FALSE),"")</f>
        <v/>
      </c>
      <c r="AM259">
        <f t="shared" si="62"/>
        <v>0</v>
      </c>
      <c r="AP259" t="str">
        <f>IFERROR(VLOOKUP(AO259,tbFactorMes,2,FALSE),"")</f>
        <v/>
      </c>
      <c r="AQ259">
        <f t="shared" si="63"/>
        <v>0</v>
      </c>
      <c r="AT259" t="str">
        <f>IFERROR(VLOOKUP(AS259,tbFactorMes,2,FALSE),"")</f>
        <v/>
      </c>
      <c r="AU259">
        <f t="shared" si="64"/>
        <v>0</v>
      </c>
      <c r="AX259" t="str">
        <f>IFERROR(VLOOKUP(AW259,tbFactorMes,2,FALSE),"")</f>
        <v/>
      </c>
      <c r="AY259">
        <f t="shared" si="65"/>
        <v>0</v>
      </c>
      <c r="BB259" t="str">
        <f>IFERROR(VLOOKUP(BA259,tbFactorMes,2,FALSE),"")</f>
        <v/>
      </c>
      <c r="BC259">
        <f t="shared" si="66"/>
        <v>0</v>
      </c>
      <c r="BF259" t="str">
        <f>IFERROR(VLOOKUP(BE259,tbFactorMes,2,FALSE),"")</f>
        <v/>
      </c>
      <c r="BG259">
        <f t="shared" si="67"/>
        <v>0</v>
      </c>
      <c r="BH259">
        <f t="shared" si="68"/>
        <v>0</v>
      </c>
      <c r="BI259">
        <f t="shared" si="69"/>
        <v>0</v>
      </c>
    </row>
    <row r="260" spans="11:61" x14ac:dyDescent="0.35">
      <c r="K260" t="str">
        <f>IFERROR(VLOOKUP(F260,tbTurnos,3,FALSE),"")</f>
        <v/>
      </c>
      <c r="N260" t="str">
        <f>IFERROR(VLOOKUP(M260,tbFactorMes,2,FALSE),"")</f>
        <v/>
      </c>
      <c r="O260">
        <f t="shared" si="56"/>
        <v>0</v>
      </c>
      <c r="R260" t="str">
        <f>IFERROR(VLOOKUP(Q260,tbFactorMes,2,FALSE),"")</f>
        <v/>
      </c>
      <c r="S260">
        <f t="shared" si="57"/>
        <v>0</v>
      </c>
      <c r="V260" t="str">
        <f>IFERROR(VLOOKUP(U260,tbFactorMes,2,FALSE),"")</f>
        <v/>
      </c>
      <c r="W260">
        <f t="shared" si="58"/>
        <v>0</v>
      </c>
      <c r="Z260" t="str">
        <f>IFERROR(VLOOKUP(Y260,tbFactorMes,2,FALSE),"")</f>
        <v/>
      </c>
      <c r="AA260">
        <f t="shared" si="59"/>
        <v>0</v>
      </c>
      <c r="AD260" t="str">
        <f>IFERROR(VLOOKUP(AC260,tbFactorMes,2,FALSE),"")</f>
        <v/>
      </c>
      <c r="AE260">
        <f t="shared" si="60"/>
        <v>0</v>
      </c>
      <c r="AH260" t="str">
        <f>IFERROR(VLOOKUP(AG260,tbFactorMes,2,FALSE),"")</f>
        <v/>
      </c>
      <c r="AI260">
        <f t="shared" si="61"/>
        <v>0</v>
      </c>
      <c r="AL260" t="str">
        <f>IFERROR(VLOOKUP(AK260,tbFactorMes,2,FALSE),"")</f>
        <v/>
      </c>
      <c r="AM260">
        <f t="shared" si="62"/>
        <v>0</v>
      </c>
      <c r="AP260" t="str">
        <f>IFERROR(VLOOKUP(AO260,tbFactorMes,2,FALSE),"")</f>
        <v/>
      </c>
      <c r="AQ260">
        <f t="shared" si="63"/>
        <v>0</v>
      </c>
      <c r="AT260" t="str">
        <f>IFERROR(VLOOKUP(AS260,tbFactorMes,2,FALSE),"")</f>
        <v/>
      </c>
      <c r="AU260">
        <f t="shared" si="64"/>
        <v>0</v>
      </c>
      <c r="AX260" t="str">
        <f>IFERROR(VLOOKUP(AW260,tbFactorMes,2,FALSE),"")</f>
        <v/>
      </c>
      <c r="AY260">
        <f t="shared" si="65"/>
        <v>0</v>
      </c>
      <c r="BB260" t="str">
        <f>IFERROR(VLOOKUP(BA260,tbFactorMes,2,FALSE),"")</f>
        <v/>
      </c>
      <c r="BC260">
        <f t="shared" si="66"/>
        <v>0</v>
      </c>
      <c r="BF260" t="str">
        <f>IFERROR(VLOOKUP(BE260,tbFactorMes,2,FALSE),"")</f>
        <v/>
      </c>
      <c r="BG260">
        <f t="shared" si="67"/>
        <v>0</v>
      </c>
      <c r="BH260">
        <f t="shared" si="68"/>
        <v>0</v>
      </c>
      <c r="BI260">
        <f t="shared" si="69"/>
        <v>0</v>
      </c>
    </row>
    <row r="261" spans="11:61" x14ac:dyDescent="0.35">
      <c r="K261" t="str">
        <f>IFERROR(VLOOKUP(F261,tbTurnos,3,FALSE),"")</f>
        <v/>
      </c>
      <c r="N261" t="str">
        <f>IFERROR(VLOOKUP(M261,tbFactorMes,2,FALSE),"")</f>
        <v/>
      </c>
      <c r="O261">
        <f t="shared" si="56"/>
        <v>0</v>
      </c>
      <c r="R261" t="str">
        <f>IFERROR(VLOOKUP(Q261,tbFactorMes,2,FALSE),"")</f>
        <v/>
      </c>
      <c r="S261">
        <f t="shared" si="57"/>
        <v>0</v>
      </c>
      <c r="V261" t="str">
        <f>IFERROR(VLOOKUP(U261,tbFactorMes,2,FALSE),"")</f>
        <v/>
      </c>
      <c r="W261">
        <f t="shared" si="58"/>
        <v>0</v>
      </c>
      <c r="Z261" t="str">
        <f>IFERROR(VLOOKUP(Y261,tbFactorMes,2,FALSE),"")</f>
        <v/>
      </c>
      <c r="AA261">
        <f t="shared" si="59"/>
        <v>0</v>
      </c>
      <c r="AD261" t="str">
        <f>IFERROR(VLOOKUP(AC261,tbFactorMes,2,FALSE),"")</f>
        <v/>
      </c>
      <c r="AE261">
        <f t="shared" si="60"/>
        <v>0</v>
      </c>
      <c r="AH261" t="str">
        <f>IFERROR(VLOOKUP(AG261,tbFactorMes,2,FALSE),"")</f>
        <v/>
      </c>
      <c r="AI261">
        <f t="shared" si="61"/>
        <v>0</v>
      </c>
      <c r="AL261" t="str">
        <f>IFERROR(VLOOKUP(AK261,tbFactorMes,2,FALSE),"")</f>
        <v/>
      </c>
      <c r="AM261">
        <f t="shared" si="62"/>
        <v>0</v>
      </c>
      <c r="AP261" t="str">
        <f>IFERROR(VLOOKUP(AO261,tbFactorMes,2,FALSE),"")</f>
        <v/>
      </c>
      <c r="AQ261">
        <f t="shared" si="63"/>
        <v>0</v>
      </c>
      <c r="AT261" t="str">
        <f>IFERROR(VLOOKUP(AS261,tbFactorMes,2,FALSE),"")</f>
        <v/>
      </c>
      <c r="AU261">
        <f t="shared" si="64"/>
        <v>0</v>
      </c>
      <c r="AX261" t="str">
        <f>IFERROR(VLOOKUP(AW261,tbFactorMes,2,FALSE),"")</f>
        <v/>
      </c>
      <c r="AY261">
        <f t="shared" si="65"/>
        <v>0</v>
      </c>
      <c r="BB261" t="str">
        <f>IFERROR(VLOOKUP(BA261,tbFactorMes,2,FALSE),"")</f>
        <v/>
      </c>
      <c r="BC261">
        <f t="shared" si="66"/>
        <v>0</v>
      </c>
      <c r="BF261" t="str">
        <f>IFERROR(VLOOKUP(BE261,tbFactorMes,2,FALSE),"")</f>
        <v/>
      </c>
      <c r="BG261">
        <f t="shared" si="67"/>
        <v>0</v>
      </c>
      <c r="BH261">
        <f t="shared" si="68"/>
        <v>0</v>
      </c>
      <c r="BI261">
        <f t="shared" si="69"/>
        <v>0</v>
      </c>
    </row>
    <row r="262" spans="11:61" x14ac:dyDescent="0.35">
      <c r="K262" t="str">
        <f>IFERROR(VLOOKUP(F262,tbTurnos,3,FALSE),"")</f>
        <v/>
      </c>
      <c r="N262" t="str">
        <f>IFERROR(VLOOKUP(M262,tbFactorMes,2,FALSE),"")</f>
        <v/>
      </c>
      <c r="O262">
        <f t="shared" si="56"/>
        <v>0</v>
      </c>
      <c r="R262" t="str">
        <f>IFERROR(VLOOKUP(Q262,tbFactorMes,2,FALSE),"")</f>
        <v/>
      </c>
      <c r="S262">
        <f t="shared" si="57"/>
        <v>0</v>
      </c>
      <c r="V262" t="str">
        <f>IFERROR(VLOOKUP(U262,tbFactorMes,2,FALSE),"")</f>
        <v/>
      </c>
      <c r="W262">
        <f t="shared" si="58"/>
        <v>0</v>
      </c>
      <c r="Z262" t="str">
        <f>IFERROR(VLOOKUP(Y262,tbFactorMes,2,FALSE),"")</f>
        <v/>
      </c>
      <c r="AA262">
        <f t="shared" si="59"/>
        <v>0</v>
      </c>
      <c r="AD262" t="str">
        <f>IFERROR(VLOOKUP(AC262,tbFactorMes,2,FALSE),"")</f>
        <v/>
      </c>
      <c r="AE262">
        <f t="shared" si="60"/>
        <v>0</v>
      </c>
      <c r="AH262" t="str">
        <f>IFERROR(VLOOKUP(AG262,tbFactorMes,2,FALSE),"")</f>
        <v/>
      </c>
      <c r="AI262">
        <f t="shared" si="61"/>
        <v>0</v>
      </c>
      <c r="AL262" t="str">
        <f>IFERROR(VLOOKUP(AK262,tbFactorMes,2,FALSE),"")</f>
        <v/>
      </c>
      <c r="AM262">
        <f t="shared" si="62"/>
        <v>0</v>
      </c>
      <c r="AP262" t="str">
        <f>IFERROR(VLOOKUP(AO262,tbFactorMes,2,FALSE),"")</f>
        <v/>
      </c>
      <c r="AQ262">
        <f t="shared" si="63"/>
        <v>0</v>
      </c>
      <c r="AT262" t="str">
        <f>IFERROR(VLOOKUP(AS262,tbFactorMes,2,FALSE),"")</f>
        <v/>
      </c>
      <c r="AU262">
        <f t="shared" si="64"/>
        <v>0</v>
      </c>
      <c r="AX262" t="str">
        <f>IFERROR(VLOOKUP(AW262,tbFactorMes,2,FALSE),"")</f>
        <v/>
      </c>
      <c r="AY262">
        <f t="shared" si="65"/>
        <v>0</v>
      </c>
      <c r="BB262" t="str">
        <f>IFERROR(VLOOKUP(BA262,tbFactorMes,2,FALSE),"")</f>
        <v/>
      </c>
      <c r="BC262">
        <f t="shared" si="66"/>
        <v>0</v>
      </c>
      <c r="BF262" t="str">
        <f>IFERROR(VLOOKUP(BE262,tbFactorMes,2,FALSE),"")</f>
        <v/>
      </c>
      <c r="BG262">
        <f t="shared" si="67"/>
        <v>0</v>
      </c>
      <c r="BH262">
        <f t="shared" si="68"/>
        <v>0</v>
      </c>
      <c r="BI262">
        <f t="shared" si="69"/>
        <v>0</v>
      </c>
    </row>
    <row r="263" spans="11:61" x14ac:dyDescent="0.35">
      <c r="K263" t="str">
        <f>IFERROR(VLOOKUP(F263,tbTurnos,3,FALSE),"")</f>
        <v/>
      </c>
      <c r="N263" t="str">
        <f>IFERROR(VLOOKUP(M263,tbFactorMes,2,FALSE),"")</f>
        <v/>
      </c>
      <c r="O263">
        <f t="shared" si="56"/>
        <v>0</v>
      </c>
      <c r="R263" t="str">
        <f>IFERROR(VLOOKUP(Q263,tbFactorMes,2,FALSE),"")</f>
        <v/>
      </c>
      <c r="S263">
        <f t="shared" si="57"/>
        <v>0</v>
      </c>
      <c r="V263" t="str">
        <f>IFERROR(VLOOKUP(U263,tbFactorMes,2,FALSE),"")</f>
        <v/>
      </c>
      <c r="W263">
        <f t="shared" si="58"/>
        <v>0</v>
      </c>
      <c r="Z263" t="str">
        <f>IFERROR(VLOOKUP(Y263,tbFactorMes,2,FALSE),"")</f>
        <v/>
      </c>
      <c r="AA263">
        <f t="shared" si="59"/>
        <v>0</v>
      </c>
      <c r="AD263" t="str">
        <f>IFERROR(VLOOKUP(AC263,tbFactorMes,2,FALSE),"")</f>
        <v/>
      </c>
      <c r="AE263">
        <f t="shared" si="60"/>
        <v>0</v>
      </c>
      <c r="AH263" t="str">
        <f>IFERROR(VLOOKUP(AG263,tbFactorMes,2,FALSE),"")</f>
        <v/>
      </c>
      <c r="AI263">
        <f t="shared" si="61"/>
        <v>0</v>
      </c>
      <c r="AL263" t="str">
        <f>IFERROR(VLOOKUP(AK263,tbFactorMes,2,FALSE),"")</f>
        <v/>
      </c>
      <c r="AM263">
        <f t="shared" si="62"/>
        <v>0</v>
      </c>
      <c r="AP263" t="str">
        <f>IFERROR(VLOOKUP(AO263,tbFactorMes,2,FALSE),"")</f>
        <v/>
      </c>
      <c r="AQ263">
        <f t="shared" si="63"/>
        <v>0</v>
      </c>
      <c r="AT263" t="str">
        <f>IFERROR(VLOOKUP(AS263,tbFactorMes,2,FALSE),"")</f>
        <v/>
      </c>
      <c r="AU263">
        <f t="shared" si="64"/>
        <v>0</v>
      </c>
      <c r="AX263" t="str">
        <f>IFERROR(VLOOKUP(AW263,tbFactorMes,2,FALSE),"")</f>
        <v/>
      </c>
      <c r="AY263">
        <f t="shared" si="65"/>
        <v>0</v>
      </c>
      <c r="BB263" t="str">
        <f>IFERROR(VLOOKUP(BA263,tbFactorMes,2,FALSE),"")</f>
        <v/>
      </c>
      <c r="BC263">
        <f t="shared" si="66"/>
        <v>0</v>
      </c>
      <c r="BF263" t="str">
        <f>IFERROR(VLOOKUP(BE263,tbFactorMes,2,FALSE),"")</f>
        <v/>
      </c>
      <c r="BG263">
        <f t="shared" si="67"/>
        <v>0</v>
      </c>
      <c r="BH263">
        <f t="shared" si="68"/>
        <v>0</v>
      </c>
      <c r="BI263">
        <f t="shared" si="69"/>
        <v>0</v>
      </c>
    </row>
    <row r="264" spans="11:61" x14ac:dyDescent="0.35">
      <c r="K264" t="str">
        <f>IFERROR(VLOOKUP(F264,tbTurnos,3,FALSE),"")</f>
        <v/>
      </c>
      <c r="N264" t="str">
        <f>IFERROR(VLOOKUP(M264,tbFactorMes,2,FALSE),"")</f>
        <v/>
      </c>
      <c r="O264">
        <f t="shared" si="56"/>
        <v>0</v>
      </c>
      <c r="R264" t="str">
        <f>IFERROR(VLOOKUP(Q264,tbFactorMes,2,FALSE),"")</f>
        <v/>
      </c>
      <c r="S264">
        <f t="shared" si="57"/>
        <v>0</v>
      </c>
      <c r="V264" t="str">
        <f>IFERROR(VLOOKUP(U264,tbFactorMes,2,FALSE),"")</f>
        <v/>
      </c>
      <c r="W264">
        <f t="shared" si="58"/>
        <v>0</v>
      </c>
      <c r="Z264" t="str">
        <f>IFERROR(VLOOKUP(Y264,tbFactorMes,2,FALSE),"")</f>
        <v/>
      </c>
      <c r="AA264">
        <f t="shared" si="59"/>
        <v>0</v>
      </c>
      <c r="AD264" t="str">
        <f>IFERROR(VLOOKUP(AC264,tbFactorMes,2,FALSE),"")</f>
        <v/>
      </c>
      <c r="AE264">
        <f t="shared" si="60"/>
        <v>0</v>
      </c>
      <c r="AH264" t="str">
        <f>IFERROR(VLOOKUP(AG264,tbFactorMes,2,FALSE),"")</f>
        <v/>
      </c>
      <c r="AI264">
        <f t="shared" si="61"/>
        <v>0</v>
      </c>
      <c r="AL264" t="str">
        <f>IFERROR(VLOOKUP(AK264,tbFactorMes,2,FALSE),"")</f>
        <v/>
      </c>
      <c r="AM264">
        <f t="shared" si="62"/>
        <v>0</v>
      </c>
      <c r="AP264" t="str">
        <f>IFERROR(VLOOKUP(AO264,tbFactorMes,2,FALSE),"")</f>
        <v/>
      </c>
      <c r="AQ264">
        <f t="shared" si="63"/>
        <v>0</v>
      </c>
      <c r="AT264" t="str">
        <f>IFERROR(VLOOKUP(AS264,tbFactorMes,2,FALSE),"")</f>
        <v/>
      </c>
      <c r="AU264">
        <f t="shared" si="64"/>
        <v>0</v>
      </c>
      <c r="AX264" t="str">
        <f>IFERROR(VLOOKUP(AW264,tbFactorMes,2,FALSE),"")</f>
        <v/>
      </c>
      <c r="AY264">
        <f t="shared" si="65"/>
        <v>0</v>
      </c>
      <c r="BB264" t="str">
        <f>IFERROR(VLOOKUP(BA264,tbFactorMes,2,FALSE),"")</f>
        <v/>
      </c>
      <c r="BC264">
        <f t="shared" si="66"/>
        <v>0</v>
      </c>
      <c r="BF264" t="str">
        <f>IFERROR(VLOOKUP(BE264,tbFactorMes,2,FALSE),"")</f>
        <v/>
      </c>
      <c r="BG264">
        <f t="shared" si="67"/>
        <v>0</v>
      </c>
      <c r="BH264">
        <f t="shared" si="68"/>
        <v>0</v>
      </c>
      <c r="BI264">
        <f t="shared" si="69"/>
        <v>0</v>
      </c>
    </row>
    <row r="265" spans="11:61" x14ac:dyDescent="0.35">
      <c r="K265" t="str">
        <f>IFERROR(VLOOKUP(F265,tbTurnos,3,FALSE),"")</f>
        <v/>
      </c>
      <c r="N265" t="str">
        <f>IFERROR(VLOOKUP(M265,tbFactorMes,2,FALSE),"")</f>
        <v/>
      </c>
      <c r="O265">
        <f t="shared" si="56"/>
        <v>0</v>
      </c>
      <c r="R265" t="str">
        <f>IFERROR(VLOOKUP(Q265,tbFactorMes,2,FALSE),"")</f>
        <v/>
      </c>
      <c r="S265">
        <f t="shared" si="57"/>
        <v>0</v>
      </c>
      <c r="V265" t="str">
        <f>IFERROR(VLOOKUP(U265,tbFactorMes,2,FALSE),"")</f>
        <v/>
      </c>
      <c r="W265">
        <f t="shared" si="58"/>
        <v>0</v>
      </c>
      <c r="Z265" t="str">
        <f>IFERROR(VLOOKUP(Y265,tbFactorMes,2,FALSE),"")</f>
        <v/>
      </c>
      <c r="AA265">
        <f t="shared" si="59"/>
        <v>0</v>
      </c>
      <c r="AD265" t="str">
        <f>IFERROR(VLOOKUP(AC265,tbFactorMes,2,FALSE),"")</f>
        <v/>
      </c>
      <c r="AE265">
        <f t="shared" si="60"/>
        <v>0</v>
      </c>
      <c r="AH265" t="str">
        <f>IFERROR(VLOOKUP(AG265,tbFactorMes,2,FALSE),"")</f>
        <v/>
      </c>
      <c r="AI265">
        <f t="shared" si="61"/>
        <v>0</v>
      </c>
      <c r="AL265" t="str">
        <f>IFERROR(VLOOKUP(AK265,tbFactorMes,2,FALSE),"")</f>
        <v/>
      </c>
      <c r="AM265">
        <f t="shared" si="62"/>
        <v>0</v>
      </c>
      <c r="AP265" t="str">
        <f>IFERROR(VLOOKUP(AO265,tbFactorMes,2,FALSE),"")</f>
        <v/>
      </c>
      <c r="AQ265">
        <f t="shared" si="63"/>
        <v>0</v>
      </c>
      <c r="AT265" t="str">
        <f>IFERROR(VLOOKUP(AS265,tbFactorMes,2,FALSE),"")</f>
        <v/>
      </c>
      <c r="AU265">
        <f t="shared" si="64"/>
        <v>0</v>
      </c>
      <c r="AX265" t="str">
        <f>IFERROR(VLOOKUP(AW265,tbFactorMes,2,FALSE),"")</f>
        <v/>
      </c>
      <c r="AY265">
        <f t="shared" si="65"/>
        <v>0</v>
      </c>
      <c r="BB265" t="str">
        <f>IFERROR(VLOOKUP(BA265,tbFactorMes,2,FALSE),"")</f>
        <v/>
      </c>
      <c r="BC265">
        <f t="shared" si="66"/>
        <v>0</v>
      </c>
      <c r="BF265" t="str">
        <f>IFERROR(VLOOKUP(BE265,tbFactorMes,2,FALSE),"")</f>
        <v/>
      </c>
      <c r="BG265">
        <f t="shared" si="67"/>
        <v>0</v>
      </c>
      <c r="BH265">
        <f t="shared" si="68"/>
        <v>0</v>
      </c>
      <c r="BI265">
        <f t="shared" si="69"/>
        <v>0</v>
      </c>
    </row>
    <row r="266" spans="11:61" x14ac:dyDescent="0.35">
      <c r="K266" t="str">
        <f>IFERROR(VLOOKUP(F266,tbTurnos,3,FALSE),"")</f>
        <v/>
      </c>
      <c r="N266" t="str">
        <f>IFERROR(VLOOKUP(M266,tbFactorMes,2,FALSE),"")</f>
        <v/>
      </c>
      <c r="O266">
        <f t="shared" si="56"/>
        <v>0</v>
      </c>
      <c r="R266" t="str">
        <f>IFERROR(VLOOKUP(Q266,tbFactorMes,2,FALSE),"")</f>
        <v/>
      </c>
      <c r="S266">
        <f t="shared" si="57"/>
        <v>0</v>
      </c>
      <c r="V266" t="str">
        <f>IFERROR(VLOOKUP(U266,tbFactorMes,2,FALSE),"")</f>
        <v/>
      </c>
      <c r="W266">
        <f t="shared" si="58"/>
        <v>0</v>
      </c>
      <c r="Z266" t="str">
        <f>IFERROR(VLOOKUP(Y266,tbFactorMes,2,FALSE),"")</f>
        <v/>
      </c>
      <c r="AA266">
        <f t="shared" si="59"/>
        <v>0</v>
      </c>
      <c r="AD266" t="str">
        <f>IFERROR(VLOOKUP(AC266,tbFactorMes,2,FALSE),"")</f>
        <v/>
      </c>
      <c r="AE266">
        <f t="shared" si="60"/>
        <v>0</v>
      </c>
      <c r="AH266" t="str">
        <f>IFERROR(VLOOKUP(AG266,tbFactorMes,2,FALSE),"")</f>
        <v/>
      </c>
      <c r="AI266">
        <f t="shared" si="61"/>
        <v>0</v>
      </c>
      <c r="AL266" t="str">
        <f>IFERROR(VLOOKUP(AK266,tbFactorMes,2,FALSE),"")</f>
        <v/>
      </c>
      <c r="AM266">
        <f t="shared" si="62"/>
        <v>0</v>
      </c>
      <c r="AP266" t="str">
        <f>IFERROR(VLOOKUP(AO266,tbFactorMes,2,FALSE),"")</f>
        <v/>
      </c>
      <c r="AQ266">
        <f t="shared" si="63"/>
        <v>0</v>
      </c>
      <c r="AT266" t="str">
        <f>IFERROR(VLOOKUP(AS266,tbFactorMes,2,FALSE),"")</f>
        <v/>
      </c>
      <c r="AU266">
        <f t="shared" si="64"/>
        <v>0</v>
      </c>
      <c r="AX266" t="str">
        <f>IFERROR(VLOOKUP(AW266,tbFactorMes,2,FALSE),"")</f>
        <v/>
      </c>
      <c r="AY266">
        <f t="shared" si="65"/>
        <v>0</v>
      </c>
      <c r="BB266" t="str">
        <f>IFERROR(VLOOKUP(BA266,tbFactorMes,2,FALSE),"")</f>
        <v/>
      </c>
      <c r="BC266">
        <f t="shared" si="66"/>
        <v>0</v>
      </c>
      <c r="BF266" t="str">
        <f>IFERROR(VLOOKUP(BE266,tbFactorMes,2,FALSE),"")</f>
        <v/>
      </c>
      <c r="BG266">
        <f t="shared" si="67"/>
        <v>0</v>
      </c>
      <c r="BH266">
        <f t="shared" si="68"/>
        <v>0</v>
      </c>
      <c r="BI266">
        <f t="shared" si="69"/>
        <v>0</v>
      </c>
    </row>
    <row r="267" spans="11:61" x14ac:dyDescent="0.35">
      <c r="K267" t="str">
        <f>IFERROR(VLOOKUP(F267,tbTurnos,3,FALSE),"")</f>
        <v/>
      </c>
      <c r="N267" t="str">
        <f>IFERROR(VLOOKUP(M267,tbFactorMes,2,FALSE),"")</f>
        <v/>
      </c>
      <c r="O267">
        <f t="shared" si="56"/>
        <v>0</v>
      </c>
      <c r="R267" t="str">
        <f>IFERROR(VLOOKUP(Q267,tbFactorMes,2,FALSE),"")</f>
        <v/>
      </c>
      <c r="S267">
        <f t="shared" si="57"/>
        <v>0</v>
      </c>
      <c r="V267" t="str">
        <f>IFERROR(VLOOKUP(U267,tbFactorMes,2,FALSE),"")</f>
        <v/>
      </c>
      <c r="W267">
        <f t="shared" si="58"/>
        <v>0</v>
      </c>
      <c r="Z267" t="str">
        <f>IFERROR(VLOOKUP(Y267,tbFactorMes,2,FALSE),"")</f>
        <v/>
      </c>
      <c r="AA267">
        <f t="shared" si="59"/>
        <v>0</v>
      </c>
      <c r="AD267" t="str">
        <f>IFERROR(VLOOKUP(AC267,tbFactorMes,2,FALSE),"")</f>
        <v/>
      </c>
      <c r="AE267">
        <f t="shared" si="60"/>
        <v>0</v>
      </c>
      <c r="AH267" t="str">
        <f>IFERROR(VLOOKUP(AG267,tbFactorMes,2,FALSE),"")</f>
        <v/>
      </c>
      <c r="AI267">
        <f t="shared" si="61"/>
        <v>0</v>
      </c>
      <c r="AL267" t="str">
        <f>IFERROR(VLOOKUP(AK267,tbFactorMes,2,FALSE),"")</f>
        <v/>
      </c>
      <c r="AM267">
        <f t="shared" si="62"/>
        <v>0</v>
      </c>
      <c r="AP267" t="str">
        <f>IFERROR(VLOOKUP(AO267,tbFactorMes,2,FALSE),"")</f>
        <v/>
      </c>
      <c r="AQ267">
        <f t="shared" si="63"/>
        <v>0</v>
      </c>
      <c r="AT267" t="str">
        <f>IFERROR(VLOOKUP(AS267,tbFactorMes,2,FALSE),"")</f>
        <v/>
      </c>
      <c r="AU267">
        <f t="shared" si="64"/>
        <v>0</v>
      </c>
      <c r="AX267" t="str">
        <f>IFERROR(VLOOKUP(AW267,tbFactorMes,2,FALSE),"")</f>
        <v/>
      </c>
      <c r="AY267">
        <f t="shared" si="65"/>
        <v>0</v>
      </c>
      <c r="BB267" t="str">
        <f>IFERROR(VLOOKUP(BA267,tbFactorMes,2,FALSE),"")</f>
        <v/>
      </c>
      <c r="BC267">
        <f t="shared" si="66"/>
        <v>0</v>
      </c>
      <c r="BF267" t="str">
        <f>IFERROR(VLOOKUP(BE267,tbFactorMes,2,FALSE),"")</f>
        <v/>
      </c>
      <c r="BG267">
        <f t="shared" si="67"/>
        <v>0</v>
      </c>
      <c r="BH267">
        <f t="shared" si="68"/>
        <v>0</v>
      </c>
      <c r="BI267">
        <f t="shared" si="69"/>
        <v>0</v>
      </c>
    </row>
    <row r="268" spans="11:61" x14ac:dyDescent="0.35">
      <c r="K268" t="str">
        <f>IFERROR(VLOOKUP(F268,tbTurnos,3,FALSE),"")</f>
        <v/>
      </c>
      <c r="N268" t="str">
        <f>IFERROR(VLOOKUP(M268,tbFactorMes,2,FALSE),"")</f>
        <v/>
      </c>
      <c r="O268">
        <f t="shared" si="56"/>
        <v>0</v>
      </c>
      <c r="R268" t="str">
        <f>IFERROR(VLOOKUP(Q268,tbFactorMes,2,FALSE),"")</f>
        <v/>
      </c>
      <c r="S268">
        <f t="shared" si="57"/>
        <v>0</v>
      </c>
      <c r="V268" t="str">
        <f>IFERROR(VLOOKUP(U268,tbFactorMes,2,FALSE),"")</f>
        <v/>
      </c>
      <c r="W268">
        <f t="shared" si="58"/>
        <v>0</v>
      </c>
      <c r="Z268" t="str">
        <f>IFERROR(VLOOKUP(Y268,tbFactorMes,2,FALSE),"")</f>
        <v/>
      </c>
      <c r="AA268">
        <f t="shared" si="59"/>
        <v>0</v>
      </c>
      <c r="AD268" t="str">
        <f>IFERROR(VLOOKUP(AC268,tbFactorMes,2,FALSE),"")</f>
        <v/>
      </c>
      <c r="AE268">
        <f t="shared" si="60"/>
        <v>0</v>
      </c>
      <c r="AH268" t="str">
        <f>IFERROR(VLOOKUP(AG268,tbFactorMes,2,FALSE),"")</f>
        <v/>
      </c>
      <c r="AI268">
        <f t="shared" si="61"/>
        <v>0</v>
      </c>
      <c r="AL268" t="str">
        <f>IFERROR(VLOOKUP(AK268,tbFactorMes,2,FALSE),"")</f>
        <v/>
      </c>
      <c r="AM268">
        <f t="shared" si="62"/>
        <v>0</v>
      </c>
      <c r="AP268" t="str">
        <f>IFERROR(VLOOKUP(AO268,tbFactorMes,2,FALSE),"")</f>
        <v/>
      </c>
      <c r="AQ268">
        <f t="shared" si="63"/>
        <v>0</v>
      </c>
      <c r="AT268" t="str">
        <f>IFERROR(VLOOKUP(AS268,tbFactorMes,2,FALSE),"")</f>
        <v/>
      </c>
      <c r="AU268">
        <f t="shared" si="64"/>
        <v>0</v>
      </c>
      <c r="AX268" t="str">
        <f>IFERROR(VLOOKUP(AW268,tbFactorMes,2,FALSE),"")</f>
        <v/>
      </c>
      <c r="AY268">
        <f t="shared" si="65"/>
        <v>0</v>
      </c>
      <c r="BB268" t="str">
        <f>IFERROR(VLOOKUP(BA268,tbFactorMes,2,FALSE),"")</f>
        <v/>
      </c>
      <c r="BC268">
        <f t="shared" si="66"/>
        <v>0</v>
      </c>
      <c r="BF268" t="str">
        <f>IFERROR(VLOOKUP(BE268,tbFactorMes,2,FALSE),"")</f>
        <v/>
      </c>
      <c r="BG268">
        <f t="shared" si="67"/>
        <v>0</v>
      </c>
      <c r="BH268">
        <f t="shared" si="68"/>
        <v>0</v>
      </c>
      <c r="BI268">
        <f t="shared" si="69"/>
        <v>0</v>
      </c>
    </row>
    <row r="269" spans="11:61" x14ac:dyDescent="0.35">
      <c r="K269" t="str">
        <f>IFERROR(VLOOKUP(F269,tbTurnos,3,FALSE),"")</f>
        <v/>
      </c>
      <c r="N269" t="str">
        <f>IFERROR(VLOOKUP(M269,tbFactorMes,2,FALSE),"")</f>
        <v/>
      </c>
      <c r="O269">
        <f t="shared" si="56"/>
        <v>0</v>
      </c>
      <c r="R269" t="str">
        <f>IFERROR(VLOOKUP(Q269,tbFactorMes,2,FALSE),"")</f>
        <v/>
      </c>
      <c r="S269">
        <f t="shared" si="57"/>
        <v>0</v>
      </c>
      <c r="V269" t="str">
        <f>IFERROR(VLOOKUP(U269,tbFactorMes,2,FALSE),"")</f>
        <v/>
      </c>
      <c r="W269">
        <f t="shared" si="58"/>
        <v>0</v>
      </c>
      <c r="Z269" t="str">
        <f>IFERROR(VLOOKUP(Y269,tbFactorMes,2,FALSE),"")</f>
        <v/>
      </c>
      <c r="AA269">
        <f t="shared" si="59"/>
        <v>0</v>
      </c>
      <c r="AD269" t="str">
        <f>IFERROR(VLOOKUP(AC269,tbFactorMes,2,FALSE),"")</f>
        <v/>
      </c>
      <c r="AE269">
        <f t="shared" si="60"/>
        <v>0</v>
      </c>
      <c r="AH269" t="str">
        <f>IFERROR(VLOOKUP(AG269,tbFactorMes,2,FALSE),"")</f>
        <v/>
      </c>
      <c r="AI269">
        <f t="shared" si="61"/>
        <v>0</v>
      </c>
      <c r="AL269" t="str">
        <f>IFERROR(VLOOKUP(AK269,tbFactorMes,2,FALSE),"")</f>
        <v/>
      </c>
      <c r="AM269">
        <f t="shared" si="62"/>
        <v>0</v>
      </c>
      <c r="AP269" t="str">
        <f>IFERROR(VLOOKUP(AO269,tbFactorMes,2,FALSE),"")</f>
        <v/>
      </c>
      <c r="AQ269">
        <f t="shared" si="63"/>
        <v>0</v>
      </c>
      <c r="AT269" t="str">
        <f>IFERROR(VLOOKUP(AS269,tbFactorMes,2,FALSE),"")</f>
        <v/>
      </c>
      <c r="AU269">
        <f t="shared" si="64"/>
        <v>0</v>
      </c>
      <c r="AX269" t="str">
        <f>IFERROR(VLOOKUP(AW269,tbFactorMes,2,FALSE),"")</f>
        <v/>
      </c>
      <c r="AY269">
        <f t="shared" si="65"/>
        <v>0</v>
      </c>
      <c r="BB269" t="str">
        <f>IFERROR(VLOOKUP(BA269,tbFactorMes,2,FALSE),"")</f>
        <v/>
      </c>
      <c r="BC269">
        <f t="shared" si="66"/>
        <v>0</v>
      </c>
      <c r="BF269" t="str">
        <f>IFERROR(VLOOKUP(BE269,tbFactorMes,2,FALSE),"")</f>
        <v/>
      </c>
      <c r="BG269">
        <f t="shared" si="67"/>
        <v>0</v>
      </c>
      <c r="BH269">
        <f t="shared" si="68"/>
        <v>0</v>
      </c>
      <c r="BI269">
        <f t="shared" si="69"/>
        <v>0</v>
      </c>
    </row>
    <row r="270" spans="11:61" x14ac:dyDescent="0.35">
      <c r="K270" t="str">
        <f>IFERROR(VLOOKUP(F270,tbTurnos,3,FALSE),"")</f>
        <v/>
      </c>
      <c r="N270" t="str">
        <f>IFERROR(VLOOKUP(M270,tbFactorMes,2,FALSE),"")</f>
        <v/>
      </c>
      <c r="O270">
        <f t="shared" si="56"/>
        <v>0</v>
      </c>
      <c r="R270" t="str">
        <f>IFERROR(VLOOKUP(Q270,tbFactorMes,2,FALSE),"")</f>
        <v/>
      </c>
      <c r="S270">
        <f t="shared" si="57"/>
        <v>0</v>
      </c>
      <c r="V270" t="str">
        <f>IFERROR(VLOOKUP(U270,tbFactorMes,2,FALSE),"")</f>
        <v/>
      </c>
      <c r="W270">
        <f t="shared" si="58"/>
        <v>0</v>
      </c>
      <c r="Z270" t="str">
        <f>IFERROR(VLOOKUP(Y270,tbFactorMes,2,FALSE),"")</f>
        <v/>
      </c>
      <c r="AA270">
        <f t="shared" si="59"/>
        <v>0</v>
      </c>
      <c r="AD270" t="str">
        <f>IFERROR(VLOOKUP(AC270,tbFactorMes,2,FALSE),"")</f>
        <v/>
      </c>
      <c r="AE270">
        <f t="shared" si="60"/>
        <v>0</v>
      </c>
      <c r="AH270" t="str">
        <f>IFERROR(VLOOKUP(AG270,tbFactorMes,2,FALSE),"")</f>
        <v/>
      </c>
      <c r="AI270">
        <f t="shared" si="61"/>
        <v>0</v>
      </c>
      <c r="AL270" t="str">
        <f>IFERROR(VLOOKUP(AK270,tbFactorMes,2,FALSE),"")</f>
        <v/>
      </c>
      <c r="AM270">
        <f t="shared" si="62"/>
        <v>0</v>
      </c>
      <c r="AP270" t="str">
        <f>IFERROR(VLOOKUP(AO270,tbFactorMes,2,FALSE),"")</f>
        <v/>
      </c>
      <c r="AQ270">
        <f t="shared" si="63"/>
        <v>0</v>
      </c>
      <c r="AT270" t="str">
        <f>IFERROR(VLOOKUP(AS270,tbFactorMes,2,FALSE),"")</f>
        <v/>
      </c>
      <c r="AU270">
        <f t="shared" si="64"/>
        <v>0</v>
      </c>
      <c r="AX270" t="str">
        <f>IFERROR(VLOOKUP(AW270,tbFactorMes,2,FALSE),"")</f>
        <v/>
      </c>
      <c r="AY270">
        <f t="shared" si="65"/>
        <v>0</v>
      </c>
      <c r="BB270" t="str">
        <f>IFERROR(VLOOKUP(BA270,tbFactorMes,2,FALSE),"")</f>
        <v/>
      </c>
      <c r="BC270">
        <f t="shared" si="66"/>
        <v>0</v>
      </c>
      <c r="BF270" t="str">
        <f>IFERROR(VLOOKUP(BE270,tbFactorMes,2,FALSE),"")</f>
        <v/>
      </c>
      <c r="BG270">
        <f t="shared" si="67"/>
        <v>0</v>
      </c>
      <c r="BH270">
        <f t="shared" si="68"/>
        <v>0</v>
      </c>
      <c r="BI270">
        <f t="shared" si="69"/>
        <v>0</v>
      </c>
    </row>
    <row r="271" spans="11:61" x14ac:dyDescent="0.35">
      <c r="K271" t="str">
        <f>IFERROR(VLOOKUP(F271,tbTurnos,3,FALSE),"")</f>
        <v/>
      </c>
      <c r="N271" t="str">
        <f>IFERROR(VLOOKUP(M271,tbFactorMes,2,FALSE),"")</f>
        <v/>
      </c>
      <c r="O271">
        <f t="shared" si="56"/>
        <v>0</v>
      </c>
      <c r="R271" t="str">
        <f>IFERROR(VLOOKUP(Q271,tbFactorMes,2,FALSE),"")</f>
        <v/>
      </c>
      <c r="S271">
        <f t="shared" si="57"/>
        <v>0</v>
      </c>
      <c r="V271" t="str">
        <f>IFERROR(VLOOKUP(U271,tbFactorMes,2,FALSE),"")</f>
        <v/>
      </c>
      <c r="W271">
        <f t="shared" si="58"/>
        <v>0</v>
      </c>
      <c r="Z271" t="str">
        <f>IFERROR(VLOOKUP(Y271,tbFactorMes,2,FALSE),"")</f>
        <v/>
      </c>
      <c r="AA271">
        <f t="shared" si="59"/>
        <v>0</v>
      </c>
      <c r="AD271" t="str">
        <f>IFERROR(VLOOKUP(AC271,tbFactorMes,2,FALSE),"")</f>
        <v/>
      </c>
      <c r="AE271">
        <f t="shared" si="60"/>
        <v>0</v>
      </c>
      <c r="AH271" t="str">
        <f>IFERROR(VLOOKUP(AG271,tbFactorMes,2,FALSE),"")</f>
        <v/>
      </c>
      <c r="AI271">
        <f t="shared" si="61"/>
        <v>0</v>
      </c>
      <c r="AL271" t="str">
        <f>IFERROR(VLOOKUP(AK271,tbFactorMes,2,FALSE),"")</f>
        <v/>
      </c>
      <c r="AM271">
        <f t="shared" si="62"/>
        <v>0</v>
      </c>
      <c r="AP271" t="str">
        <f>IFERROR(VLOOKUP(AO271,tbFactorMes,2,FALSE),"")</f>
        <v/>
      </c>
      <c r="AQ271">
        <f t="shared" si="63"/>
        <v>0</v>
      </c>
      <c r="AT271" t="str">
        <f>IFERROR(VLOOKUP(AS271,tbFactorMes,2,FALSE),"")</f>
        <v/>
      </c>
      <c r="AU271">
        <f t="shared" si="64"/>
        <v>0</v>
      </c>
      <c r="AX271" t="str">
        <f>IFERROR(VLOOKUP(AW271,tbFactorMes,2,FALSE),"")</f>
        <v/>
      </c>
      <c r="AY271">
        <f t="shared" si="65"/>
        <v>0</v>
      </c>
      <c r="BB271" t="str">
        <f>IFERROR(VLOOKUP(BA271,tbFactorMes,2,FALSE),"")</f>
        <v/>
      </c>
      <c r="BC271">
        <f t="shared" si="66"/>
        <v>0</v>
      </c>
      <c r="BF271" t="str">
        <f>IFERROR(VLOOKUP(BE271,tbFactorMes,2,FALSE),"")</f>
        <v/>
      </c>
      <c r="BG271">
        <f t="shared" si="67"/>
        <v>0</v>
      </c>
      <c r="BH271">
        <f t="shared" si="68"/>
        <v>0</v>
      </c>
      <c r="BI271">
        <f t="shared" si="69"/>
        <v>0</v>
      </c>
    </row>
    <row r="272" spans="11:61" x14ac:dyDescent="0.35">
      <c r="K272" t="str">
        <f>IFERROR(VLOOKUP(F272,tbTurnos,3,FALSE),"")</f>
        <v/>
      </c>
      <c r="N272" t="str">
        <f>IFERROR(VLOOKUP(M272,tbFactorMes,2,FALSE),"")</f>
        <v/>
      </c>
      <c r="O272">
        <f t="shared" si="56"/>
        <v>0</v>
      </c>
      <c r="R272" t="str">
        <f>IFERROR(VLOOKUP(Q272,tbFactorMes,2,FALSE),"")</f>
        <v/>
      </c>
      <c r="S272">
        <f t="shared" si="57"/>
        <v>0</v>
      </c>
      <c r="V272" t="str">
        <f>IFERROR(VLOOKUP(U272,tbFactorMes,2,FALSE),"")</f>
        <v/>
      </c>
      <c r="W272">
        <f t="shared" si="58"/>
        <v>0</v>
      </c>
      <c r="Z272" t="str">
        <f>IFERROR(VLOOKUP(Y272,tbFactorMes,2,FALSE),"")</f>
        <v/>
      </c>
      <c r="AA272">
        <f t="shared" si="59"/>
        <v>0</v>
      </c>
      <c r="AD272" t="str">
        <f>IFERROR(VLOOKUP(AC272,tbFactorMes,2,FALSE),"")</f>
        <v/>
      </c>
      <c r="AE272">
        <f t="shared" si="60"/>
        <v>0</v>
      </c>
      <c r="AH272" t="str">
        <f>IFERROR(VLOOKUP(AG272,tbFactorMes,2,FALSE),"")</f>
        <v/>
      </c>
      <c r="AI272">
        <f t="shared" si="61"/>
        <v>0</v>
      </c>
      <c r="AL272" t="str">
        <f>IFERROR(VLOOKUP(AK272,tbFactorMes,2,FALSE),"")</f>
        <v/>
      </c>
      <c r="AM272">
        <f t="shared" si="62"/>
        <v>0</v>
      </c>
      <c r="AP272" t="str">
        <f>IFERROR(VLOOKUP(AO272,tbFactorMes,2,FALSE),"")</f>
        <v/>
      </c>
      <c r="AQ272">
        <f t="shared" si="63"/>
        <v>0</v>
      </c>
      <c r="AT272" t="str">
        <f>IFERROR(VLOOKUP(AS272,tbFactorMes,2,FALSE),"")</f>
        <v/>
      </c>
      <c r="AU272">
        <f t="shared" si="64"/>
        <v>0</v>
      </c>
      <c r="AX272" t="str">
        <f>IFERROR(VLOOKUP(AW272,tbFactorMes,2,FALSE),"")</f>
        <v/>
      </c>
      <c r="AY272">
        <f t="shared" si="65"/>
        <v>0</v>
      </c>
      <c r="BB272" t="str">
        <f>IFERROR(VLOOKUP(BA272,tbFactorMes,2,FALSE),"")</f>
        <v/>
      </c>
      <c r="BC272">
        <f t="shared" si="66"/>
        <v>0</v>
      </c>
      <c r="BF272" t="str">
        <f>IFERROR(VLOOKUP(BE272,tbFactorMes,2,FALSE),"")</f>
        <v/>
      </c>
      <c r="BG272">
        <f t="shared" si="67"/>
        <v>0</v>
      </c>
      <c r="BH272">
        <f t="shared" si="68"/>
        <v>0</v>
      </c>
      <c r="BI272">
        <f t="shared" si="69"/>
        <v>0</v>
      </c>
    </row>
    <row r="273" spans="11:61" x14ac:dyDescent="0.35">
      <c r="K273" t="str">
        <f>IFERROR(VLOOKUP(F273,tbTurnos,3,FALSE),"")</f>
        <v/>
      </c>
      <c r="N273" t="str">
        <f>IFERROR(VLOOKUP(M273,tbFactorMes,2,FALSE),"")</f>
        <v/>
      </c>
      <c r="O273">
        <f t="shared" si="56"/>
        <v>0</v>
      </c>
      <c r="R273" t="str">
        <f>IFERROR(VLOOKUP(Q273,tbFactorMes,2,FALSE),"")</f>
        <v/>
      </c>
      <c r="S273">
        <f t="shared" si="57"/>
        <v>0</v>
      </c>
      <c r="V273" t="str">
        <f>IFERROR(VLOOKUP(U273,tbFactorMes,2,FALSE),"")</f>
        <v/>
      </c>
      <c r="W273">
        <f t="shared" si="58"/>
        <v>0</v>
      </c>
      <c r="Z273" t="str">
        <f>IFERROR(VLOOKUP(Y273,tbFactorMes,2,FALSE),"")</f>
        <v/>
      </c>
      <c r="AA273">
        <f t="shared" si="59"/>
        <v>0</v>
      </c>
      <c r="AD273" t="str">
        <f>IFERROR(VLOOKUP(AC273,tbFactorMes,2,FALSE),"")</f>
        <v/>
      </c>
      <c r="AE273">
        <f t="shared" si="60"/>
        <v>0</v>
      </c>
      <c r="AH273" t="str">
        <f>IFERROR(VLOOKUP(AG273,tbFactorMes,2,FALSE),"")</f>
        <v/>
      </c>
      <c r="AI273">
        <f t="shared" si="61"/>
        <v>0</v>
      </c>
      <c r="AL273" t="str">
        <f>IFERROR(VLOOKUP(AK273,tbFactorMes,2,FALSE),"")</f>
        <v/>
      </c>
      <c r="AM273">
        <f t="shared" si="62"/>
        <v>0</v>
      </c>
      <c r="AP273" t="str">
        <f>IFERROR(VLOOKUP(AO273,tbFactorMes,2,FALSE),"")</f>
        <v/>
      </c>
      <c r="AQ273">
        <f t="shared" si="63"/>
        <v>0</v>
      </c>
      <c r="AT273" t="str">
        <f>IFERROR(VLOOKUP(AS273,tbFactorMes,2,FALSE),"")</f>
        <v/>
      </c>
      <c r="AU273">
        <f t="shared" si="64"/>
        <v>0</v>
      </c>
      <c r="AX273" t="str">
        <f>IFERROR(VLOOKUP(AW273,tbFactorMes,2,FALSE),"")</f>
        <v/>
      </c>
      <c r="AY273">
        <f t="shared" si="65"/>
        <v>0</v>
      </c>
      <c r="BB273" t="str">
        <f>IFERROR(VLOOKUP(BA273,tbFactorMes,2,FALSE),"")</f>
        <v/>
      </c>
      <c r="BC273">
        <f t="shared" si="66"/>
        <v>0</v>
      </c>
      <c r="BF273" t="str">
        <f>IFERROR(VLOOKUP(BE273,tbFactorMes,2,FALSE),"")</f>
        <v/>
      </c>
      <c r="BG273">
        <f t="shared" si="67"/>
        <v>0</v>
      </c>
      <c r="BH273">
        <f t="shared" si="68"/>
        <v>0</v>
      </c>
      <c r="BI273">
        <f t="shared" si="69"/>
        <v>0</v>
      </c>
    </row>
    <row r="274" spans="11:61" x14ac:dyDescent="0.35">
      <c r="K274" t="str">
        <f>IFERROR(VLOOKUP(F274,tbTurnos,3,FALSE),"")</f>
        <v/>
      </c>
      <c r="N274" t="str">
        <f>IFERROR(VLOOKUP(M274,tbFactorMes,2,FALSE),"")</f>
        <v/>
      </c>
      <c r="O274">
        <f t="shared" si="56"/>
        <v>0</v>
      </c>
      <c r="R274" t="str">
        <f>IFERROR(VLOOKUP(Q274,tbFactorMes,2,FALSE),"")</f>
        <v/>
      </c>
      <c r="S274">
        <f t="shared" si="57"/>
        <v>0</v>
      </c>
      <c r="V274" t="str">
        <f>IFERROR(VLOOKUP(U274,tbFactorMes,2,FALSE),"")</f>
        <v/>
      </c>
      <c r="W274">
        <f t="shared" si="58"/>
        <v>0</v>
      </c>
      <c r="Z274" t="str">
        <f>IFERROR(VLOOKUP(Y274,tbFactorMes,2,FALSE),"")</f>
        <v/>
      </c>
      <c r="AA274">
        <f t="shared" si="59"/>
        <v>0</v>
      </c>
      <c r="AD274" t="str">
        <f>IFERROR(VLOOKUP(AC274,tbFactorMes,2,FALSE),"")</f>
        <v/>
      </c>
      <c r="AE274">
        <f t="shared" si="60"/>
        <v>0</v>
      </c>
      <c r="AH274" t="str">
        <f>IFERROR(VLOOKUP(AG274,tbFactorMes,2,FALSE),"")</f>
        <v/>
      </c>
      <c r="AI274">
        <f t="shared" si="61"/>
        <v>0</v>
      </c>
      <c r="AL274" t="str">
        <f>IFERROR(VLOOKUP(AK274,tbFactorMes,2,FALSE),"")</f>
        <v/>
      </c>
      <c r="AM274">
        <f t="shared" si="62"/>
        <v>0</v>
      </c>
      <c r="AP274" t="str">
        <f>IFERROR(VLOOKUP(AO274,tbFactorMes,2,FALSE),"")</f>
        <v/>
      </c>
      <c r="AQ274">
        <f t="shared" si="63"/>
        <v>0</v>
      </c>
      <c r="AT274" t="str">
        <f>IFERROR(VLOOKUP(AS274,tbFactorMes,2,FALSE),"")</f>
        <v/>
      </c>
      <c r="AU274">
        <f t="shared" si="64"/>
        <v>0</v>
      </c>
      <c r="AX274" t="str">
        <f>IFERROR(VLOOKUP(AW274,tbFactorMes,2,FALSE),"")</f>
        <v/>
      </c>
      <c r="AY274">
        <f t="shared" si="65"/>
        <v>0</v>
      </c>
      <c r="BB274" t="str">
        <f>IFERROR(VLOOKUP(BA274,tbFactorMes,2,FALSE),"")</f>
        <v/>
      </c>
      <c r="BC274">
        <f t="shared" si="66"/>
        <v>0</v>
      </c>
      <c r="BF274" t="str">
        <f>IFERROR(VLOOKUP(BE274,tbFactorMes,2,FALSE),"")</f>
        <v/>
      </c>
      <c r="BG274">
        <f t="shared" si="67"/>
        <v>0</v>
      </c>
      <c r="BH274">
        <f t="shared" si="68"/>
        <v>0</v>
      </c>
      <c r="BI274">
        <f t="shared" si="69"/>
        <v>0</v>
      </c>
    </row>
    <row r="275" spans="11:61" x14ac:dyDescent="0.35">
      <c r="K275" t="str">
        <f>IFERROR(VLOOKUP(F275,tbTurnos,3,FALSE),"")</f>
        <v/>
      </c>
      <c r="N275" t="str">
        <f>IFERROR(VLOOKUP(M275,tbFactorMes,2,FALSE),"")</f>
        <v/>
      </c>
      <c r="O275">
        <f t="shared" si="56"/>
        <v>0</v>
      </c>
      <c r="R275" t="str">
        <f>IFERROR(VLOOKUP(Q275,tbFactorMes,2,FALSE),"")</f>
        <v/>
      </c>
      <c r="S275">
        <f t="shared" si="57"/>
        <v>0</v>
      </c>
      <c r="V275" t="str">
        <f>IFERROR(VLOOKUP(U275,tbFactorMes,2,FALSE),"")</f>
        <v/>
      </c>
      <c r="W275">
        <f t="shared" si="58"/>
        <v>0</v>
      </c>
      <c r="Z275" t="str">
        <f>IFERROR(VLOOKUP(Y275,tbFactorMes,2,FALSE),"")</f>
        <v/>
      </c>
      <c r="AA275">
        <f t="shared" si="59"/>
        <v>0</v>
      </c>
      <c r="AD275" t="str">
        <f>IFERROR(VLOOKUP(AC275,tbFactorMes,2,FALSE),"")</f>
        <v/>
      </c>
      <c r="AE275">
        <f t="shared" si="60"/>
        <v>0</v>
      </c>
      <c r="AH275" t="str">
        <f>IFERROR(VLOOKUP(AG275,tbFactorMes,2,FALSE),"")</f>
        <v/>
      </c>
      <c r="AI275">
        <f t="shared" si="61"/>
        <v>0</v>
      </c>
      <c r="AL275" t="str">
        <f>IFERROR(VLOOKUP(AK275,tbFactorMes,2,FALSE),"")</f>
        <v/>
      </c>
      <c r="AM275">
        <f t="shared" si="62"/>
        <v>0</v>
      </c>
      <c r="AP275" t="str">
        <f>IFERROR(VLOOKUP(AO275,tbFactorMes,2,FALSE),"")</f>
        <v/>
      </c>
      <c r="AQ275">
        <f t="shared" si="63"/>
        <v>0</v>
      </c>
      <c r="AT275" t="str">
        <f>IFERROR(VLOOKUP(AS275,tbFactorMes,2,FALSE),"")</f>
        <v/>
      </c>
      <c r="AU275">
        <f t="shared" si="64"/>
        <v>0</v>
      </c>
      <c r="AX275" t="str">
        <f>IFERROR(VLOOKUP(AW275,tbFactorMes,2,FALSE),"")</f>
        <v/>
      </c>
      <c r="AY275">
        <f t="shared" si="65"/>
        <v>0</v>
      </c>
      <c r="BB275" t="str">
        <f>IFERROR(VLOOKUP(BA275,tbFactorMes,2,FALSE),"")</f>
        <v/>
      </c>
      <c r="BC275">
        <f t="shared" si="66"/>
        <v>0</v>
      </c>
      <c r="BF275" t="str">
        <f>IFERROR(VLOOKUP(BE275,tbFactorMes,2,FALSE),"")</f>
        <v/>
      </c>
      <c r="BG275">
        <f t="shared" si="67"/>
        <v>0</v>
      </c>
      <c r="BH275">
        <f t="shared" si="68"/>
        <v>0</v>
      </c>
      <c r="BI275">
        <f t="shared" si="69"/>
        <v>0</v>
      </c>
    </row>
    <row r="276" spans="11:61" x14ac:dyDescent="0.35">
      <c r="K276" t="str">
        <f>IFERROR(VLOOKUP(F276,tbTurnos,3,FALSE),"")</f>
        <v/>
      </c>
      <c r="N276" t="str">
        <f>IFERROR(VLOOKUP(M276,tbFactorMes,2,FALSE),"")</f>
        <v/>
      </c>
      <c r="O276">
        <f t="shared" si="56"/>
        <v>0</v>
      </c>
      <c r="R276" t="str">
        <f>IFERROR(VLOOKUP(Q276,tbFactorMes,2,FALSE),"")</f>
        <v/>
      </c>
      <c r="S276">
        <f t="shared" si="57"/>
        <v>0</v>
      </c>
      <c r="V276" t="str">
        <f>IFERROR(VLOOKUP(U276,tbFactorMes,2,FALSE),"")</f>
        <v/>
      </c>
      <c r="W276">
        <f t="shared" si="58"/>
        <v>0</v>
      </c>
      <c r="Z276" t="str">
        <f>IFERROR(VLOOKUP(Y276,tbFactorMes,2,FALSE),"")</f>
        <v/>
      </c>
      <c r="AA276">
        <f t="shared" si="59"/>
        <v>0</v>
      </c>
      <c r="AD276" t="str">
        <f>IFERROR(VLOOKUP(AC276,tbFactorMes,2,FALSE),"")</f>
        <v/>
      </c>
      <c r="AE276">
        <f t="shared" si="60"/>
        <v>0</v>
      </c>
      <c r="AH276" t="str">
        <f>IFERROR(VLOOKUP(AG276,tbFactorMes,2,FALSE),"")</f>
        <v/>
      </c>
      <c r="AI276">
        <f t="shared" si="61"/>
        <v>0</v>
      </c>
      <c r="AL276" t="str">
        <f>IFERROR(VLOOKUP(AK276,tbFactorMes,2,FALSE),"")</f>
        <v/>
      </c>
      <c r="AM276">
        <f t="shared" si="62"/>
        <v>0</v>
      </c>
      <c r="AP276" t="str">
        <f>IFERROR(VLOOKUP(AO276,tbFactorMes,2,FALSE),"")</f>
        <v/>
      </c>
      <c r="AQ276">
        <f t="shared" si="63"/>
        <v>0</v>
      </c>
      <c r="AT276" t="str">
        <f>IFERROR(VLOOKUP(AS276,tbFactorMes,2,FALSE),"")</f>
        <v/>
      </c>
      <c r="AU276">
        <f t="shared" si="64"/>
        <v>0</v>
      </c>
      <c r="AX276" t="str">
        <f>IFERROR(VLOOKUP(AW276,tbFactorMes,2,FALSE),"")</f>
        <v/>
      </c>
      <c r="AY276">
        <f t="shared" si="65"/>
        <v>0</v>
      </c>
      <c r="BB276" t="str">
        <f>IFERROR(VLOOKUP(BA276,tbFactorMes,2,FALSE),"")</f>
        <v/>
      </c>
      <c r="BC276">
        <f t="shared" si="66"/>
        <v>0</v>
      </c>
      <c r="BF276" t="str">
        <f>IFERROR(VLOOKUP(BE276,tbFactorMes,2,FALSE),"")</f>
        <v/>
      </c>
      <c r="BG276">
        <f t="shared" si="67"/>
        <v>0</v>
      </c>
      <c r="BH276">
        <f t="shared" si="68"/>
        <v>0</v>
      </c>
      <c r="BI276">
        <f t="shared" si="69"/>
        <v>0</v>
      </c>
    </row>
    <row r="277" spans="11:61" x14ac:dyDescent="0.35">
      <c r="K277" t="str">
        <f>IFERROR(VLOOKUP(F277,tbTurnos,3,FALSE),"")</f>
        <v/>
      </c>
      <c r="N277" t="str">
        <f>IFERROR(VLOOKUP(M277,tbFactorMes,2,FALSE),"")</f>
        <v/>
      </c>
      <c r="O277">
        <f t="shared" si="56"/>
        <v>0</v>
      </c>
      <c r="R277" t="str">
        <f>IFERROR(VLOOKUP(Q277,tbFactorMes,2,FALSE),"")</f>
        <v/>
      </c>
      <c r="S277">
        <f t="shared" si="57"/>
        <v>0</v>
      </c>
      <c r="V277" t="str">
        <f>IFERROR(VLOOKUP(U277,tbFactorMes,2,FALSE),"")</f>
        <v/>
      </c>
      <c r="W277">
        <f t="shared" si="58"/>
        <v>0</v>
      </c>
      <c r="Z277" t="str">
        <f>IFERROR(VLOOKUP(Y277,tbFactorMes,2,FALSE),"")</f>
        <v/>
      </c>
      <c r="AA277">
        <f t="shared" si="59"/>
        <v>0</v>
      </c>
      <c r="AD277" t="str">
        <f>IFERROR(VLOOKUP(AC277,tbFactorMes,2,FALSE),"")</f>
        <v/>
      </c>
      <c r="AE277">
        <f t="shared" si="60"/>
        <v>0</v>
      </c>
      <c r="AH277" t="str">
        <f>IFERROR(VLOOKUP(AG277,tbFactorMes,2,FALSE),"")</f>
        <v/>
      </c>
      <c r="AI277">
        <f t="shared" si="61"/>
        <v>0</v>
      </c>
      <c r="AL277" t="str">
        <f>IFERROR(VLOOKUP(AK277,tbFactorMes,2,FALSE),"")</f>
        <v/>
      </c>
      <c r="AM277">
        <f t="shared" si="62"/>
        <v>0</v>
      </c>
      <c r="AP277" t="str">
        <f>IFERROR(VLOOKUP(AO277,tbFactorMes,2,FALSE),"")</f>
        <v/>
      </c>
      <c r="AQ277">
        <f t="shared" si="63"/>
        <v>0</v>
      </c>
      <c r="AT277" t="str">
        <f>IFERROR(VLOOKUP(AS277,tbFactorMes,2,FALSE),"")</f>
        <v/>
      </c>
      <c r="AU277">
        <f t="shared" si="64"/>
        <v>0</v>
      </c>
      <c r="AX277" t="str">
        <f>IFERROR(VLOOKUP(AW277,tbFactorMes,2,FALSE),"")</f>
        <v/>
      </c>
      <c r="AY277">
        <f t="shared" si="65"/>
        <v>0</v>
      </c>
      <c r="BB277" t="str">
        <f>IFERROR(VLOOKUP(BA277,tbFactorMes,2,FALSE),"")</f>
        <v/>
      </c>
      <c r="BC277">
        <f t="shared" si="66"/>
        <v>0</v>
      </c>
      <c r="BF277" t="str">
        <f>IFERROR(VLOOKUP(BE277,tbFactorMes,2,FALSE),"")</f>
        <v/>
      </c>
      <c r="BG277">
        <f t="shared" si="67"/>
        <v>0</v>
      </c>
      <c r="BH277">
        <f t="shared" si="68"/>
        <v>0</v>
      </c>
      <c r="BI277">
        <f t="shared" si="69"/>
        <v>0</v>
      </c>
    </row>
    <row r="278" spans="11:61" x14ac:dyDescent="0.35">
      <c r="K278" t="str">
        <f>IFERROR(VLOOKUP(F278,tbTurnos,3,FALSE),"")</f>
        <v/>
      </c>
      <c r="N278" t="str">
        <f>IFERROR(VLOOKUP(M278,tbFactorMes,2,FALSE),"")</f>
        <v/>
      </c>
      <c r="O278">
        <f t="shared" si="56"/>
        <v>0</v>
      </c>
      <c r="R278" t="str">
        <f>IFERROR(VLOOKUP(Q278,tbFactorMes,2,FALSE),"")</f>
        <v/>
      </c>
      <c r="S278">
        <f t="shared" si="57"/>
        <v>0</v>
      </c>
      <c r="V278" t="str">
        <f>IFERROR(VLOOKUP(U278,tbFactorMes,2,FALSE),"")</f>
        <v/>
      </c>
      <c r="W278">
        <f t="shared" si="58"/>
        <v>0</v>
      </c>
      <c r="Z278" t="str">
        <f>IFERROR(VLOOKUP(Y278,tbFactorMes,2,FALSE),"")</f>
        <v/>
      </c>
      <c r="AA278">
        <f t="shared" si="59"/>
        <v>0</v>
      </c>
      <c r="AD278" t="str">
        <f>IFERROR(VLOOKUP(AC278,tbFactorMes,2,FALSE),"")</f>
        <v/>
      </c>
      <c r="AE278">
        <f t="shared" si="60"/>
        <v>0</v>
      </c>
      <c r="AH278" t="str">
        <f>IFERROR(VLOOKUP(AG278,tbFactorMes,2,FALSE),"")</f>
        <v/>
      </c>
      <c r="AI278">
        <f t="shared" si="61"/>
        <v>0</v>
      </c>
      <c r="AL278" t="str">
        <f>IFERROR(VLOOKUP(AK278,tbFactorMes,2,FALSE),"")</f>
        <v/>
      </c>
      <c r="AM278">
        <f t="shared" si="62"/>
        <v>0</v>
      </c>
      <c r="AP278" t="str">
        <f>IFERROR(VLOOKUP(AO278,tbFactorMes,2,FALSE),"")</f>
        <v/>
      </c>
      <c r="AQ278">
        <f t="shared" si="63"/>
        <v>0</v>
      </c>
      <c r="AT278" t="str">
        <f>IFERROR(VLOOKUP(AS278,tbFactorMes,2,FALSE),"")</f>
        <v/>
      </c>
      <c r="AU278">
        <f t="shared" si="64"/>
        <v>0</v>
      </c>
      <c r="AX278" t="str">
        <f>IFERROR(VLOOKUP(AW278,tbFactorMes,2,FALSE),"")</f>
        <v/>
      </c>
      <c r="AY278">
        <f t="shared" si="65"/>
        <v>0</v>
      </c>
      <c r="BB278" t="str">
        <f>IFERROR(VLOOKUP(BA278,tbFactorMes,2,FALSE),"")</f>
        <v/>
      </c>
      <c r="BC278">
        <f t="shared" si="66"/>
        <v>0</v>
      </c>
      <c r="BF278" t="str">
        <f>IFERROR(VLOOKUP(BE278,tbFactorMes,2,FALSE),"")</f>
        <v/>
      </c>
      <c r="BG278">
        <f t="shared" si="67"/>
        <v>0</v>
      </c>
      <c r="BH278">
        <f t="shared" si="68"/>
        <v>0</v>
      </c>
      <c r="BI278">
        <f t="shared" si="69"/>
        <v>0</v>
      </c>
    </row>
    <row r="279" spans="11:61" x14ac:dyDescent="0.35">
      <c r="K279" t="str">
        <f>IFERROR(VLOOKUP(F279,tbTurnos,3,FALSE),"")</f>
        <v/>
      </c>
      <c r="N279" t="str">
        <f>IFERROR(VLOOKUP(M279,tbFactorMes,2,FALSE),"")</f>
        <v/>
      </c>
      <c r="O279">
        <f t="shared" si="56"/>
        <v>0</v>
      </c>
      <c r="R279" t="str">
        <f>IFERROR(VLOOKUP(Q279,tbFactorMes,2,FALSE),"")</f>
        <v/>
      </c>
      <c r="S279">
        <f t="shared" si="57"/>
        <v>0</v>
      </c>
      <c r="V279" t="str">
        <f>IFERROR(VLOOKUP(U279,tbFactorMes,2,FALSE),"")</f>
        <v/>
      </c>
      <c r="W279">
        <f t="shared" si="58"/>
        <v>0</v>
      </c>
      <c r="Z279" t="str">
        <f>IFERROR(VLOOKUP(Y279,tbFactorMes,2,FALSE),"")</f>
        <v/>
      </c>
      <c r="AA279">
        <f t="shared" si="59"/>
        <v>0</v>
      </c>
      <c r="AD279" t="str">
        <f>IFERROR(VLOOKUP(AC279,tbFactorMes,2,FALSE),"")</f>
        <v/>
      </c>
      <c r="AE279">
        <f t="shared" si="60"/>
        <v>0</v>
      </c>
      <c r="AH279" t="str">
        <f>IFERROR(VLOOKUP(AG279,tbFactorMes,2,FALSE),"")</f>
        <v/>
      </c>
      <c r="AI279">
        <f t="shared" si="61"/>
        <v>0</v>
      </c>
      <c r="AL279" t="str">
        <f>IFERROR(VLOOKUP(AK279,tbFactorMes,2,FALSE),"")</f>
        <v/>
      </c>
      <c r="AM279">
        <f t="shared" si="62"/>
        <v>0</v>
      </c>
      <c r="AP279" t="str">
        <f>IFERROR(VLOOKUP(AO279,tbFactorMes,2,FALSE),"")</f>
        <v/>
      </c>
      <c r="AQ279">
        <f t="shared" si="63"/>
        <v>0</v>
      </c>
      <c r="AT279" t="str">
        <f>IFERROR(VLOOKUP(AS279,tbFactorMes,2,FALSE),"")</f>
        <v/>
      </c>
      <c r="AU279">
        <f t="shared" si="64"/>
        <v>0</v>
      </c>
      <c r="AX279" t="str">
        <f>IFERROR(VLOOKUP(AW279,tbFactorMes,2,FALSE),"")</f>
        <v/>
      </c>
      <c r="AY279">
        <f t="shared" si="65"/>
        <v>0</v>
      </c>
      <c r="BB279" t="str">
        <f>IFERROR(VLOOKUP(BA279,tbFactorMes,2,FALSE),"")</f>
        <v/>
      </c>
      <c r="BC279">
        <f t="shared" si="66"/>
        <v>0</v>
      </c>
      <c r="BF279" t="str">
        <f>IFERROR(VLOOKUP(BE279,tbFactorMes,2,FALSE),"")</f>
        <v/>
      </c>
      <c r="BG279">
        <f t="shared" si="67"/>
        <v>0</v>
      </c>
      <c r="BH279">
        <f t="shared" si="68"/>
        <v>0</v>
      </c>
      <c r="BI279">
        <f t="shared" si="69"/>
        <v>0</v>
      </c>
    </row>
    <row r="280" spans="11:61" x14ac:dyDescent="0.35">
      <c r="K280" t="str">
        <f>IFERROR(VLOOKUP(F280,tbTurnos,3,FALSE),"")</f>
        <v/>
      </c>
      <c r="N280" t="str">
        <f>IFERROR(VLOOKUP(M280,tbFactorMes,2,FALSE),"")</f>
        <v/>
      </c>
      <c r="O280">
        <f t="shared" si="56"/>
        <v>0</v>
      </c>
      <c r="R280" t="str">
        <f>IFERROR(VLOOKUP(Q280,tbFactorMes,2,FALSE),"")</f>
        <v/>
      </c>
      <c r="S280">
        <f t="shared" si="57"/>
        <v>0</v>
      </c>
      <c r="V280" t="str">
        <f>IFERROR(VLOOKUP(U280,tbFactorMes,2,FALSE),"")</f>
        <v/>
      </c>
      <c r="W280">
        <f t="shared" si="58"/>
        <v>0</v>
      </c>
      <c r="Z280" t="str">
        <f>IFERROR(VLOOKUP(Y280,tbFactorMes,2,FALSE),"")</f>
        <v/>
      </c>
      <c r="AA280">
        <f t="shared" si="59"/>
        <v>0</v>
      </c>
      <c r="AD280" t="str">
        <f>IFERROR(VLOOKUP(AC280,tbFactorMes,2,FALSE),"")</f>
        <v/>
      </c>
      <c r="AE280">
        <f t="shared" si="60"/>
        <v>0</v>
      </c>
      <c r="AH280" t="str">
        <f>IFERROR(VLOOKUP(AG280,tbFactorMes,2,FALSE),"")</f>
        <v/>
      </c>
      <c r="AI280">
        <f t="shared" si="61"/>
        <v>0</v>
      </c>
      <c r="AL280" t="str">
        <f>IFERROR(VLOOKUP(AK280,tbFactorMes,2,FALSE),"")</f>
        <v/>
      </c>
      <c r="AM280">
        <f t="shared" si="62"/>
        <v>0</v>
      </c>
      <c r="AP280" t="str">
        <f>IFERROR(VLOOKUP(AO280,tbFactorMes,2,FALSE),"")</f>
        <v/>
      </c>
      <c r="AQ280">
        <f t="shared" si="63"/>
        <v>0</v>
      </c>
      <c r="AT280" t="str">
        <f>IFERROR(VLOOKUP(AS280,tbFactorMes,2,FALSE),"")</f>
        <v/>
      </c>
      <c r="AU280">
        <f t="shared" si="64"/>
        <v>0</v>
      </c>
      <c r="AX280" t="str">
        <f>IFERROR(VLOOKUP(AW280,tbFactorMes,2,FALSE),"")</f>
        <v/>
      </c>
      <c r="AY280">
        <f t="shared" si="65"/>
        <v>0</v>
      </c>
      <c r="BB280" t="str">
        <f>IFERROR(VLOOKUP(BA280,tbFactorMes,2,FALSE),"")</f>
        <v/>
      </c>
      <c r="BC280">
        <f t="shared" si="66"/>
        <v>0</v>
      </c>
      <c r="BF280" t="str">
        <f>IFERROR(VLOOKUP(BE280,tbFactorMes,2,FALSE),"")</f>
        <v/>
      </c>
      <c r="BG280">
        <f t="shared" si="67"/>
        <v>0</v>
      </c>
      <c r="BH280">
        <f t="shared" si="68"/>
        <v>0</v>
      </c>
      <c r="BI280">
        <f t="shared" si="69"/>
        <v>0</v>
      </c>
    </row>
    <row r="281" spans="11:61" x14ac:dyDescent="0.35">
      <c r="K281" t="str">
        <f>IFERROR(VLOOKUP(F281,tbTurnos,3,FALSE),"")</f>
        <v/>
      </c>
      <c r="N281" t="str">
        <f>IFERROR(VLOOKUP(M281,tbFactorMes,2,FALSE),"")</f>
        <v/>
      </c>
      <c r="O281">
        <f t="shared" si="56"/>
        <v>0</v>
      </c>
      <c r="R281" t="str">
        <f>IFERROR(VLOOKUP(Q281,tbFactorMes,2,FALSE),"")</f>
        <v/>
      </c>
      <c r="S281">
        <f t="shared" si="57"/>
        <v>0</v>
      </c>
      <c r="V281" t="str">
        <f>IFERROR(VLOOKUP(U281,tbFactorMes,2,FALSE),"")</f>
        <v/>
      </c>
      <c r="W281">
        <f t="shared" si="58"/>
        <v>0</v>
      </c>
      <c r="Z281" t="str">
        <f>IFERROR(VLOOKUP(Y281,tbFactorMes,2,FALSE),"")</f>
        <v/>
      </c>
      <c r="AA281">
        <f t="shared" si="59"/>
        <v>0</v>
      </c>
      <c r="AD281" t="str">
        <f>IFERROR(VLOOKUP(AC281,tbFactorMes,2,FALSE),"")</f>
        <v/>
      </c>
      <c r="AE281">
        <f t="shared" si="60"/>
        <v>0</v>
      </c>
      <c r="AH281" t="str">
        <f>IFERROR(VLOOKUP(AG281,tbFactorMes,2,FALSE),"")</f>
        <v/>
      </c>
      <c r="AI281">
        <f t="shared" si="61"/>
        <v>0</v>
      </c>
      <c r="AL281" t="str">
        <f>IFERROR(VLOOKUP(AK281,tbFactorMes,2,FALSE),"")</f>
        <v/>
      </c>
      <c r="AM281">
        <f t="shared" si="62"/>
        <v>0</v>
      </c>
      <c r="AP281" t="str">
        <f>IFERROR(VLOOKUP(AO281,tbFactorMes,2,FALSE),"")</f>
        <v/>
      </c>
      <c r="AQ281">
        <f t="shared" si="63"/>
        <v>0</v>
      </c>
      <c r="AT281" t="str">
        <f>IFERROR(VLOOKUP(AS281,tbFactorMes,2,FALSE),"")</f>
        <v/>
      </c>
      <c r="AU281">
        <f t="shared" si="64"/>
        <v>0</v>
      </c>
      <c r="AX281" t="str">
        <f>IFERROR(VLOOKUP(AW281,tbFactorMes,2,FALSE),"")</f>
        <v/>
      </c>
      <c r="AY281">
        <f t="shared" si="65"/>
        <v>0</v>
      </c>
      <c r="BB281" t="str">
        <f>IFERROR(VLOOKUP(BA281,tbFactorMes,2,FALSE),"")</f>
        <v/>
      </c>
      <c r="BC281">
        <f t="shared" si="66"/>
        <v>0</v>
      </c>
      <c r="BF281" t="str">
        <f>IFERROR(VLOOKUP(BE281,tbFactorMes,2,FALSE),"")</f>
        <v/>
      </c>
      <c r="BG281">
        <f t="shared" si="67"/>
        <v>0</v>
      </c>
      <c r="BH281">
        <f t="shared" si="68"/>
        <v>0</v>
      </c>
      <c r="BI281">
        <f t="shared" si="69"/>
        <v>0</v>
      </c>
    </row>
    <row r="282" spans="11:61" x14ac:dyDescent="0.35">
      <c r="K282" t="str">
        <f>IFERROR(VLOOKUP(F282,tbTurnos,3,FALSE),"")</f>
        <v/>
      </c>
      <c r="N282" t="str">
        <f>IFERROR(VLOOKUP(M282,tbFactorMes,2,FALSE),"")</f>
        <v/>
      </c>
      <c r="O282">
        <f t="shared" si="56"/>
        <v>0</v>
      </c>
      <c r="R282" t="str">
        <f>IFERROR(VLOOKUP(Q282,tbFactorMes,2,FALSE),"")</f>
        <v/>
      </c>
      <c r="S282">
        <f t="shared" si="57"/>
        <v>0</v>
      </c>
      <c r="V282" t="str">
        <f>IFERROR(VLOOKUP(U282,tbFactorMes,2,FALSE),"")</f>
        <v/>
      </c>
      <c r="W282">
        <f t="shared" si="58"/>
        <v>0</v>
      </c>
      <c r="Z282" t="str">
        <f>IFERROR(VLOOKUP(Y282,tbFactorMes,2,FALSE),"")</f>
        <v/>
      </c>
      <c r="AA282">
        <f t="shared" si="59"/>
        <v>0</v>
      </c>
      <c r="AD282" t="str">
        <f>IFERROR(VLOOKUP(AC282,tbFactorMes,2,FALSE),"")</f>
        <v/>
      </c>
      <c r="AE282">
        <f t="shared" si="60"/>
        <v>0</v>
      </c>
      <c r="AH282" t="str">
        <f>IFERROR(VLOOKUP(AG282,tbFactorMes,2,FALSE),"")</f>
        <v/>
      </c>
      <c r="AI282">
        <f t="shared" si="61"/>
        <v>0</v>
      </c>
      <c r="AL282" t="str">
        <f>IFERROR(VLOOKUP(AK282,tbFactorMes,2,FALSE),"")</f>
        <v/>
      </c>
      <c r="AM282">
        <f t="shared" si="62"/>
        <v>0</v>
      </c>
      <c r="AP282" t="str">
        <f>IFERROR(VLOOKUP(AO282,tbFactorMes,2,FALSE),"")</f>
        <v/>
      </c>
      <c r="AQ282">
        <f t="shared" si="63"/>
        <v>0</v>
      </c>
      <c r="AT282" t="str">
        <f>IFERROR(VLOOKUP(AS282,tbFactorMes,2,FALSE),"")</f>
        <v/>
      </c>
      <c r="AU282">
        <f t="shared" si="64"/>
        <v>0</v>
      </c>
      <c r="AX282" t="str">
        <f>IFERROR(VLOOKUP(AW282,tbFactorMes,2,FALSE),"")</f>
        <v/>
      </c>
      <c r="AY282">
        <f t="shared" si="65"/>
        <v>0</v>
      </c>
      <c r="BB282" t="str">
        <f>IFERROR(VLOOKUP(BA282,tbFactorMes,2,FALSE),"")</f>
        <v/>
      </c>
      <c r="BC282">
        <f t="shared" si="66"/>
        <v>0</v>
      </c>
      <c r="BF282" t="str">
        <f>IFERROR(VLOOKUP(BE282,tbFactorMes,2,FALSE),"")</f>
        <v/>
      </c>
      <c r="BG282">
        <f t="shared" si="67"/>
        <v>0</v>
      </c>
      <c r="BH282">
        <f t="shared" si="68"/>
        <v>0</v>
      </c>
      <c r="BI282">
        <f t="shared" si="69"/>
        <v>0</v>
      </c>
    </row>
    <row r="283" spans="11:61" x14ac:dyDescent="0.35">
      <c r="K283" t="str">
        <f>IFERROR(VLOOKUP(F283,tbTurnos,3,FALSE),"")</f>
        <v/>
      </c>
      <c r="N283" t="str">
        <f>IFERROR(VLOOKUP(M283,tbFactorMes,2,FALSE),"")</f>
        <v/>
      </c>
      <c r="O283">
        <f t="shared" si="56"/>
        <v>0</v>
      </c>
      <c r="R283" t="str">
        <f>IFERROR(VLOOKUP(Q283,tbFactorMes,2,FALSE),"")</f>
        <v/>
      </c>
      <c r="S283">
        <f t="shared" si="57"/>
        <v>0</v>
      </c>
      <c r="V283" t="str">
        <f>IFERROR(VLOOKUP(U283,tbFactorMes,2,FALSE),"")</f>
        <v/>
      </c>
      <c r="W283">
        <f t="shared" si="58"/>
        <v>0</v>
      </c>
      <c r="Z283" t="str">
        <f>IFERROR(VLOOKUP(Y283,tbFactorMes,2,FALSE),"")</f>
        <v/>
      </c>
      <c r="AA283">
        <f t="shared" si="59"/>
        <v>0</v>
      </c>
      <c r="AD283" t="str">
        <f>IFERROR(VLOOKUP(AC283,tbFactorMes,2,FALSE),"")</f>
        <v/>
      </c>
      <c r="AE283">
        <f t="shared" si="60"/>
        <v>0</v>
      </c>
      <c r="AH283" t="str">
        <f>IFERROR(VLOOKUP(AG283,tbFactorMes,2,FALSE),"")</f>
        <v/>
      </c>
      <c r="AI283">
        <f t="shared" si="61"/>
        <v>0</v>
      </c>
      <c r="AL283" t="str">
        <f>IFERROR(VLOOKUP(AK283,tbFactorMes,2,FALSE),"")</f>
        <v/>
      </c>
      <c r="AM283">
        <f t="shared" si="62"/>
        <v>0</v>
      </c>
      <c r="AP283" t="str">
        <f>IFERROR(VLOOKUP(AO283,tbFactorMes,2,FALSE),"")</f>
        <v/>
      </c>
      <c r="AQ283">
        <f t="shared" si="63"/>
        <v>0</v>
      </c>
      <c r="AT283" t="str">
        <f>IFERROR(VLOOKUP(AS283,tbFactorMes,2,FALSE),"")</f>
        <v/>
      </c>
      <c r="AU283">
        <f t="shared" si="64"/>
        <v>0</v>
      </c>
      <c r="AX283" t="str">
        <f>IFERROR(VLOOKUP(AW283,tbFactorMes,2,FALSE),"")</f>
        <v/>
      </c>
      <c r="AY283">
        <f t="shared" si="65"/>
        <v>0</v>
      </c>
      <c r="BB283" t="str">
        <f>IFERROR(VLOOKUP(BA283,tbFactorMes,2,FALSE),"")</f>
        <v/>
      </c>
      <c r="BC283">
        <f t="shared" si="66"/>
        <v>0</v>
      </c>
      <c r="BF283" t="str">
        <f>IFERROR(VLOOKUP(BE283,tbFactorMes,2,FALSE),"")</f>
        <v/>
      </c>
      <c r="BG283">
        <f t="shared" si="67"/>
        <v>0</v>
      </c>
      <c r="BH283">
        <f t="shared" si="68"/>
        <v>0</v>
      </c>
      <c r="BI283">
        <f t="shared" si="69"/>
        <v>0</v>
      </c>
    </row>
    <row r="284" spans="11:61" x14ac:dyDescent="0.35">
      <c r="K284" t="str">
        <f>IFERROR(VLOOKUP(F284,tbTurnos,3,FALSE),"")</f>
        <v/>
      </c>
      <c r="N284" t="str">
        <f>IFERROR(VLOOKUP(M284,tbFactorMes,2,FALSE),"")</f>
        <v/>
      </c>
      <c r="O284">
        <f t="shared" si="56"/>
        <v>0</v>
      </c>
      <c r="R284" t="str">
        <f>IFERROR(VLOOKUP(Q284,tbFactorMes,2,FALSE),"")</f>
        <v/>
      </c>
      <c r="S284">
        <f t="shared" si="57"/>
        <v>0</v>
      </c>
      <c r="V284" t="str">
        <f>IFERROR(VLOOKUP(U284,tbFactorMes,2,FALSE),"")</f>
        <v/>
      </c>
      <c r="W284">
        <f t="shared" si="58"/>
        <v>0</v>
      </c>
      <c r="Z284" t="str">
        <f>IFERROR(VLOOKUP(Y284,tbFactorMes,2,FALSE),"")</f>
        <v/>
      </c>
      <c r="AA284">
        <f t="shared" si="59"/>
        <v>0</v>
      </c>
      <c r="AD284" t="str">
        <f>IFERROR(VLOOKUP(AC284,tbFactorMes,2,FALSE),"")</f>
        <v/>
      </c>
      <c r="AE284">
        <f t="shared" si="60"/>
        <v>0</v>
      </c>
      <c r="AH284" t="str">
        <f>IFERROR(VLOOKUP(AG284,tbFactorMes,2,FALSE),"")</f>
        <v/>
      </c>
      <c r="AI284">
        <f t="shared" si="61"/>
        <v>0</v>
      </c>
      <c r="AL284" t="str">
        <f>IFERROR(VLOOKUP(AK284,tbFactorMes,2,FALSE),"")</f>
        <v/>
      </c>
      <c r="AM284">
        <f t="shared" si="62"/>
        <v>0</v>
      </c>
      <c r="AP284" t="str">
        <f>IFERROR(VLOOKUP(AO284,tbFactorMes,2,FALSE),"")</f>
        <v/>
      </c>
      <c r="AQ284">
        <f t="shared" si="63"/>
        <v>0</v>
      </c>
      <c r="AT284" t="str">
        <f>IFERROR(VLOOKUP(AS284,tbFactorMes,2,FALSE),"")</f>
        <v/>
      </c>
      <c r="AU284">
        <f t="shared" si="64"/>
        <v>0</v>
      </c>
      <c r="AX284" t="str">
        <f>IFERROR(VLOOKUP(AW284,tbFactorMes,2,FALSE),"")</f>
        <v/>
      </c>
      <c r="AY284">
        <f t="shared" si="65"/>
        <v>0</v>
      </c>
      <c r="BB284" t="str">
        <f>IFERROR(VLOOKUP(BA284,tbFactorMes,2,FALSE),"")</f>
        <v/>
      </c>
      <c r="BC284">
        <f t="shared" si="66"/>
        <v>0</v>
      </c>
      <c r="BF284" t="str">
        <f>IFERROR(VLOOKUP(BE284,tbFactorMes,2,FALSE),"")</f>
        <v/>
      </c>
      <c r="BG284">
        <f t="shared" si="67"/>
        <v>0</v>
      </c>
      <c r="BH284">
        <f t="shared" si="68"/>
        <v>0</v>
      </c>
      <c r="BI284">
        <f t="shared" si="69"/>
        <v>0</v>
      </c>
    </row>
    <row r="285" spans="11:61" x14ac:dyDescent="0.35">
      <c r="K285" t="str">
        <f>IFERROR(VLOOKUP(F285,tbTurnos,3,FALSE),"")</f>
        <v/>
      </c>
      <c r="N285" t="str">
        <f>IFERROR(VLOOKUP(M285,tbFactorMes,2,FALSE),"")</f>
        <v/>
      </c>
      <c r="O285">
        <f t="shared" si="56"/>
        <v>0</v>
      </c>
      <c r="R285" t="str">
        <f>IFERROR(VLOOKUP(Q285,tbFactorMes,2,FALSE),"")</f>
        <v/>
      </c>
      <c r="S285">
        <f t="shared" si="57"/>
        <v>0</v>
      </c>
      <c r="V285" t="str">
        <f>IFERROR(VLOOKUP(U285,tbFactorMes,2,FALSE),"")</f>
        <v/>
      </c>
      <c r="W285">
        <f t="shared" si="58"/>
        <v>0</v>
      </c>
      <c r="Z285" t="str">
        <f>IFERROR(VLOOKUP(Y285,tbFactorMes,2,FALSE),"")</f>
        <v/>
      </c>
      <c r="AA285">
        <f t="shared" si="59"/>
        <v>0</v>
      </c>
      <c r="AD285" t="str">
        <f>IFERROR(VLOOKUP(AC285,tbFactorMes,2,FALSE),"")</f>
        <v/>
      </c>
      <c r="AE285">
        <f t="shared" si="60"/>
        <v>0</v>
      </c>
      <c r="AH285" t="str">
        <f>IFERROR(VLOOKUP(AG285,tbFactorMes,2,FALSE),"")</f>
        <v/>
      </c>
      <c r="AI285">
        <f t="shared" si="61"/>
        <v>0</v>
      </c>
      <c r="AL285" t="str">
        <f>IFERROR(VLOOKUP(AK285,tbFactorMes,2,FALSE),"")</f>
        <v/>
      </c>
      <c r="AM285">
        <f t="shared" si="62"/>
        <v>0</v>
      </c>
      <c r="AP285" t="str">
        <f>IFERROR(VLOOKUP(AO285,tbFactorMes,2,FALSE),"")</f>
        <v/>
      </c>
      <c r="AQ285">
        <f t="shared" si="63"/>
        <v>0</v>
      </c>
      <c r="AT285" t="str">
        <f>IFERROR(VLOOKUP(AS285,tbFactorMes,2,FALSE),"")</f>
        <v/>
      </c>
      <c r="AU285">
        <f t="shared" si="64"/>
        <v>0</v>
      </c>
      <c r="AX285" t="str">
        <f>IFERROR(VLOOKUP(AW285,tbFactorMes,2,FALSE),"")</f>
        <v/>
      </c>
      <c r="AY285">
        <f t="shared" si="65"/>
        <v>0</v>
      </c>
      <c r="BB285" t="str">
        <f>IFERROR(VLOOKUP(BA285,tbFactorMes,2,FALSE),"")</f>
        <v/>
      </c>
      <c r="BC285">
        <f t="shared" si="66"/>
        <v>0</v>
      </c>
      <c r="BF285" t="str">
        <f>IFERROR(VLOOKUP(BE285,tbFactorMes,2,FALSE),"")</f>
        <v/>
      </c>
      <c r="BG285">
        <f t="shared" si="67"/>
        <v>0</v>
      </c>
      <c r="BH285">
        <f t="shared" si="68"/>
        <v>0</v>
      </c>
      <c r="BI285">
        <f t="shared" si="69"/>
        <v>0</v>
      </c>
    </row>
    <row r="286" spans="11:61" x14ac:dyDescent="0.35">
      <c r="K286" t="str">
        <f>IFERROR(VLOOKUP(F286,tbTurnos,3,FALSE),"")</f>
        <v/>
      </c>
      <c r="N286" t="str">
        <f>IFERROR(VLOOKUP(M286,tbFactorMes,2,FALSE),"")</f>
        <v/>
      </c>
      <c r="O286">
        <f t="shared" si="56"/>
        <v>0</v>
      </c>
      <c r="R286" t="str">
        <f>IFERROR(VLOOKUP(Q286,tbFactorMes,2,FALSE),"")</f>
        <v/>
      </c>
      <c r="S286">
        <f t="shared" si="57"/>
        <v>0</v>
      </c>
      <c r="V286" t="str">
        <f>IFERROR(VLOOKUP(U286,tbFactorMes,2,FALSE),"")</f>
        <v/>
      </c>
      <c r="W286">
        <f t="shared" si="58"/>
        <v>0</v>
      </c>
      <c r="Z286" t="str">
        <f>IFERROR(VLOOKUP(Y286,tbFactorMes,2,FALSE),"")</f>
        <v/>
      </c>
      <c r="AA286">
        <f t="shared" si="59"/>
        <v>0</v>
      </c>
      <c r="AD286" t="str">
        <f>IFERROR(VLOOKUP(AC286,tbFactorMes,2,FALSE),"")</f>
        <v/>
      </c>
      <c r="AE286">
        <f t="shared" si="60"/>
        <v>0</v>
      </c>
      <c r="AH286" t="str">
        <f>IFERROR(VLOOKUP(AG286,tbFactorMes,2,FALSE),"")</f>
        <v/>
      </c>
      <c r="AI286">
        <f t="shared" si="61"/>
        <v>0</v>
      </c>
      <c r="AL286" t="str">
        <f>IFERROR(VLOOKUP(AK286,tbFactorMes,2,FALSE),"")</f>
        <v/>
      </c>
      <c r="AM286">
        <f t="shared" si="62"/>
        <v>0</v>
      </c>
      <c r="AP286" t="str">
        <f>IFERROR(VLOOKUP(AO286,tbFactorMes,2,FALSE),"")</f>
        <v/>
      </c>
      <c r="AQ286">
        <f t="shared" si="63"/>
        <v>0</v>
      </c>
      <c r="AT286" t="str">
        <f>IFERROR(VLOOKUP(AS286,tbFactorMes,2,FALSE),"")</f>
        <v/>
      </c>
      <c r="AU286">
        <f t="shared" si="64"/>
        <v>0</v>
      </c>
      <c r="AX286" t="str">
        <f>IFERROR(VLOOKUP(AW286,tbFactorMes,2,FALSE),"")</f>
        <v/>
      </c>
      <c r="AY286">
        <f t="shared" si="65"/>
        <v>0</v>
      </c>
      <c r="BB286" t="str">
        <f>IFERROR(VLOOKUP(BA286,tbFactorMes,2,FALSE),"")</f>
        <v/>
      </c>
      <c r="BC286">
        <f t="shared" si="66"/>
        <v>0</v>
      </c>
      <c r="BF286" t="str">
        <f>IFERROR(VLOOKUP(BE286,tbFactorMes,2,FALSE),"")</f>
        <v/>
      </c>
      <c r="BG286">
        <f t="shared" si="67"/>
        <v>0</v>
      </c>
      <c r="BH286">
        <f t="shared" si="68"/>
        <v>0</v>
      </c>
      <c r="BI286">
        <f t="shared" si="69"/>
        <v>0</v>
      </c>
    </row>
    <row r="287" spans="11:61" x14ac:dyDescent="0.35">
      <c r="K287" t="str">
        <f>IFERROR(VLOOKUP(F287,tbTurnos,3,FALSE),"")</f>
        <v/>
      </c>
      <c r="N287" t="str">
        <f>IFERROR(VLOOKUP(M287,tbFactorMes,2,FALSE),"")</f>
        <v/>
      </c>
      <c r="O287">
        <f t="shared" si="56"/>
        <v>0</v>
      </c>
      <c r="R287" t="str">
        <f>IFERROR(VLOOKUP(Q287,tbFactorMes,2,FALSE),"")</f>
        <v/>
      </c>
      <c r="S287">
        <f t="shared" si="57"/>
        <v>0</v>
      </c>
      <c r="V287" t="str">
        <f>IFERROR(VLOOKUP(U287,tbFactorMes,2,FALSE),"")</f>
        <v/>
      </c>
      <c r="W287">
        <f t="shared" si="58"/>
        <v>0</v>
      </c>
      <c r="Z287" t="str">
        <f>IFERROR(VLOOKUP(Y287,tbFactorMes,2,FALSE),"")</f>
        <v/>
      </c>
      <c r="AA287">
        <f t="shared" si="59"/>
        <v>0</v>
      </c>
      <c r="AD287" t="str">
        <f>IFERROR(VLOOKUP(AC287,tbFactorMes,2,FALSE),"")</f>
        <v/>
      </c>
      <c r="AE287">
        <f t="shared" si="60"/>
        <v>0</v>
      </c>
      <c r="AH287" t="str">
        <f>IFERROR(VLOOKUP(AG287,tbFactorMes,2,FALSE),"")</f>
        <v/>
      </c>
      <c r="AI287">
        <f t="shared" si="61"/>
        <v>0</v>
      </c>
      <c r="AL287" t="str">
        <f>IFERROR(VLOOKUP(AK287,tbFactorMes,2,FALSE),"")</f>
        <v/>
      </c>
      <c r="AM287">
        <f t="shared" si="62"/>
        <v>0</v>
      </c>
      <c r="AP287" t="str">
        <f>IFERROR(VLOOKUP(AO287,tbFactorMes,2,FALSE),"")</f>
        <v/>
      </c>
      <c r="AQ287">
        <f t="shared" si="63"/>
        <v>0</v>
      </c>
      <c r="AT287" t="str">
        <f>IFERROR(VLOOKUP(AS287,tbFactorMes,2,FALSE),"")</f>
        <v/>
      </c>
      <c r="AU287">
        <f t="shared" si="64"/>
        <v>0</v>
      </c>
      <c r="AX287" t="str">
        <f>IFERROR(VLOOKUP(AW287,tbFactorMes,2,FALSE),"")</f>
        <v/>
      </c>
      <c r="AY287">
        <f t="shared" si="65"/>
        <v>0</v>
      </c>
      <c r="BB287" t="str">
        <f>IFERROR(VLOOKUP(BA287,tbFactorMes,2,FALSE),"")</f>
        <v/>
      </c>
      <c r="BC287">
        <f t="shared" si="66"/>
        <v>0</v>
      </c>
      <c r="BF287" t="str">
        <f>IFERROR(VLOOKUP(BE287,tbFactorMes,2,FALSE),"")</f>
        <v/>
      </c>
      <c r="BG287">
        <f t="shared" si="67"/>
        <v>0</v>
      </c>
      <c r="BH287">
        <f t="shared" si="68"/>
        <v>0</v>
      </c>
      <c r="BI287">
        <f t="shared" si="69"/>
        <v>0</v>
      </c>
    </row>
    <row r="288" spans="11:61" x14ac:dyDescent="0.35">
      <c r="K288" t="str">
        <f>IFERROR(VLOOKUP(F288,tbTurnos,3,FALSE),"")</f>
        <v/>
      </c>
      <c r="N288" t="str">
        <f>IFERROR(VLOOKUP(M288,tbFactorMes,2,FALSE),"")</f>
        <v/>
      </c>
      <c r="O288">
        <f t="shared" si="56"/>
        <v>0</v>
      </c>
      <c r="R288" t="str">
        <f>IFERROR(VLOOKUP(Q288,tbFactorMes,2,FALSE),"")</f>
        <v/>
      </c>
      <c r="S288">
        <f t="shared" si="57"/>
        <v>0</v>
      </c>
      <c r="V288" t="str">
        <f>IFERROR(VLOOKUP(U288,tbFactorMes,2,FALSE),"")</f>
        <v/>
      </c>
      <c r="W288">
        <f t="shared" si="58"/>
        <v>0</v>
      </c>
      <c r="Z288" t="str">
        <f>IFERROR(VLOOKUP(Y288,tbFactorMes,2,FALSE),"")</f>
        <v/>
      </c>
      <c r="AA288">
        <f t="shared" si="59"/>
        <v>0</v>
      </c>
      <c r="AD288" t="str">
        <f>IFERROR(VLOOKUP(AC288,tbFactorMes,2,FALSE),"")</f>
        <v/>
      </c>
      <c r="AE288">
        <f t="shared" si="60"/>
        <v>0</v>
      </c>
      <c r="AH288" t="str">
        <f>IFERROR(VLOOKUP(AG288,tbFactorMes,2,FALSE),"")</f>
        <v/>
      </c>
      <c r="AI288">
        <f t="shared" si="61"/>
        <v>0</v>
      </c>
      <c r="AL288" t="str">
        <f>IFERROR(VLOOKUP(AK288,tbFactorMes,2,FALSE),"")</f>
        <v/>
      </c>
      <c r="AM288">
        <f t="shared" si="62"/>
        <v>0</v>
      </c>
      <c r="AP288" t="str">
        <f>IFERROR(VLOOKUP(AO288,tbFactorMes,2,FALSE),"")</f>
        <v/>
      </c>
      <c r="AQ288">
        <f t="shared" si="63"/>
        <v>0</v>
      </c>
      <c r="AT288" t="str">
        <f>IFERROR(VLOOKUP(AS288,tbFactorMes,2,FALSE),"")</f>
        <v/>
      </c>
      <c r="AU288">
        <f t="shared" si="64"/>
        <v>0</v>
      </c>
      <c r="AX288" t="str">
        <f>IFERROR(VLOOKUP(AW288,tbFactorMes,2,FALSE),"")</f>
        <v/>
      </c>
      <c r="AY288">
        <f t="shared" si="65"/>
        <v>0</v>
      </c>
      <c r="BB288" t="str">
        <f>IFERROR(VLOOKUP(BA288,tbFactorMes,2,FALSE),"")</f>
        <v/>
      </c>
      <c r="BC288">
        <f t="shared" si="66"/>
        <v>0</v>
      </c>
      <c r="BF288" t="str">
        <f>IFERROR(VLOOKUP(BE288,tbFactorMes,2,FALSE),"")</f>
        <v/>
      </c>
      <c r="BG288">
        <f t="shared" si="67"/>
        <v>0</v>
      </c>
      <c r="BH288">
        <f t="shared" si="68"/>
        <v>0</v>
      </c>
      <c r="BI288">
        <f t="shared" si="69"/>
        <v>0</v>
      </c>
    </row>
    <row r="289" spans="11:61" x14ac:dyDescent="0.35">
      <c r="K289" t="str">
        <f>IFERROR(VLOOKUP(F289,tbTurnos,3,FALSE),"")</f>
        <v/>
      </c>
      <c r="N289" t="str">
        <f>IFERROR(VLOOKUP(M289,tbFactorMes,2,FALSE),"")</f>
        <v/>
      </c>
      <c r="O289">
        <f t="shared" si="56"/>
        <v>0</v>
      </c>
      <c r="R289" t="str">
        <f>IFERROR(VLOOKUP(Q289,tbFactorMes,2,FALSE),"")</f>
        <v/>
      </c>
      <c r="S289">
        <f t="shared" si="57"/>
        <v>0</v>
      </c>
      <c r="V289" t="str">
        <f>IFERROR(VLOOKUP(U289,tbFactorMes,2,FALSE),"")</f>
        <v/>
      </c>
      <c r="W289">
        <f t="shared" si="58"/>
        <v>0</v>
      </c>
      <c r="Z289" t="str">
        <f>IFERROR(VLOOKUP(Y289,tbFactorMes,2,FALSE),"")</f>
        <v/>
      </c>
      <c r="AA289">
        <f t="shared" si="59"/>
        <v>0</v>
      </c>
      <c r="AD289" t="str">
        <f>IFERROR(VLOOKUP(AC289,tbFactorMes,2,FALSE),"")</f>
        <v/>
      </c>
      <c r="AE289">
        <f t="shared" si="60"/>
        <v>0</v>
      </c>
      <c r="AH289" t="str">
        <f>IFERROR(VLOOKUP(AG289,tbFactorMes,2,FALSE),"")</f>
        <v/>
      </c>
      <c r="AI289">
        <f t="shared" si="61"/>
        <v>0</v>
      </c>
      <c r="AL289" t="str">
        <f>IFERROR(VLOOKUP(AK289,tbFactorMes,2,FALSE),"")</f>
        <v/>
      </c>
      <c r="AM289">
        <f t="shared" si="62"/>
        <v>0</v>
      </c>
      <c r="AP289" t="str">
        <f>IFERROR(VLOOKUP(AO289,tbFactorMes,2,FALSE),"")</f>
        <v/>
      </c>
      <c r="AQ289">
        <f t="shared" si="63"/>
        <v>0</v>
      </c>
      <c r="AT289" t="str">
        <f>IFERROR(VLOOKUP(AS289,tbFactorMes,2,FALSE),"")</f>
        <v/>
      </c>
      <c r="AU289">
        <f t="shared" si="64"/>
        <v>0</v>
      </c>
      <c r="AX289" t="str">
        <f>IFERROR(VLOOKUP(AW289,tbFactorMes,2,FALSE),"")</f>
        <v/>
      </c>
      <c r="AY289">
        <f t="shared" si="65"/>
        <v>0</v>
      </c>
      <c r="BB289" t="str">
        <f>IFERROR(VLOOKUP(BA289,tbFactorMes,2,FALSE),"")</f>
        <v/>
      </c>
      <c r="BC289">
        <f t="shared" si="66"/>
        <v>0</v>
      </c>
      <c r="BF289" t="str">
        <f>IFERROR(VLOOKUP(BE289,tbFactorMes,2,FALSE),"")</f>
        <v/>
      </c>
      <c r="BG289">
        <f t="shared" si="67"/>
        <v>0</v>
      </c>
      <c r="BH289">
        <f t="shared" si="68"/>
        <v>0</v>
      </c>
      <c r="BI289">
        <f t="shared" si="69"/>
        <v>0</v>
      </c>
    </row>
    <row r="290" spans="11:61" x14ac:dyDescent="0.35">
      <c r="K290" t="str">
        <f>IFERROR(VLOOKUP(F290,tbTurnos,3,FALSE),"")</f>
        <v/>
      </c>
      <c r="N290" t="str">
        <f>IFERROR(VLOOKUP(M290,tbFactorMes,2,FALSE),"")</f>
        <v/>
      </c>
      <c r="O290">
        <f t="shared" si="56"/>
        <v>0</v>
      </c>
      <c r="R290" t="str">
        <f>IFERROR(VLOOKUP(Q290,tbFactorMes,2,FALSE),"")</f>
        <v/>
      </c>
      <c r="S290">
        <f t="shared" si="57"/>
        <v>0</v>
      </c>
      <c r="V290" t="str">
        <f>IFERROR(VLOOKUP(U290,tbFactorMes,2,FALSE),"")</f>
        <v/>
      </c>
      <c r="W290">
        <f t="shared" si="58"/>
        <v>0</v>
      </c>
      <c r="Z290" t="str">
        <f>IFERROR(VLOOKUP(Y290,tbFactorMes,2,FALSE),"")</f>
        <v/>
      </c>
      <c r="AA290">
        <f t="shared" si="59"/>
        <v>0</v>
      </c>
      <c r="AD290" t="str">
        <f>IFERROR(VLOOKUP(AC290,tbFactorMes,2,FALSE),"")</f>
        <v/>
      </c>
      <c r="AE290">
        <f t="shared" si="60"/>
        <v>0</v>
      </c>
      <c r="AH290" t="str">
        <f>IFERROR(VLOOKUP(AG290,tbFactorMes,2,FALSE),"")</f>
        <v/>
      </c>
      <c r="AI290">
        <f t="shared" si="61"/>
        <v>0</v>
      </c>
      <c r="AL290" t="str">
        <f>IFERROR(VLOOKUP(AK290,tbFactorMes,2,FALSE),"")</f>
        <v/>
      </c>
      <c r="AM290">
        <f t="shared" si="62"/>
        <v>0</v>
      </c>
      <c r="AP290" t="str">
        <f>IFERROR(VLOOKUP(AO290,tbFactorMes,2,FALSE),"")</f>
        <v/>
      </c>
      <c r="AQ290">
        <f t="shared" si="63"/>
        <v>0</v>
      </c>
      <c r="AT290" t="str">
        <f>IFERROR(VLOOKUP(AS290,tbFactorMes,2,FALSE),"")</f>
        <v/>
      </c>
      <c r="AU290">
        <f t="shared" si="64"/>
        <v>0</v>
      </c>
      <c r="AX290" t="str">
        <f>IFERROR(VLOOKUP(AW290,tbFactorMes,2,FALSE),"")</f>
        <v/>
      </c>
      <c r="AY290">
        <f t="shared" si="65"/>
        <v>0</v>
      </c>
      <c r="BB290" t="str">
        <f>IFERROR(VLOOKUP(BA290,tbFactorMes,2,FALSE),"")</f>
        <v/>
      </c>
      <c r="BC290">
        <f t="shared" si="66"/>
        <v>0</v>
      </c>
      <c r="BF290" t="str">
        <f>IFERROR(VLOOKUP(BE290,tbFactorMes,2,FALSE),"")</f>
        <v/>
      </c>
      <c r="BG290">
        <f t="shared" si="67"/>
        <v>0</v>
      </c>
      <c r="BH290">
        <f t="shared" si="68"/>
        <v>0</v>
      </c>
      <c r="BI290">
        <f t="shared" si="69"/>
        <v>0</v>
      </c>
    </row>
    <row r="291" spans="11:61" x14ac:dyDescent="0.35">
      <c r="K291" t="str">
        <f>IFERROR(VLOOKUP(F291,tbTurnos,3,FALSE),"")</f>
        <v/>
      </c>
      <c r="N291" t="str">
        <f>IFERROR(VLOOKUP(M291,tbFactorMes,2,FALSE),"")</f>
        <v/>
      </c>
      <c r="O291">
        <f t="shared" si="56"/>
        <v>0</v>
      </c>
      <c r="R291" t="str">
        <f>IFERROR(VLOOKUP(Q291,tbFactorMes,2,FALSE),"")</f>
        <v/>
      </c>
      <c r="S291">
        <f t="shared" si="57"/>
        <v>0</v>
      </c>
      <c r="V291" t="str">
        <f>IFERROR(VLOOKUP(U291,tbFactorMes,2,FALSE),"")</f>
        <v/>
      </c>
      <c r="W291">
        <f t="shared" si="58"/>
        <v>0</v>
      </c>
      <c r="Z291" t="str">
        <f>IFERROR(VLOOKUP(Y291,tbFactorMes,2,FALSE),"")</f>
        <v/>
      </c>
      <c r="AA291">
        <f t="shared" si="59"/>
        <v>0</v>
      </c>
      <c r="AD291" t="str">
        <f>IFERROR(VLOOKUP(AC291,tbFactorMes,2,FALSE),"")</f>
        <v/>
      </c>
      <c r="AE291">
        <f t="shared" si="60"/>
        <v>0</v>
      </c>
      <c r="AH291" t="str">
        <f>IFERROR(VLOOKUP(AG291,tbFactorMes,2,FALSE),"")</f>
        <v/>
      </c>
      <c r="AI291">
        <f t="shared" si="61"/>
        <v>0</v>
      </c>
      <c r="AL291" t="str">
        <f>IFERROR(VLOOKUP(AK291,tbFactorMes,2,FALSE),"")</f>
        <v/>
      </c>
      <c r="AM291">
        <f t="shared" si="62"/>
        <v>0</v>
      </c>
      <c r="AP291" t="str">
        <f>IFERROR(VLOOKUP(AO291,tbFactorMes,2,FALSE),"")</f>
        <v/>
      </c>
      <c r="AQ291">
        <f t="shared" si="63"/>
        <v>0</v>
      </c>
      <c r="AT291" t="str">
        <f>IFERROR(VLOOKUP(AS291,tbFactorMes,2,FALSE),"")</f>
        <v/>
      </c>
      <c r="AU291">
        <f t="shared" si="64"/>
        <v>0</v>
      </c>
      <c r="AX291" t="str">
        <f>IFERROR(VLOOKUP(AW291,tbFactorMes,2,FALSE),"")</f>
        <v/>
      </c>
      <c r="AY291">
        <f t="shared" si="65"/>
        <v>0</v>
      </c>
      <c r="BB291" t="str">
        <f>IFERROR(VLOOKUP(BA291,tbFactorMes,2,FALSE),"")</f>
        <v/>
      </c>
      <c r="BC291">
        <f t="shared" si="66"/>
        <v>0</v>
      </c>
      <c r="BF291" t="str">
        <f>IFERROR(VLOOKUP(BE291,tbFactorMes,2,FALSE),"")</f>
        <v/>
      </c>
      <c r="BG291">
        <f t="shared" si="67"/>
        <v>0</v>
      </c>
      <c r="BH291">
        <f t="shared" si="68"/>
        <v>0</v>
      </c>
      <c r="BI291">
        <f t="shared" si="69"/>
        <v>0</v>
      </c>
    </row>
    <row r="292" spans="11:61" x14ac:dyDescent="0.35">
      <c r="K292" t="str">
        <f>IFERROR(VLOOKUP(F292,tbTurnos,3,FALSE),"")</f>
        <v/>
      </c>
      <c r="N292" t="str">
        <f>IFERROR(VLOOKUP(M292,tbFactorMes,2,FALSE),"")</f>
        <v/>
      </c>
      <c r="O292">
        <f t="shared" si="56"/>
        <v>0</v>
      </c>
      <c r="R292" t="str">
        <f>IFERROR(VLOOKUP(Q292,tbFactorMes,2,FALSE),"")</f>
        <v/>
      </c>
      <c r="S292">
        <f t="shared" si="57"/>
        <v>0</v>
      </c>
      <c r="V292" t="str">
        <f>IFERROR(VLOOKUP(U292,tbFactorMes,2,FALSE),"")</f>
        <v/>
      </c>
      <c r="W292">
        <f t="shared" si="58"/>
        <v>0</v>
      </c>
      <c r="Z292" t="str">
        <f>IFERROR(VLOOKUP(Y292,tbFactorMes,2,FALSE),"")</f>
        <v/>
      </c>
      <c r="AA292">
        <f t="shared" si="59"/>
        <v>0</v>
      </c>
      <c r="AD292" t="str">
        <f>IFERROR(VLOOKUP(AC292,tbFactorMes,2,FALSE),"")</f>
        <v/>
      </c>
      <c r="AE292">
        <f t="shared" si="60"/>
        <v>0</v>
      </c>
      <c r="AH292" t="str">
        <f>IFERROR(VLOOKUP(AG292,tbFactorMes,2,FALSE),"")</f>
        <v/>
      </c>
      <c r="AI292">
        <f t="shared" si="61"/>
        <v>0</v>
      </c>
      <c r="AL292" t="str">
        <f>IFERROR(VLOOKUP(AK292,tbFactorMes,2,FALSE),"")</f>
        <v/>
      </c>
      <c r="AM292">
        <f t="shared" si="62"/>
        <v>0</v>
      </c>
      <c r="AP292" t="str">
        <f>IFERROR(VLOOKUP(AO292,tbFactorMes,2,FALSE),"")</f>
        <v/>
      </c>
      <c r="AQ292">
        <f t="shared" si="63"/>
        <v>0</v>
      </c>
      <c r="AT292" t="str">
        <f>IFERROR(VLOOKUP(AS292,tbFactorMes,2,FALSE),"")</f>
        <v/>
      </c>
      <c r="AU292">
        <f t="shared" si="64"/>
        <v>0</v>
      </c>
      <c r="AX292" t="str">
        <f>IFERROR(VLOOKUP(AW292,tbFactorMes,2,FALSE),"")</f>
        <v/>
      </c>
      <c r="AY292">
        <f t="shared" si="65"/>
        <v>0</v>
      </c>
      <c r="BB292" t="str">
        <f>IFERROR(VLOOKUP(BA292,tbFactorMes,2,FALSE),"")</f>
        <v/>
      </c>
      <c r="BC292">
        <f t="shared" si="66"/>
        <v>0</v>
      </c>
      <c r="BF292" t="str">
        <f>IFERROR(VLOOKUP(BE292,tbFactorMes,2,FALSE),"")</f>
        <v/>
      </c>
      <c r="BG292">
        <f t="shared" si="67"/>
        <v>0</v>
      </c>
      <c r="BH292">
        <f t="shared" si="68"/>
        <v>0</v>
      </c>
      <c r="BI292">
        <f t="shared" si="69"/>
        <v>0</v>
      </c>
    </row>
    <row r="293" spans="11:61" x14ac:dyDescent="0.35">
      <c r="K293" t="str">
        <f>IFERROR(VLOOKUP(F293,tbTurnos,3,FALSE),"")</f>
        <v/>
      </c>
      <c r="N293" t="str">
        <f>IFERROR(VLOOKUP(M293,tbFactorMes,2,FALSE),"")</f>
        <v/>
      </c>
      <c r="O293">
        <f t="shared" si="56"/>
        <v>0</v>
      </c>
      <c r="R293" t="str">
        <f>IFERROR(VLOOKUP(Q293,tbFactorMes,2,FALSE),"")</f>
        <v/>
      </c>
      <c r="S293">
        <f t="shared" si="57"/>
        <v>0</v>
      </c>
      <c r="V293" t="str">
        <f>IFERROR(VLOOKUP(U293,tbFactorMes,2,FALSE),"")</f>
        <v/>
      </c>
      <c r="W293">
        <f t="shared" si="58"/>
        <v>0</v>
      </c>
      <c r="Z293" t="str">
        <f>IFERROR(VLOOKUP(Y293,tbFactorMes,2,FALSE),"")</f>
        <v/>
      </c>
      <c r="AA293">
        <f t="shared" si="59"/>
        <v>0</v>
      </c>
      <c r="AD293" t="str">
        <f>IFERROR(VLOOKUP(AC293,tbFactorMes,2,FALSE),"")</f>
        <v/>
      </c>
      <c r="AE293">
        <f t="shared" si="60"/>
        <v>0</v>
      </c>
      <c r="AH293" t="str">
        <f>IFERROR(VLOOKUP(AG293,tbFactorMes,2,FALSE),"")</f>
        <v/>
      </c>
      <c r="AI293">
        <f t="shared" si="61"/>
        <v>0</v>
      </c>
      <c r="AL293" t="str">
        <f>IFERROR(VLOOKUP(AK293,tbFactorMes,2,FALSE),"")</f>
        <v/>
      </c>
      <c r="AM293">
        <f t="shared" si="62"/>
        <v>0</v>
      </c>
      <c r="AP293" t="str">
        <f>IFERROR(VLOOKUP(AO293,tbFactorMes,2,FALSE),"")</f>
        <v/>
      </c>
      <c r="AQ293">
        <f t="shared" si="63"/>
        <v>0</v>
      </c>
      <c r="AT293" t="str">
        <f>IFERROR(VLOOKUP(AS293,tbFactorMes,2,FALSE),"")</f>
        <v/>
      </c>
      <c r="AU293">
        <f t="shared" si="64"/>
        <v>0</v>
      </c>
      <c r="AX293" t="str">
        <f>IFERROR(VLOOKUP(AW293,tbFactorMes,2,FALSE),"")</f>
        <v/>
      </c>
      <c r="AY293">
        <f t="shared" si="65"/>
        <v>0</v>
      </c>
      <c r="BB293" t="str">
        <f>IFERROR(VLOOKUP(BA293,tbFactorMes,2,FALSE),"")</f>
        <v/>
      </c>
      <c r="BC293">
        <f t="shared" si="66"/>
        <v>0</v>
      </c>
      <c r="BF293" t="str">
        <f>IFERROR(VLOOKUP(BE293,tbFactorMes,2,FALSE),"")</f>
        <v/>
      </c>
      <c r="BG293">
        <f t="shared" si="67"/>
        <v>0</v>
      </c>
      <c r="BH293">
        <f t="shared" si="68"/>
        <v>0</v>
      </c>
      <c r="BI293">
        <f t="shared" si="69"/>
        <v>0</v>
      </c>
    </row>
    <row r="294" spans="11:61" x14ac:dyDescent="0.35">
      <c r="K294" t="str">
        <f>IFERROR(VLOOKUP(F294,tbTurnos,3,FALSE),"")</f>
        <v/>
      </c>
      <c r="N294" t="str">
        <f>IFERROR(VLOOKUP(M294,tbFactorMes,2,FALSE),"")</f>
        <v/>
      </c>
      <c r="O294">
        <f t="shared" si="56"/>
        <v>0</v>
      </c>
      <c r="R294" t="str">
        <f>IFERROR(VLOOKUP(Q294,tbFactorMes,2,FALSE),"")</f>
        <v/>
      </c>
      <c r="S294">
        <f t="shared" si="57"/>
        <v>0</v>
      </c>
      <c r="V294" t="str">
        <f>IFERROR(VLOOKUP(U294,tbFactorMes,2,FALSE),"")</f>
        <v/>
      </c>
      <c r="W294">
        <f t="shared" si="58"/>
        <v>0</v>
      </c>
      <c r="Z294" t="str">
        <f>IFERROR(VLOOKUP(Y294,tbFactorMes,2,FALSE),"")</f>
        <v/>
      </c>
      <c r="AA294">
        <f t="shared" si="59"/>
        <v>0</v>
      </c>
      <c r="AD294" t="str">
        <f>IFERROR(VLOOKUP(AC294,tbFactorMes,2,FALSE),"")</f>
        <v/>
      </c>
      <c r="AE294">
        <f t="shared" si="60"/>
        <v>0</v>
      </c>
      <c r="AH294" t="str">
        <f>IFERROR(VLOOKUP(AG294,tbFactorMes,2,FALSE),"")</f>
        <v/>
      </c>
      <c r="AI294">
        <f t="shared" si="61"/>
        <v>0</v>
      </c>
      <c r="AL294" t="str">
        <f>IFERROR(VLOOKUP(AK294,tbFactorMes,2,FALSE),"")</f>
        <v/>
      </c>
      <c r="AM294">
        <f t="shared" si="62"/>
        <v>0</v>
      </c>
      <c r="AP294" t="str">
        <f>IFERROR(VLOOKUP(AO294,tbFactorMes,2,FALSE),"")</f>
        <v/>
      </c>
      <c r="AQ294">
        <f t="shared" si="63"/>
        <v>0</v>
      </c>
      <c r="AT294" t="str">
        <f>IFERROR(VLOOKUP(AS294,tbFactorMes,2,FALSE),"")</f>
        <v/>
      </c>
      <c r="AU294">
        <f t="shared" si="64"/>
        <v>0</v>
      </c>
      <c r="AX294" t="str">
        <f>IFERROR(VLOOKUP(AW294,tbFactorMes,2,FALSE),"")</f>
        <v/>
      </c>
      <c r="AY294">
        <f t="shared" si="65"/>
        <v>0</v>
      </c>
      <c r="BB294" t="str">
        <f>IFERROR(VLOOKUP(BA294,tbFactorMes,2,FALSE),"")</f>
        <v/>
      </c>
      <c r="BC294">
        <f t="shared" si="66"/>
        <v>0</v>
      </c>
      <c r="BF294" t="str">
        <f>IFERROR(VLOOKUP(BE294,tbFactorMes,2,FALSE),"")</f>
        <v/>
      </c>
      <c r="BG294">
        <f t="shared" si="67"/>
        <v>0</v>
      </c>
      <c r="BH294">
        <f t="shared" si="68"/>
        <v>0</v>
      </c>
      <c r="BI294">
        <f t="shared" si="69"/>
        <v>0</v>
      </c>
    </row>
    <row r="295" spans="11:61" x14ac:dyDescent="0.35">
      <c r="K295" t="str">
        <f>IFERROR(VLOOKUP(F295,tbTurnos,3,FALSE),"")</f>
        <v/>
      </c>
      <c r="N295" t="str">
        <f>IFERROR(VLOOKUP(M295,tbFactorMes,2,FALSE),"")</f>
        <v/>
      </c>
      <c r="O295">
        <f t="shared" si="56"/>
        <v>0</v>
      </c>
      <c r="R295" t="str">
        <f>IFERROR(VLOOKUP(Q295,tbFactorMes,2,FALSE),"")</f>
        <v/>
      </c>
      <c r="S295">
        <f t="shared" si="57"/>
        <v>0</v>
      </c>
      <c r="V295" t="str">
        <f>IFERROR(VLOOKUP(U295,tbFactorMes,2,FALSE),"")</f>
        <v/>
      </c>
      <c r="W295">
        <f t="shared" si="58"/>
        <v>0</v>
      </c>
      <c r="Z295" t="str">
        <f>IFERROR(VLOOKUP(Y295,tbFactorMes,2,FALSE),"")</f>
        <v/>
      </c>
      <c r="AA295">
        <f t="shared" si="59"/>
        <v>0</v>
      </c>
      <c r="AD295" t="str">
        <f>IFERROR(VLOOKUP(AC295,tbFactorMes,2,FALSE),"")</f>
        <v/>
      </c>
      <c r="AE295">
        <f t="shared" si="60"/>
        <v>0</v>
      </c>
      <c r="AH295" t="str">
        <f>IFERROR(VLOOKUP(AG295,tbFactorMes,2,FALSE),"")</f>
        <v/>
      </c>
      <c r="AI295">
        <f t="shared" si="61"/>
        <v>0</v>
      </c>
      <c r="AL295" t="str">
        <f>IFERROR(VLOOKUP(AK295,tbFactorMes,2,FALSE),"")</f>
        <v/>
      </c>
      <c r="AM295">
        <f t="shared" si="62"/>
        <v>0</v>
      </c>
      <c r="AP295" t="str">
        <f>IFERROR(VLOOKUP(AO295,tbFactorMes,2,FALSE),"")</f>
        <v/>
      </c>
      <c r="AQ295">
        <f t="shared" si="63"/>
        <v>0</v>
      </c>
      <c r="AT295" t="str">
        <f>IFERROR(VLOOKUP(AS295,tbFactorMes,2,FALSE),"")</f>
        <v/>
      </c>
      <c r="AU295">
        <f t="shared" si="64"/>
        <v>0</v>
      </c>
      <c r="AX295" t="str">
        <f>IFERROR(VLOOKUP(AW295,tbFactorMes,2,FALSE),"")</f>
        <v/>
      </c>
      <c r="AY295">
        <f t="shared" si="65"/>
        <v>0</v>
      </c>
      <c r="BB295" t="str">
        <f>IFERROR(VLOOKUP(BA295,tbFactorMes,2,FALSE),"")</f>
        <v/>
      </c>
      <c r="BC295">
        <f t="shared" si="66"/>
        <v>0</v>
      </c>
      <c r="BF295" t="str">
        <f>IFERROR(VLOOKUP(BE295,tbFactorMes,2,FALSE),"")</f>
        <v/>
      </c>
      <c r="BG295">
        <f t="shared" si="67"/>
        <v>0</v>
      </c>
      <c r="BH295">
        <f t="shared" si="68"/>
        <v>0</v>
      </c>
      <c r="BI295">
        <f t="shared" si="69"/>
        <v>0</v>
      </c>
    </row>
    <row r="296" spans="11:61" x14ac:dyDescent="0.35">
      <c r="K296" t="str">
        <f>IFERROR(VLOOKUP(F296,tbTurnos,3,FALSE),"")</f>
        <v/>
      </c>
      <c r="N296" t="str">
        <f>IFERROR(VLOOKUP(M296,tbFactorMes,2,FALSE),"")</f>
        <v/>
      </c>
      <c r="O296">
        <f t="shared" si="56"/>
        <v>0</v>
      </c>
      <c r="R296" t="str">
        <f>IFERROR(VLOOKUP(Q296,tbFactorMes,2,FALSE),"")</f>
        <v/>
      </c>
      <c r="S296">
        <f t="shared" si="57"/>
        <v>0</v>
      </c>
      <c r="V296" t="str">
        <f>IFERROR(VLOOKUP(U296,tbFactorMes,2,FALSE),"")</f>
        <v/>
      </c>
      <c r="W296">
        <f t="shared" si="58"/>
        <v>0</v>
      </c>
      <c r="Z296" t="str">
        <f>IFERROR(VLOOKUP(Y296,tbFactorMes,2,FALSE),"")</f>
        <v/>
      </c>
      <c r="AA296">
        <f t="shared" si="59"/>
        <v>0</v>
      </c>
      <c r="AD296" t="str">
        <f>IFERROR(VLOOKUP(AC296,tbFactorMes,2,FALSE),"")</f>
        <v/>
      </c>
      <c r="AE296">
        <f t="shared" si="60"/>
        <v>0</v>
      </c>
      <c r="AH296" t="str">
        <f>IFERROR(VLOOKUP(AG296,tbFactorMes,2,FALSE),"")</f>
        <v/>
      </c>
      <c r="AI296">
        <f t="shared" si="61"/>
        <v>0</v>
      </c>
      <c r="AL296" t="str">
        <f>IFERROR(VLOOKUP(AK296,tbFactorMes,2,FALSE),"")</f>
        <v/>
      </c>
      <c r="AM296">
        <f t="shared" si="62"/>
        <v>0</v>
      </c>
      <c r="AP296" t="str">
        <f>IFERROR(VLOOKUP(AO296,tbFactorMes,2,FALSE),"")</f>
        <v/>
      </c>
      <c r="AQ296">
        <f t="shared" si="63"/>
        <v>0</v>
      </c>
      <c r="AT296" t="str">
        <f>IFERROR(VLOOKUP(AS296,tbFactorMes,2,FALSE),"")</f>
        <v/>
      </c>
      <c r="AU296">
        <f t="shared" si="64"/>
        <v>0</v>
      </c>
      <c r="AX296" t="str">
        <f>IFERROR(VLOOKUP(AW296,tbFactorMes,2,FALSE),"")</f>
        <v/>
      </c>
      <c r="AY296">
        <f t="shared" si="65"/>
        <v>0</v>
      </c>
      <c r="BB296" t="str">
        <f>IFERROR(VLOOKUP(BA296,tbFactorMes,2,FALSE),"")</f>
        <v/>
      </c>
      <c r="BC296">
        <f t="shared" si="66"/>
        <v>0</v>
      </c>
      <c r="BF296" t="str">
        <f>IFERROR(VLOOKUP(BE296,tbFactorMes,2,FALSE),"")</f>
        <v/>
      </c>
      <c r="BG296">
        <f t="shared" si="67"/>
        <v>0</v>
      </c>
      <c r="BH296">
        <f t="shared" si="68"/>
        <v>0</v>
      </c>
      <c r="BI296">
        <f t="shared" si="69"/>
        <v>0</v>
      </c>
    </row>
    <row r="297" spans="11:61" x14ac:dyDescent="0.35">
      <c r="K297" t="str">
        <f>IFERROR(VLOOKUP(F297,tbTurnos,3,FALSE),"")</f>
        <v/>
      </c>
      <c r="N297" t="str">
        <f>IFERROR(VLOOKUP(M297,tbFactorMes,2,FALSE),"")</f>
        <v/>
      </c>
      <c r="O297">
        <f t="shared" si="56"/>
        <v>0</v>
      </c>
      <c r="R297" t="str">
        <f>IFERROR(VLOOKUP(Q297,tbFactorMes,2,FALSE),"")</f>
        <v/>
      </c>
      <c r="S297">
        <f t="shared" si="57"/>
        <v>0</v>
      </c>
      <c r="V297" t="str">
        <f>IFERROR(VLOOKUP(U297,tbFactorMes,2,FALSE),"")</f>
        <v/>
      </c>
      <c r="W297">
        <f t="shared" si="58"/>
        <v>0</v>
      </c>
      <c r="Z297" t="str">
        <f>IFERROR(VLOOKUP(Y297,tbFactorMes,2,FALSE),"")</f>
        <v/>
      </c>
      <c r="AA297">
        <f t="shared" si="59"/>
        <v>0</v>
      </c>
      <c r="AD297" t="str">
        <f>IFERROR(VLOOKUP(AC297,tbFactorMes,2,FALSE),"")</f>
        <v/>
      </c>
      <c r="AE297">
        <f t="shared" si="60"/>
        <v>0</v>
      </c>
      <c r="AH297" t="str">
        <f>IFERROR(VLOOKUP(AG297,tbFactorMes,2,FALSE),"")</f>
        <v/>
      </c>
      <c r="AI297">
        <f t="shared" si="61"/>
        <v>0</v>
      </c>
      <c r="AL297" t="str">
        <f>IFERROR(VLOOKUP(AK297,tbFactorMes,2,FALSE),"")</f>
        <v/>
      </c>
      <c r="AM297">
        <f t="shared" si="62"/>
        <v>0</v>
      </c>
      <c r="AP297" t="str">
        <f>IFERROR(VLOOKUP(AO297,tbFactorMes,2,FALSE),"")</f>
        <v/>
      </c>
      <c r="AQ297">
        <f t="shared" si="63"/>
        <v>0</v>
      </c>
      <c r="AT297" t="str">
        <f>IFERROR(VLOOKUP(AS297,tbFactorMes,2,FALSE),"")</f>
        <v/>
      </c>
      <c r="AU297">
        <f t="shared" si="64"/>
        <v>0</v>
      </c>
      <c r="AX297" t="str">
        <f>IFERROR(VLOOKUP(AW297,tbFactorMes,2,FALSE),"")</f>
        <v/>
      </c>
      <c r="AY297">
        <f t="shared" si="65"/>
        <v>0</v>
      </c>
      <c r="BB297" t="str">
        <f>IFERROR(VLOOKUP(BA297,tbFactorMes,2,FALSE),"")</f>
        <v/>
      </c>
      <c r="BC297">
        <f t="shared" si="66"/>
        <v>0</v>
      </c>
      <c r="BF297" t="str">
        <f>IFERROR(VLOOKUP(BE297,tbFactorMes,2,FALSE),"")</f>
        <v/>
      </c>
      <c r="BG297">
        <f t="shared" si="67"/>
        <v>0</v>
      </c>
      <c r="BH297">
        <f t="shared" si="68"/>
        <v>0</v>
      </c>
      <c r="BI297">
        <f t="shared" si="69"/>
        <v>0</v>
      </c>
    </row>
    <row r="298" spans="11:61" x14ac:dyDescent="0.35">
      <c r="K298" t="str">
        <f>IFERROR(VLOOKUP(F298,tbTurnos,3,FALSE),"")</f>
        <v/>
      </c>
      <c r="N298" t="str">
        <f>IFERROR(VLOOKUP(M298,tbFactorMes,2,FALSE),"")</f>
        <v/>
      </c>
      <c r="O298">
        <f t="shared" si="56"/>
        <v>0</v>
      </c>
      <c r="R298" t="str">
        <f>IFERROR(VLOOKUP(Q298,tbFactorMes,2,FALSE),"")</f>
        <v/>
      </c>
      <c r="S298">
        <f t="shared" si="57"/>
        <v>0</v>
      </c>
      <c r="V298" t="str">
        <f>IFERROR(VLOOKUP(U298,tbFactorMes,2,FALSE),"")</f>
        <v/>
      </c>
      <c r="W298">
        <f t="shared" si="58"/>
        <v>0</v>
      </c>
      <c r="Z298" t="str">
        <f>IFERROR(VLOOKUP(Y298,tbFactorMes,2,FALSE),"")</f>
        <v/>
      </c>
      <c r="AA298">
        <f t="shared" si="59"/>
        <v>0</v>
      </c>
      <c r="AD298" t="str">
        <f>IFERROR(VLOOKUP(AC298,tbFactorMes,2,FALSE),"")</f>
        <v/>
      </c>
      <c r="AE298">
        <f t="shared" si="60"/>
        <v>0</v>
      </c>
      <c r="AH298" t="str">
        <f>IFERROR(VLOOKUP(AG298,tbFactorMes,2,FALSE),"")</f>
        <v/>
      </c>
      <c r="AI298">
        <f t="shared" si="61"/>
        <v>0</v>
      </c>
      <c r="AL298" t="str">
        <f>IFERROR(VLOOKUP(AK298,tbFactorMes,2,FALSE),"")</f>
        <v/>
      </c>
      <c r="AM298">
        <f t="shared" si="62"/>
        <v>0</v>
      </c>
      <c r="AP298" t="str">
        <f>IFERROR(VLOOKUP(AO298,tbFactorMes,2,FALSE),"")</f>
        <v/>
      </c>
      <c r="AQ298">
        <f t="shared" si="63"/>
        <v>0</v>
      </c>
      <c r="AT298" t="str">
        <f>IFERROR(VLOOKUP(AS298,tbFactorMes,2,FALSE),"")</f>
        <v/>
      </c>
      <c r="AU298">
        <f t="shared" si="64"/>
        <v>0</v>
      </c>
      <c r="AX298" t="str">
        <f>IFERROR(VLOOKUP(AW298,tbFactorMes,2,FALSE),"")</f>
        <v/>
      </c>
      <c r="AY298">
        <f t="shared" si="65"/>
        <v>0</v>
      </c>
      <c r="BB298" t="str">
        <f>IFERROR(VLOOKUP(BA298,tbFactorMes,2,FALSE),"")</f>
        <v/>
      </c>
      <c r="BC298">
        <f t="shared" si="66"/>
        <v>0</v>
      </c>
      <c r="BF298" t="str">
        <f>IFERROR(VLOOKUP(BE298,tbFactorMes,2,FALSE),"")</f>
        <v/>
      </c>
      <c r="BG298">
        <f t="shared" si="67"/>
        <v>0</v>
      </c>
      <c r="BH298">
        <f t="shared" si="68"/>
        <v>0</v>
      </c>
      <c r="BI298">
        <f t="shared" si="69"/>
        <v>0</v>
      </c>
    </row>
    <row r="299" spans="11:61" x14ac:dyDescent="0.35">
      <c r="K299" t="str">
        <f>IFERROR(VLOOKUP(F299,tbTurnos,3,FALSE),"")</f>
        <v/>
      </c>
      <c r="N299" t="str">
        <f>IFERROR(VLOOKUP(M299,tbFactorMes,2,FALSE),"")</f>
        <v/>
      </c>
      <c r="O299">
        <f t="shared" si="56"/>
        <v>0</v>
      </c>
      <c r="R299" t="str">
        <f>IFERROR(VLOOKUP(Q299,tbFactorMes,2,FALSE),"")</f>
        <v/>
      </c>
      <c r="S299">
        <f t="shared" si="57"/>
        <v>0</v>
      </c>
      <c r="V299" t="str">
        <f>IFERROR(VLOOKUP(U299,tbFactorMes,2,FALSE),"")</f>
        <v/>
      </c>
      <c r="W299">
        <f t="shared" si="58"/>
        <v>0</v>
      </c>
      <c r="Z299" t="str">
        <f>IFERROR(VLOOKUP(Y299,tbFactorMes,2,FALSE),"")</f>
        <v/>
      </c>
      <c r="AA299">
        <f t="shared" si="59"/>
        <v>0</v>
      </c>
      <c r="AD299" t="str">
        <f>IFERROR(VLOOKUP(AC299,tbFactorMes,2,FALSE),"")</f>
        <v/>
      </c>
      <c r="AE299">
        <f t="shared" si="60"/>
        <v>0</v>
      </c>
      <c r="AH299" t="str">
        <f>IFERROR(VLOOKUP(AG299,tbFactorMes,2,FALSE),"")</f>
        <v/>
      </c>
      <c r="AI299">
        <f t="shared" si="61"/>
        <v>0</v>
      </c>
      <c r="AL299" t="str">
        <f>IFERROR(VLOOKUP(AK299,tbFactorMes,2,FALSE),"")</f>
        <v/>
      </c>
      <c r="AM299">
        <f t="shared" si="62"/>
        <v>0</v>
      </c>
      <c r="AP299" t="str">
        <f>IFERROR(VLOOKUP(AO299,tbFactorMes,2,FALSE),"")</f>
        <v/>
      </c>
      <c r="AQ299">
        <f t="shared" si="63"/>
        <v>0</v>
      </c>
      <c r="AT299" t="str">
        <f>IFERROR(VLOOKUP(AS299,tbFactorMes,2,FALSE),"")</f>
        <v/>
      </c>
      <c r="AU299">
        <f t="shared" si="64"/>
        <v>0</v>
      </c>
      <c r="AX299" t="str">
        <f>IFERROR(VLOOKUP(AW299,tbFactorMes,2,FALSE),"")</f>
        <v/>
      </c>
      <c r="AY299">
        <f t="shared" si="65"/>
        <v>0</v>
      </c>
      <c r="BB299" t="str">
        <f>IFERROR(VLOOKUP(BA299,tbFactorMes,2,FALSE),"")</f>
        <v/>
      </c>
      <c r="BC299">
        <f t="shared" si="66"/>
        <v>0</v>
      </c>
      <c r="BF299" t="str">
        <f>IFERROR(VLOOKUP(BE299,tbFactorMes,2,FALSE),"")</f>
        <v/>
      </c>
      <c r="BG299">
        <f t="shared" si="67"/>
        <v>0</v>
      </c>
      <c r="BH299">
        <f t="shared" si="68"/>
        <v>0</v>
      </c>
      <c r="BI299">
        <f t="shared" si="69"/>
        <v>0</v>
      </c>
    </row>
    <row r="300" spans="11:61" x14ac:dyDescent="0.35">
      <c r="K300" t="str">
        <f>IFERROR(VLOOKUP(F300,tbTurnos,3,FALSE),"")</f>
        <v/>
      </c>
      <c r="N300" t="str">
        <f>IFERROR(VLOOKUP(M300,tbFactorMes,2,FALSE),"")</f>
        <v/>
      </c>
      <c r="O300">
        <f t="shared" si="56"/>
        <v>0</v>
      </c>
      <c r="R300" t="str">
        <f>IFERROR(VLOOKUP(Q300,tbFactorMes,2,FALSE),"")</f>
        <v/>
      </c>
      <c r="S300">
        <f t="shared" si="57"/>
        <v>0</v>
      </c>
      <c r="V300" t="str">
        <f>IFERROR(VLOOKUP(U300,tbFactorMes,2,FALSE),"")</f>
        <v/>
      </c>
      <c r="W300">
        <f t="shared" si="58"/>
        <v>0</v>
      </c>
      <c r="Z300" t="str">
        <f>IFERROR(VLOOKUP(Y300,tbFactorMes,2,FALSE),"")</f>
        <v/>
      </c>
      <c r="AA300">
        <f t="shared" si="59"/>
        <v>0</v>
      </c>
      <c r="AD300" t="str">
        <f>IFERROR(VLOOKUP(AC300,tbFactorMes,2,FALSE),"")</f>
        <v/>
      </c>
      <c r="AE300">
        <f t="shared" si="60"/>
        <v>0</v>
      </c>
      <c r="AH300" t="str">
        <f>IFERROR(VLOOKUP(AG300,tbFactorMes,2,FALSE),"")</f>
        <v/>
      </c>
      <c r="AI300">
        <f t="shared" si="61"/>
        <v>0</v>
      </c>
      <c r="AL300" t="str">
        <f>IFERROR(VLOOKUP(AK300,tbFactorMes,2,FALSE),"")</f>
        <v/>
      </c>
      <c r="AM300">
        <f t="shared" si="62"/>
        <v>0</v>
      </c>
      <c r="AP300" t="str">
        <f>IFERROR(VLOOKUP(AO300,tbFactorMes,2,FALSE),"")</f>
        <v/>
      </c>
      <c r="AQ300">
        <f t="shared" si="63"/>
        <v>0</v>
      </c>
      <c r="AT300" t="str">
        <f>IFERROR(VLOOKUP(AS300,tbFactorMes,2,FALSE),"")</f>
        <v/>
      </c>
      <c r="AU300">
        <f t="shared" si="64"/>
        <v>0</v>
      </c>
      <c r="AX300" t="str">
        <f>IFERROR(VLOOKUP(AW300,tbFactorMes,2,FALSE),"")</f>
        <v/>
      </c>
      <c r="AY300">
        <f t="shared" si="65"/>
        <v>0</v>
      </c>
      <c r="BB300" t="str">
        <f>IFERROR(VLOOKUP(BA300,tbFactorMes,2,FALSE),"")</f>
        <v/>
      </c>
      <c r="BC300">
        <f t="shared" si="66"/>
        <v>0</v>
      </c>
      <c r="BF300" t="str">
        <f>IFERROR(VLOOKUP(BE300,tbFactorMes,2,FALSE),"")</f>
        <v/>
      </c>
      <c r="BG300">
        <f t="shared" si="67"/>
        <v>0</v>
      </c>
      <c r="BH300">
        <f t="shared" si="68"/>
        <v>0</v>
      </c>
      <c r="BI300">
        <f t="shared" si="69"/>
        <v>0</v>
      </c>
    </row>
    <row r="301" spans="11:61" x14ac:dyDescent="0.35">
      <c r="K301" t="str">
        <f>IFERROR(VLOOKUP(F301,tbTurnos,3,FALSE),"")</f>
        <v/>
      </c>
      <c r="N301" t="str">
        <f>IFERROR(VLOOKUP(M301,tbFactorMes,2,FALSE),"")</f>
        <v/>
      </c>
      <c r="O301">
        <f t="shared" si="56"/>
        <v>0</v>
      </c>
      <c r="R301" t="str">
        <f>IFERROR(VLOOKUP(Q301,tbFactorMes,2,FALSE),"")</f>
        <v/>
      </c>
      <c r="S301">
        <f t="shared" si="57"/>
        <v>0</v>
      </c>
      <c r="V301" t="str">
        <f>IFERROR(VLOOKUP(U301,tbFactorMes,2,FALSE),"")</f>
        <v/>
      </c>
      <c r="W301">
        <f t="shared" si="58"/>
        <v>0</v>
      </c>
      <c r="Z301" t="str">
        <f>IFERROR(VLOOKUP(Y301,tbFactorMes,2,FALSE),"")</f>
        <v/>
      </c>
      <c r="AA301">
        <f t="shared" si="59"/>
        <v>0</v>
      </c>
      <c r="AD301" t="str">
        <f>IFERROR(VLOOKUP(AC301,tbFactorMes,2,FALSE),"")</f>
        <v/>
      </c>
      <c r="AE301">
        <f t="shared" si="60"/>
        <v>0</v>
      </c>
      <c r="AH301" t="str">
        <f>IFERROR(VLOOKUP(AG301,tbFactorMes,2,FALSE),"")</f>
        <v/>
      </c>
      <c r="AI301">
        <f t="shared" si="61"/>
        <v>0</v>
      </c>
      <c r="AL301" t="str">
        <f>IFERROR(VLOOKUP(AK301,tbFactorMes,2,FALSE),"")</f>
        <v/>
      </c>
      <c r="AM301">
        <f t="shared" si="62"/>
        <v>0</v>
      </c>
      <c r="AP301" t="str">
        <f>IFERROR(VLOOKUP(AO301,tbFactorMes,2,FALSE),"")</f>
        <v/>
      </c>
      <c r="AQ301">
        <f t="shared" si="63"/>
        <v>0</v>
      </c>
      <c r="AT301" t="str">
        <f>IFERROR(VLOOKUP(AS301,tbFactorMes,2,FALSE),"")</f>
        <v/>
      </c>
      <c r="AU301">
        <f t="shared" si="64"/>
        <v>0</v>
      </c>
      <c r="AX301" t="str">
        <f>IFERROR(VLOOKUP(AW301,tbFactorMes,2,FALSE),"")</f>
        <v/>
      </c>
      <c r="AY301">
        <f t="shared" si="65"/>
        <v>0</v>
      </c>
      <c r="BB301" t="str">
        <f>IFERROR(VLOOKUP(BA301,tbFactorMes,2,FALSE),"")</f>
        <v/>
      </c>
      <c r="BC301">
        <f t="shared" si="66"/>
        <v>0</v>
      </c>
      <c r="BF301" t="str">
        <f>IFERROR(VLOOKUP(BE301,tbFactorMes,2,FALSE),"")</f>
        <v/>
      </c>
      <c r="BG301">
        <f t="shared" si="67"/>
        <v>0</v>
      </c>
      <c r="BH301">
        <f t="shared" si="68"/>
        <v>0</v>
      </c>
      <c r="BI301">
        <f t="shared" si="69"/>
        <v>0</v>
      </c>
    </row>
    <row r="302" spans="11:61" x14ac:dyDescent="0.35">
      <c r="K302" t="str">
        <f>IFERROR(VLOOKUP(F302,tbTurnos,3,FALSE),"")</f>
        <v/>
      </c>
      <c r="N302" t="str">
        <f>IFERROR(VLOOKUP(M302,tbFactorMes,2,FALSE),"")</f>
        <v/>
      </c>
      <c r="O302">
        <f t="shared" si="56"/>
        <v>0</v>
      </c>
      <c r="R302" t="str">
        <f>IFERROR(VLOOKUP(Q302,tbFactorMes,2,FALSE),"")</f>
        <v/>
      </c>
      <c r="S302">
        <f t="shared" si="57"/>
        <v>0</v>
      </c>
      <c r="V302" t="str">
        <f>IFERROR(VLOOKUP(U302,tbFactorMes,2,FALSE),"")</f>
        <v/>
      </c>
      <c r="W302">
        <f t="shared" si="58"/>
        <v>0</v>
      </c>
      <c r="Z302" t="str">
        <f>IFERROR(VLOOKUP(Y302,tbFactorMes,2,FALSE),"")</f>
        <v/>
      </c>
      <c r="AA302">
        <f t="shared" si="59"/>
        <v>0</v>
      </c>
      <c r="AD302" t="str">
        <f>IFERROR(VLOOKUP(AC302,tbFactorMes,2,FALSE),"")</f>
        <v/>
      </c>
      <c r="AE302">
        <f t="shared" si="60"/>
        <v>0</v>
      </c>
      <c r="AH302" t="str">
        <f>IFERROR(VLOOKUP(AG302,tbFactorMes,2,FALSE),"")</f>
        <v/>
      </c>
      <c r="AI302">
        <f t="shared" si="61"/>
        <v>0</v>
      </c>
      <c r="AL302" t="str">
        <f>IFERROR(VLOOKUP(AK302,tbFactorMes,2,FALSE),"")</f>
        <v/>
      </c>
      <c r="AM302">
        <f t="shared" si="62"/>
        <v>0</v>
      </c>
      <c r="AP302" t="str">
        <f>IFERROR(VLOOKUP(AO302,tbFactorMes,2,FALSE),"")</f>
        <v/>
      </c>
      <c r="AQ302">
        <f t="shared" si="63"/>
        <v>0</v>
      </c>
      <c r="AT302" t="str">
        <f>IFERROR(VLOOKUP(AS302,tbFactorMes,2,FALSE),"")</f>
        <v/>
      </c>
      <c r="AU302">
        <f t="shared" si="64"/>
        <v>0</v>
      </c>
      <c r="AX302" t="str">
        <f>IFERROR(VLOOKUP(AW302,tbFactorMes,2,FALSE),"")</f>
        <v/>
      </c>
      <c r="AY302">
        <f t="shared" si="65"/>
        <v>0</v>
      </c>
      <c r="BB302" t="str">
        <f>IFERROR(VLOOKUP(BA302,tbFactorMes,2,FALSE),"")</f>
        <v/>
      </c>
      <c r="BC302">
        <f t="shared" si="66"/>
        <v>0</v>
      </c>
      <c r="BF302" t="str">
        <f>IFERROR(VLOOKUP(BE302,tbFactorMes,2,FALSE),"")</f>
        <v/>
      </c>
      <c r="BG302">
        <f t="shared" si="67"/>
        <v>0</v>
      </c>
      <c r="BH302">
        <f t="shared" si="68"/>
        <v>0</v>
      </c>
      <c r="BI302">
        <f t="shared" si="69"/>
        <v>0</v>
      </c>
    </row>
    <row r="303" spans="11:61" x14ac:dyDescent="0.35">
      <c r="K303" t="str">
        <f>IFERROR(VLOOKUP(F303,tbTurnos,3,FALSE),"")</f>
        <v/>
      </c>
      <c r="N303" t="str">
        <f>IFERROR(VLOOKUP(M303,tbFactorMes,2,FALSE),"")</f>
        <v/>
      </c>
      <c r="O303">
        <f t="shared" si="56"/>
        <v>0</v>
      </c>
      <c r="R303" t="str">
        <f>IFERROR(VLOOKUP(Q303,tbFactorMes,2,FALSE),"")</f>
        <v/>
      </c>
      <c r="S303">
        <f t="shared" si="57"/>
        <v>0</v>
      </c>
      <c r="V303" t="str">
        <f>IFERROR(VLOOKUP(U303,tbFactorMes,2,FALSE),"")</f>
        <v/>
      </c>
      <c r="W303">
        <f t="shared" si="58"/>
        <v>0</v>
      </c>
      <c r="Z303" t="str">
        <f>IFERROR(VLOOKUP(Y303,tbFactorMes,2,FALSE),"")</f>
        <v/>
      </c>
      <c r="AA303">
        <f t="shared" si="59"/>
        <v>0</v>
      </c>
      <c r="AD303" t="str">
        <f>IFERROR(VLOOKUP(AC303,tbFactorMes,2,FALSE),"")</f>
        <v/>
      </c>
      <c r="AE303">
        <f t="shared" si="60"/>
        <v>0</v>
      </c>
      <c r="AH303" t="str">
        <f>IFERROR(VLOOKUP(AG303,tbFactorMes,2,FALSE),"")</f>
        <v/>
      </c>
      <c r="AI303">
        <f t="shared" si="61"/>
        <v>0</v>
      </c>
      <c r="AL303" t="str">
        <f>IFERROR(VLOOKUP(AK303,tbFactorMes,2,FALSE),"")</f>
        <v/>
      </c>
      <c r="AM303">
        <f t="shared" si="62"/>
        <v>0</v>
      </c>
      <c r="AP303" t="str">
        <f>IFERROR(VLOOKUP(AO303,tbFactorMes,2,FALSE),"")</f>
        <v/>
      </c>
      <c r="AQ303">
        <f t="shared" si="63"/>
        <v>0</v>
      </c>
      <c r="AT303" t="str">
        <f>IFERROR(VLOOKUP(AS303,tbFactorMes,2,FALSE),"")</f>
        <v/>
      </c>
      <c r="AU303">
        <f t="shared" si="64"/>
        <v>0</v>
      </c>
      <c r="AX303" t="str">
        <f>IFERROR(VLOOKUP(AW303,tbFactorMes,2,FALSE),"")</f>
        <v/>
      </c>
      <c r="AY303">
        <f t="shared" si="65"/>
        <v>0</v>
      </c>
      <c r="BB303" t="str">
        <f>IFERROR(VLOOKUP(BA303,tbFactorMes,2,FALSE),"")</f>
        <v/>
      </c>
      <c r="BC303">
        <f t="shared" si="66"/>
        <v>0</v>
      </c>
      <c r="BF303" t="str">
        <f>IFERROR(VLOOKUP(BE303,tbFactorMes,2,FALSE),"")</f>
        <v/>
      </c>
      <c r="BG303">
        <f t="shared" si="67"/>
        <v>0</v>
      </c>
      <c r="BH303">
        <f t="shared" si="68"/>
        <v>0</v>
      </c>
      <c r="BI303">
        <f t="shared" si="69"/>
        <v>0</v>
      </c>
    </row>
    <row r="304" spans="11:61" x14ac:dyDescent="0.35">
      <c r="K304" t="str">
        <f>IFERROR(VLOOKUP(F304,tbTurnos,3,FALSE),"")</f>
        <v/>
      </c>
      <c r="N304" t="str">
        <f>IFERROR(VLOOKUP(M304,tbFactorMes,2,FALSE),"")</f>
        <v/>
      </c>
      <c r="O304">
        <f t="shared" si="56"/>
        <v>0</v>
      </c>
      <c r="R304" t="str">
        <f>IFERROR(VLOOKUP(Q304,tbFactorMes,2,FALSE),"")</f>
        <v/>
      </c>
      <c r="S304">
        <f t="shared" si="57"/>
        <v>0</v>
      </c>
      <c r="V304" t="str">
        <f>IFERROR(VLOOKUP(U304,tbFactorMes,2,FALSE),"")</f>
        <v/>
      </c>
      <c r="W304">
        <f t="shared" si="58"/>
        <v>0</v>
      </c>
      <c r="Z304" t="str">
        <f>IFERROR(VLOOKUP(Y304,tbFactorMes,2,FALSE),"")</f>
        <v/>
      </c>
      <c r="AA304">
        <f t="shared" si="59"/>
        <v>0</v>
      </c>
      <c r="AD304" t="str">
        <f>IFERROR(VLOOKUP(AC304,tbFactorMes,2,FALSE),"")</f>
        <v/>
      </c>
      <c r="AE304">
        <f t="shared" si="60"/>
        <v>0</v>
      </c>
      <c r="AH304" t="str">
        <f>IFERROR(VLOOKUP(AG304,tbFactorMes,2,FALSE),"")</f>
        <v/>
      </c>
      <c r="AI304">
        <f t="shared" si="61"/>
        <v>0</v>
      </c>
      <c r="AL304" t="str">
        <f>IFERROR(VLOOKUP(AK304,tbFactorMes,2,FALSE),"")</f>
        <v/>
      </c>
      <c r="AM304">
        <f t="shared" si="62"/>
        <v>0</v>
      </c>
      <c r="AP304" t="str">
        <f>IFERROR(VLOOKUP(AO304,tbFactorMes,2,FALSE),"")</f>
        <v/>
      </c>
      <c r="AQ304">
        <f t="shared" si="63"/>
        <v>0</v>
      </c>
      <c r="AT304" t="str">
        <f>IFERROR(VLOOKUP(AS304,tbFactorMes,2,FALSE),"")</f>
        <v/>
      </c>
      <c r="AU304">
        <f t="shared" si="64"/>
        <v>0</v>
      </c>
      <c r="AX304" t="str">
        <f>IFERROR(VLOOKUP(AW304,tbFactorMes,2,FALSE),"")</f>
        <v/>
      </c>
      <c r="AY304">
        <f t="shared" si="65"/>
        <v>0</v>
      </c>
      <c r="BB304" t="str">
        <f>IFERROR(VLOOKUP(BA304,tbFactorMes,2,FALSE),"")</f>
        <v/>
      </c>
      <c r="BC304">
        <f t="shared" si="66"/>
        <v>0</v>
      </c>
      <c r="BF304" t="str">
        <f>IFERROR(VLOOKUP(BE304,tbFactorMes,2,FALSE),"")</f>
        <v/>
      </c>
      <c r="BG304">
        <f t="shared" si="67"/>
        <v>0</v>
      </c>
      <c r="BH304">
        <f t="shared" si="68"/>
        <v>0</v>
      </c>
      <c r="BI304">
        <f t="shared" si="69"/>
        <v>0</v>
      </c>
    </row>
    <row r="305" spans="11:61" x14ac:dyDescent="0.35">
      <c r="K305" t="str">
        <f>IFERROR(VLOOKUP(F305,tbTurnos,3,FALSE),"")</f>
        <v/>
      </c>
      <c r="N305" t="str">
        <f>IFERROR(VLOOKUP(M305,tbFactorMes,2,FALSE),"")</f>
        <v/>
      </c>
      <c r="O305">
        <f t="shared" si="56"/>
        <v>0</v>
      </c>
      <c r="R305" t="str">
        <f>IFERROR(VLOOKUP(Q305,tbFactorMes,2,FALSE),"")</f>
        <v/>
      </c>
      <c r="S305">
        <f t="shared" si="57"/>
        <v>0</v>
      </c>
      <c r="V305" t="str">
        <f>IFERROR(VLOOKUP(U305,tbFactorMes,2,FALSE),"")</f>
        <v/>
      </c>
      <c r="W305">
        <f t="shared" si="58"/>
        <v>0</v>
      </c>
      <c r="Z305" t="str">
        <f>IFERROR(VLOOKUP(Y305,tbFactorMes,2,FALSE),"")</f>
        <v/>
      </c>
      <c r="AA305">
        <f t="shared" si="59"/>
        <v>0</v>
      </c>
      <c r="AD305" t="str">
        <f>IFERROR(VLOOKUP(AC305,tbFactorMes,2,FALSE),"")</f>
        <v/>
      </c>
      <c r="AE305">
        <f t="shared" si="60"/>
        <v>0</v>
      </c>
      <c r="AH305" t="str">
        <f>IFERROR(VLOOKUP(AG305,tbFactorMes,2,FALSE),"")</f>
        <v/>
      </c>
      <c r="AI305">
        <f t="shared" si="61"/>
        <v>0</v>
      </c>
      <c r="AL305" t="str">
        <f>IFERROR(VLOOKUP(AK305,tbFactorMes,2,FALSE),"")</f>
        <v/>
      </c>
      <c r="AM305">
        <f t="shared" si="62"/>
        <v>0</v>
      </c>
      <c r="AP305" t="str">
        <f>IFERROR(VLOOKUP(AO305,tbFactorMes,2,FALSE),"")</f>
        <v/>
      </c>
      <c r="AQ305">
        <f t="shared" si="63"/>
        <v>0</v>
      </c>
      <c r="AT305" t="str">
        <f>IFERROR(VLOOKUP(AS305,tbFactorMes,2,FALSE),"")</f>
        <v/>
      </c>
      <c r="AU305">
        <f t="shared" si="64"/>
        <v>0</v>
      </c>
      <c r="AX305" t="str">
        <f>IFERROR(VLOOKUP(AW305,tbFactorMes,2,FALSE),"")</f>
        <v/>
      </c>
      <c r="AY305">
        <f t="shared" si="65"/>
        <v>0</v>
      </c>
      <c r="BB305" t="str">
        <f>IFERROR(VLOOKUP(BA305,tbFactorMes,2,FALSE),"")</f>
        <v/>
      </c>
      <c r="BC305">
        <f t="shared" si="66"/>
        <v>0</v>
      </c>
      <c r="BF305" t="str">
        <f>IFERROR(VLOOKUP(BE305,tbFactorMes,2,FALSE),"")</f>
        <v/>
      </c>
      <c r="BG305">
        <f t="shared" si="67"/>
        <v>0</v>
      </c>
      <c r="BH305">
        <f t="shared" si="68"/>
        <v>0</v>
      </c>
      <c r="BI305">
        <f t="shared" si="69"/>
        <v>0</v>
      </c>
    </row>
    <row r="306" spans="11:61" x14ac:dyDescent="0.35">
      <c r="K306" t="str">
        <f>IFERROR(VLOOKUP(F306,tbTurnos,3,FALSE),"")</f>
        <v/>
      </c>
      <c r="N306" t="str">
        <f>IFERROR(VLOOKUP(M306,tbFactorMes,2,FALSE),"")</f>
        <v/>
      </c>
      <c r="O306">
        <f t="shared" si="56"/>
        <v>0</v>
      </c>
      <c r="R306" t="str">
        <f>IFERROR(VLOOKUP(Q306,tbFactorMes,2,FALSE),"")</f>
        <v/>
      </c>
      <c r="S306">
        <f t="shared" si="57"/>
        <v>0</v>
      </c>
      <c r="V306" t="str">
        <f>IFERROR(VLOOKUP(U306,tbFactorMes,2,FALSE),"")</f>
        <v/>
      </c>
      <c r="W306">
        <f t="shared" si="58"/>
        <v>0</v>
      </c>
      <c r="Z306" t="str">
        <f>IFERROR(VLOOKUP(Y306,tbFactorMes,2,FALSE),"")</f>
        <v/>
      </c>
      <c r="AA306">
        <f t="shared" si="59"/>
        <v>0</v>
      </c>
      <c r="AD306" t="str">
        <f>IFERROR(VLOOKUP(AC306,tbFactorMes,2,FALSE),"")</f>
        <v/>
      </c>
      <c r="AE306">
        <f t="shared" si="60"/>
        <v>0</v>
      </c>
      <c r="AH306" t="str">
        <f>IFERROR(VLOOKUP(AG306,tbFactorMes,2,FALSE),"")</f>
        <v/>
      </c>
      <c r="AI306">
        <f t="shared" si="61"/>
        <v>0</v>
      </c>
      <c r="AL306" t="str">
        <f>IFERROR(VLOOKUP(AK306,tbFactorMes,2,FALSE),"")</f>
        <v/>
      </c>
      <c r="AM306">
        <f t="shared" si="62"/>
        <v>0</v>
      </c>
      <c r="AP306" t="str">
        <f>IFERROR(VLOOKUP(AO306,tbFactorMes,2,FALSE),"")</f>
        <v/>
      </c>
      <c r="AQ306">
        <f t="shared" si="63"/>
        <v>0</v>
      </c>
      <c r="AT306" t="str">
        <f>IFERROR(VLOOKUP(AS306,tbFactorMes,2,FALSE),"")</f>
        <v/>
      </c>
      <c r="AU306">
        <f t="shared" si="64"/>
        <v>0</v>
      </c>
      <c r="AX306" t="str">
        <f>IFERROR(VLOOKUP(AW306,tbFactorMes,2,FALSE),"")</f>
        <v/>
      </c>
      <c r="AY306">
        <f t="shared" si="65"/>
        <v>0</v>
      </c>
      <c r="BB306" t="str">
        <f>IFERROR(VLOOKUP(BA306,tbFactorMes,2,FALSE),"")</f>
        <v/>
      </c>
      <c r="BC306">
        <f t="shared" si="66"/>
        <v>0</v>
      </c>
      <c r="BF306" t="str">
        <f>IFERROR(VLOOKUP(BE306,tbFactorMes,2,FALSE),"")</f>
        <v/>
      </c>
      <c r="BG306">
        <f t="shared" si="67"/>
        <v>0</v>
      </c>
      <c r="BH306">
        <f t="shared" si="68"/>
        <v>0</v>
      </c>
      <c r="BI306">
        <f t="shared" si="69"/>
        <v>0</v>
      </c>
    </row>
    <row r="307" spans="11:61" x14ac:dyDescent="0.35">
      <c r="K307" t="str">
        <f>IFERROR(VLOOKUP(F307,tbTurnos,3,FALSE),"")</f>
        <v/>
      </c>
      <c r="N307" t="str">
        <f>IFERROR(VLOOKUP(M307,tbFactorMes,2,FALSE),"")</f>
        <v/>
      </c>
      <c r="O307">
        <f t="shared" si="56"/>
        <v>0</v>
      </c>
      <c r="R307" t="str">
        <f>IFERROR(VLOOKUP(Q307,tbFactorMes,2,FALSE),"")</f>
        <v/>
      </c>
      <c r="S307">
        <f t="shared" si="57"/>
        <v>0</v>
      </c>
      <c r="V307" t="str">
        <f>IFERROR(VLOOKUP(U307,tbFactorMes,2,FALSE),"")</f>
        <v/>
      </c>
      <c r="W307">
        <f t="shared" si="58"/>
        <v>0</v>
      </c>
      <c r="Z307" t="str">
        <f>IFERROR(VLOOKUP(Y307,tbFactorMes,2,FALSE),"")</f>
        <v/>
      </c>
      <c r="AA307">
        <f t="shared" si="59"/>
        <v>0</v>
      </c>
      <c r="AD307" t="str">
        <f>IFERROR(VLOOKUP(AC307,tbFactorMes,2,FALSE),"")</f>
        <v/>
      </c>
      <c r="AE307">
        <f t="shared" si="60"/>
        <v>0</v>
      </c>
      <c r="AH307" t="str">
        <f>IFERROR(VLOOKUP(AG307,tbFactorMes,2,FALSE),"")</f>
        <v/>
      </c>
      <c r="AI307">
        <f t="shared" si="61"/>
        <v>0</v>
      </c>
      <c r="AL307" t="str">
        <f>IFERROR(VLOOKUP(AK307,tbFactorMes,2,FALSE),"")</f>
        <v/>
      </c>
      <c r="AM307">
        <f t="shared" si="62"/>
        <v>0</v>
      </c>
      <c r="AP307" t="str">
        <f>IFERROR(VLOOKUP(AO307,tbFactorMes,2,FALSE),"")</f>
        <v/>
      </c>
      <c r="AQ307">
        <f t="shared" si="63"/>
        <v>0</v>
      </c>
      <c r="AT307" t="str">
        <f>IFERROR(VLOOKUP(AS307,tbFactorMes,2,FALSE),"")</f>
        <v/>
      </c>
      <c r="AU307">
        <f t="shared" si="64"/>
        <v>0</v>
      </c>
      <c r="AX307" t="str">
        <f>IFERROR(VLOOKUP(AW307,tbFactorMes,2,FALSE),"")</f>
        <v/>
      </c>
      <c r="AY307">
        <f t="shared" si="65"/>
        <v>0</v>
      </c>
      <c r="BB307" t="str">
        <f>IFERROR(VLOOKUP(BA307,tbFactorMes,2,FALSE),"")</f>
        <v/>
      </c>
      <c r="BC307">
        <f t="shared" si="66"/>
        <v>0</v>
      </c>
      <c r="BF307" t="str">
        <f>IFERROR(VLOOKUP(BE307,tbFactorMes,2,FALSE),"")</f>
        <v/>
      </c>
      <c r="BG307">
        <f t="shared" si="67"/>
        <v>0</v>
      </c>
      <c r="BH307">
        <f t="shared" si="68"/>
        <v>0</v>
      </c>
      <c r="BI307">
        <f t="shared" si="69"/>
        <v>0</v>
      </c>
    </row>
    <row r="308" spans="11:61" x14ac:dyDescent="0.35">
      <c r="K308" t="str">
        <f>IFERROR(VLOOKUP(F308,tbTurnos,3,FALSE),"")</f>
        <v/>
      </c>
      <c r="N308" t="str">
        <f>IFERROR(VLOOKUP(M308,tbFactorMes,2,FALSE),"")</f>
        <v/>
      </c>
      <c r="O308">
        <f t="shared" si="56"/>
        <v>0</v>
      </c>
      <c r="R308" t="str">
        <f>IFERROR(VLOOKUP(Q308,tbFactorMes,2,FALSE),"")</f>
        <v/>
      </c>
      <c r="S308">
        <f t="shared" si="57"/>
        <v>0</v>
      </c>
      <c r="V308" t="str">
        <f>IFERROR(VLOOKUP(U308,tbFactorMes,2,FALSE),"")</f>
        <v/>
      </c>
      <c r="W308">
        <f t="shared" si="58"/>
        <v>0</v>
      </c>
      <c r="Z308" t="str">
        <f>IFERROR(VLOOKUP(Y308,tbFactorMes,2,FALSE),"")</f>
        <v/>
      </c>
      <c r="AA308">
        <f t="shared" si="59"/>
        <v>0</v>
      </c>
      <c r="AD308" t="str">
        <f>IFERROR(VLOOKUP(AC308,tbFactorMes,2,FALSE),"")</f>
        <v/>
      </c>
      <c r="AE308">
        <f t="shared" si="60"/>
        <v>0</v>
      </c>
      <c r="AH308" t="str">
        <f>IFERROR(VLOOKUP(AG308,tbFactorMes,2,FALSE),"")</f>
        <v/>
      </c>
      <c r="AI308">
        <f t="shared" si="61"/>
        <v>0</v>
      </c>
      <c r="AL308" t="str">
        <f>IFERROR(VLOOKUP(AK308,tbFactorMes,2,FALSE),"")</f>
        <v/>
      </c>
      <c r="AM308">
        <f t="shared" si="62"/>
        <v>0</v>
      </c>
      <c r="AP308" t="str">
        <f>IFERROR(VLOOKUP(AO308,tbFactorMes,2,FALSE),"")</f>
        <v/>
      </c>
      <c r="AQ308">
        <f t="shared" si="63"/>
        <v>0</v>
      </c>
      <c r="AT308" t="str">
        <f>IFERROR(VLOOKUP(AS308,tbFactorMes,2,FALSE),"")</f>
        <v/>
      </c>
      <c r="AU308">
        <f t="shared" si="64"/>
        <v>0</v>
      </c>
      <c r="AX308" t="str">
        <f>IFERROR(VLOOKUP(AW308,tbFactorMes,2,FALSE),"")</f>
        <v/>
      </c>
      <c r="AY308">
        <f t="shared" si="65"/>
        <v>0</v>
      </c>
      <c r="BB308" t="str">
        <f>IFERROR(VLOOKUP(BA308,tbFactorMes,2,FALSE),"")</f>
        <v/>
      </c>
      <c r="BC308">
        <f t="shared" si="66"/>
        <v>0</v>
      </c>
      <c r="BF308" t="str">
        <f>IFERROR(VLOOKUP(BE308,tbFactorMes,2,FALSE),"")</f>
        <v/>
      </c>
      <c r="BG308">
        <f t="shared" si="67"/>
        <v>0</v>
      </c>
      <c r="BH308">
        <f t="shared" si="68"/>
        <v>0</v>
      </c>
      <c r="BI308">
        <f t="shared" si="69"/>
        <v>0</v>
      </c>
    </row>
    <row r="309" spans="11:61" x14ac:dyDescent="0.35">
      <c r="K309" t="str">
        <f>IFERROR(VLOOKUP(F309,tbTurnos,3,FALSE),"")</f>
        <v/>
      </c>
      <c r="N309" t="str">
        <f>IFERROR(VLOOKUP(M309,tbFactorMes,2,FALSE),"")</f>
        <v/>
      </c>
      <c r="O309">
        <f t="shared" si="56"/>
        <v>0</v>
      </c>
      <c r="R309" t="str">
        <f>IFERROR(VLOOKUP(Q309,tbFactorMes,2,FALSE),"")</f>
        <v/>
      </c>
      <c r="S309">
        <f t="shared" si="57"/>
        <v>0</v>
      </c>
      <c r="V309" t="str">
        <f>IFERROR(VLOOKUP(U309,tbFactorMes,2,FALSE),"")</f>
        <v/>
      </c>
      <c r="W309">
        <f t="shared" si="58"/>
        <v>0</v>
      </c>
      <c r="Z309" t="str">
        <f>IFERROR(VLOOKUP(Y309,tbFactorMes,2,FALSE),"")</f>
        <v/>
      </c>
      <c r="AA309">
        <f t="shared" si="59"/>
        <v>0</v>
      </c>
      <c r="AD309" t="str">
        <f>IFERROR(VLOOKUP(AC309,tbFactorMes,2,FALSE),"")</f>
        <v/>
      </c>
      <c r="AE309">
        <f t="shared" si="60"/>
        <v>0</v>
      </c>
      <c r="AH309" t="str">
        <f>IFERROR(VLOOKUP(AG309,tbFactorMes,2,FALSE),"")</f>
        <v/>
      </c>
      <c r="AI309">
        <f t="shared" si="61"/>
        <v>0</v>
      </c>
      <c r="AL309" t="str">
        <f>IFERROR(VLOOKUP(AK309,tbFactorMes,2,FALSE),"")</f>
        <v/>
      </c>
      <c r="AM309">
        <f t="shared" si="62"/>
        <v>0</v>
      </c>
      <c r="AP309" t="str">
        <f>IFERROR(VLOOKUP(AO309,tbFactorMes,2,FALSE),"")</f>
        <v/>
      </c>
      <c r="AQ309">
        <f t="shared" si="63"/>
        <v>0</v>
      </c>
      <c r="AT309" t="str">
        <f>IFERROR(VLOOKUP(AS309,tbFactorMes,2,FALSE),"")</f>
        <v/>
      </c>
      <c r="AU309">
        <f t="shared" si="64"/>
        <v>0</v>
      </c>
      <c r="AX309" t="str">
        <f>IFERROR(VLOOKUP(AW309,tbFactorMes,2,FALSE),"")</f>
        <v/>
      </c>
      <c r="AY309">
        <f t="shared" si="65"/>
        <v>0</v>
      </c>
      <c r="BB309" t="str">
        <f>IFERROR(VLOOKUP(BA309,tbFactorMes,2,FALSE),"")</f>
        <v/>
      </c>
      <c r="BC309">
        <f t="shared" si="66"/>
        <v>0</v>
      </c>
      <c r="BF309" t="str">
        <f>IFERROR(VLOOKUP(BE309,tbFactorMes,2,FALSE),"")</f>
        <v/>
      </c>
      <c r="BG309">
        <f t="shared" si="67"/>
        <v>0</v>
      </c>
      <c r="BH309">
        <f t="shared" si="68"/>
        <v>0</v>
      </c>
      <c r="BI309">
        <f t="shared" si="69"/>
        <v>0</v>
      </c>
    </row>
    <row r="310" spans="11:61" x14ac:dyDescent="0.35">
      <c r="K310" t="str">
        <f>IFERROR(VLOOKUP(F310,tbTurnos,3,FALSE),"")</f>
        <v/>
      </c>
      <c r="N310" t="str">
        <f>IFERROR(VLOOKUP(M310,tbFactorMes,2,FALSE),"")</f>
        <v/>
      </c>
      <c r="O310">
        <f t="shared" si="56"/>
        <v>0</v>
      </c>
      <c r="R310" t="str">
        <f>IFERROR(VLOOKUP(Q310,tbFactorMes,2,FALSE),"")</f>
        <v/>
      </c>
      <c r="S310">
        <f t="shared" si="57"/>
        <v>0</v>
      </c>
      <c r="V310" t="str">
        <f>IFERROR(VLOOKUP(U310,tbFactorMes,2,FALSE),"")</f>
        <v/>
      </c>
      <c r="W310">
        <f t="shared" si="58"/>
        <v>0</v>
      </c>
      <c r="Z310" t="str">
        <f>IFERROR(VLOOKUP(Y310,tbFactorMes,2,FALSE),"")</f>
        <v/>
      </c>
      <c r="AA310">
        <f t="shared" si="59"/>
        <v>0</v>
      </c>
      <c r="AD310" t="str">
        <f>IFERROR(VLOOKUP(AC310,tbFactorMes,2,FALSE),"")</f>
        <v/>
      </c>
      <c r="AE310">
        <f t="shared" si="60"/>
        <v>0</v>
      </c>
      <c r="AH310" t="str">
        <f>IFERROR(VLOOKUP(AG310,tbFactorMes,2,FALSE),"")</f>
        <v/>
      </c>
      <c r="AI310">
        <f t="shared" si="61"/>
        <v>0</v>
      </c>
      <c r="AL310" t="str">
        <f>IFERROR(VLOOKUP(AK310,tbFactorMes,2,FALSE),"")</f>
        <v/>
      </c>
      <c r="AM310">
        <f t="shared" si="62"/>
        <v>0</v>
      </c>
      <c r="AP310" t="str">
        <f>IFERROR(VLOOKUP(AO310,tbFactorMes,2,FALSE),"")</f>
        <v/>
      </c>
      <c r="AQ310">
        <f t="shared" si="63"/>
        <v>0</v>
      </c>
      <c r="AT310" t="str">
        <f>IFERROR(VLOOKUP(AS310,tbFactorMes,2,FALSE),"")</f>
        <v/>
      </c>
      <c r="AU310">
        <f t="shared" si="64"/>
        <v>0</v>
      </c>
      <c r="AX310" t="str">
        <f>IFERROR(VLOOKUP(AW310,tbFactorMes,2,FALSE),"")</f>
        <v/>
      </c>
      <c r="AY310">
        <f t="shared" si="65"/>
        <v>0</v>
      </c>
      <c r="BB310" t="str">
        <f>IFERROR(VLOOKUP(BA310,tbFactorMes,2,FALSE),"")</f>
        <v/>
      </c>
      <c r="BC310">
        <f t="shared" si="66"/>
        <v>0</v>
      </c>
      <c r="BF310" t="str">
        <f>IFERROR(VLOOKUP(BE310,tbFactorMes,2,FALSE),"")</f>
        <v/>
      </c>
      <c r="BG310">
        <f t="shared" si="67"/>
        <v>0</v>
      </c>
      <c r="BH310">
        <f t="shared" si="68"/>
        <v>0</v>
      </c>
      <c r="BI310">
        <f t="shared" si="69"/>
        <v>0</v>
      </c>
    </row>
    <row r="311" spans="11:61" x14ac:dyDescent="0.35">
      <c r="K311" t="str">
        <f>IFERROR(VLOOKUP(F311,tbTurnos,3,FALSE),"")</f>
        <v/>
      </c>
      <c r="N311" t="str">
        <f>IFERROR(VLOOKUP(M311,tbFactorMes,2,FALSE),"")</f>
        <v/>
      </c>
      <c r="O311">
        <f t="shared" si="56"/>
        <v>0</v>
      </c>
      <c r="R311" t="str">
        <f>IFERROR(VLOOKUP(Q311,tbFactorMes,2,FALSE),"")</f>
        <v/>
      </c>
      <c r="S311">
        <f t="shared" si="57"/>
        <v>0</v>
      </c>
      <c r="V311" t="str">
        <f>IFERROR(VLOOKUP(U311,tbFactorMes,2,FALSE),"")</f>
        <v/>
      </c>
      <c r="W311">
        <f t="shared" si="58"/>
        <v>0</v>
      </c>
      <c r="Z311" t="str">
        <f>IFERROR(VLOOKUP(Y311,tbFactorMes,2,FALSE),"")</f>
        <v/>
      </c>
      <c r="AA311">
        <f t="shared" si="59"/>
        <v>0</v>
      </c>
      <c r="AD311" t="str">
        <f>IFERROR(VLOOKUP(AC311,tbFactorMes,2,FALSE),"")</f>
        <v/>
      </c>
      <c r="AE311">
        <f t="shared" si="60"/>
        <v>0</v>
      </c>
      <c r="AH311" t="str">
        <f>IFERROR(VLOOKUP(AG311,tbFactorMes,2,FALSE),"")</f>
        <v/>
      </c>
      <c r="AI311">
        <f t="shared" si="61"/>
        <v>0</v>
      </c>
      <c r="AL311" t="str">
        <f>IFERROR(VLOOKUP(AK311,tbFactorMes,2,FALSE),"")</f>
        <v/>
      </c>
      <c r="AM311">
        <f t="shared" si="62"/>
        <v>0</v>
      </c>
      <c r="AP311" t="str">
        <f>IFERROR(VLOOKUP(AO311,tbFactorMes,2,FALSE),"")</f>
        <v/>
      </c>
      <c r="AQ311">
        <f t="shared" si="63"/>
        <v>0</v>
      </c>
      <c r="AT311" t="str">
        <f>IFERROR(VLOOKUP(AS311,tbFactorMes,2,FALSE),"")</f>
        <v/>
      </c>
      <c r="AU311">
        <f t="shared" si="64"/>
        <v>0</v>
      </c>
      <c r="AX311" t="str">
        <f>IFERROR(VLOOKUP(AW311,tbFactorMes,2,FALSE),"")</f>
        <v/>
      </c>
      <c r="AY311">
        <f t="shared" si="65"/>
        <v>0</v>
      </c>
      <c r="BB311" t="str">
        <f>IFERROR(VLOOKUP(BA311,tbFactorMes,2,FALSE),"")</f>
        <v/>
      </c>
      <c r="BC311">
        <f t="shared" si="66"/>
        <v>0</v>
      </c>
      <c r="BF311" t="str">
        <f>IFERROR(VLOOKUP(BE311,tbFactorMes,2,FALSE),"")</f>
        <v/>
      </c>
      <c r="BG311">
        <f t="shared" si="67"/>
        <v>0</v>
      </c>
      <c r="BH311">
        <f t="shared" si="68"/>
        <v>0</v>
      </c>
      <c r="BI311">
        <f t="shared" si="69"/>
        <v>0</v>
      </c>
    </row>
    <row r="312" spans="11:61" x14ac:dyDescent="0.35">
      <c r="K312" t="str">
        <f>IFERROR(VLOOKUP(F312,tbTurnos,3,FALSE),"")</f>
        <v/>
      </c>
      <c r="N312" t="str">
        <f>IFERROR(VLOOKUP(M312,tbFactorMes,2,FALSE),"")</f>
        <v/>
      </c>
      <c r="O312">
        <f t="shared" si="56"/>
        <v>0</v>
      </c>
      <c r="R312" t="str">
        <f>IFERROR(VLOOKUP(Q312,tbFactorMes,2,FALSE),"")</f>
        <v/>
      </c>
      <c r="S312">
        <f t="shared" si="57"/>
        <v>0</v>
      </c>
      <c r="V312" t="str">
        <f>IFERROR(VLOOKUP(U312,tbFactorMes,2,FALSE),"")</f>
        <v/>
      </c>
      <c r="W312">
        <f t="shared" si="58"/>
        <v>0</v>
      </c>
      <c r="Z312" t="str">
        <f>IFERROR(VLOOKUP(Y312,tbFactorMes,2,FALSE),"")</f>
        <v/>
      </c>
      <c r="AA312">
        <f t="shared" si="59"/>
        <v>0</v>
      </c>
      <c r="AD312" t="str">
        <f>IFERROR(VLOOKUP(AC312,tbFactorMes,2,FALSE),"")</f>
        <v/>
      </c>
      <c r="AE312">
        <f t="shared" si="60"/>
        <v>0</v>
      </c>
      <c r="AH312" t="str">
        <f>IFERROR(VLOOKUP(AG312,tbFactorMes,2,FALSE),"")</f>
        <v/>
      </c>
      <c r="AI312">
        <f t="shared" si="61"/>
        <v>0</v>
      </c>
      <c r="AL312" t="str">
        <f>IFERROR(VLOOKUP(AK312,tbFactorMes,2,FALSE),"")</f>
        <v/>
      </c>
      <c r="AM312">
        <f t="shared" si="62"/>
        <v>0</v>
      </c>
      <c r="AP312" t="str">
        <f>IFERROR(VLOOKUP(AO312,tbFactorMes,2,FALSE),"")</f>
        <v/>
      </c>
      <c r="AQ312">
        <f t="shared" si="63"/>
        <v>0</v>
      </c>
      <c r="AT312" t="str">
        <f>IFERROR(VLOOKUP(AS312,tbFactorMes,2,FALSE),"")</f>
        <v/>
      </c>
      <c r="AU312">
        <f t="shared" si="64"/>
        <v>0</v>
      </c>
      <c r="AX312" t="str">
        <f>IFERROR(VLOOKUP(AW312,tbFactorMes,2,FALSE),"")</f>
        <v/>
      </c>
      <c r="AY312">
        <f t="shared" si="65"/>
        <v>0</v>
      </c>
      <c r="BB312" t="str">
        <f>IFERROR(VLOOKUP(BA312,tbFactorMes,2,FALSE),"")</f>
        <v/>
      </c>
      <c r="BC312">
        <f t="shared" si="66"/>
        <v>0</v>
      </c>
      <c r="BF312" t="str">
        <f>IFERROR(VLOOKUP(BE312,tbFactorMes,2,FALSE),"")</f>
        <v/>
      </c>
      <c r="BG312">
        <f t="shared" si="67"/>
        <v>0</v>
      </c>
      <c r="BH312">
        <f t="shared" si="68"/>
        <v>0</v>
      </c>
      <c r="BI312">
        <f t="shared" si="69"/>
        <v>0</v>
      </c>
    </row>
    <row r="313" spans="11:61" x14ac:dyDescent="0.35">
      <c r="K313" t="str">
        <f>IFERROR(VLOOKUP(F313,tbTurnos,3,FALSE),"")</f>
        <v/>
      </c>
      <c r="N313" t="str">
        <f>IFERROR(VLOOKUP(M313,tbFactorMes,2,FALSE),"")</f>
        <v/>
      </c>
      <c r="O313">
        <f t="shared" si="56"/>
        <v>0</v>
      </c>
      <c r="R313" t="str">
        <f>IFERROR(VLOOKUP(Q313,tbFactorMes,2,FALSE),"")</f>
        <v/>
      </c>
      <c r="S313">
        <f t="shared" si="57"/>
        <v>0</v>
      </c>
      <c r="V313" t="str">
        <f>IFERROR(VLOOKUP(U313,tbFactorMes,2,FALSE),"")</f>
        <v/>
      </c>
      <c r="W313">
        <f t="shared" si="58"/>
        <v>0</v>
      </c>
      <c r="Z313" t="str">
        <f>IFERROR(VLOOKUP(Y313,tbFactorMes,2,FALSE),"")</f>
        <v/>
      </c>
      <c r="AA313">
        <f t="shared" si="59"/>
        <v>0</v>
      </c>
      <c r="AD313" t="str">
        <f>IFERROR(VLOOKUP(AC313,tbFactorMes,2,FALSE),"")</f>
        <v/>
      </c>
      <c r="AE313">
        <f t="shared" si="60"/>
        <v>0</v>
      </c>
      <c r="AH313" t="str">
        <f>IFERROR(VLOOKUP(AG313,tbFactorMes,2,FALSE),"")</f>
        <v/>
      </c>
      <c r="AI313">
        <f t="shared" si="61"/>
        <v>0</v>
      </c>
      <c r="AL313" t="str">
        <f>IFERROR(VLOOKUP(AK313,tbFactorMes,2,FALSE),"")</f>
        <v/>
      </c>
      <c r="AM313">
        <f t="shared" si="62"/>
        <v>0</v>
      </c>
      <c r="AP313" t="str">
        <f>IFERROR(VLOOKUP(AO313,tbFactorMes,2,FALSE),"")</f>
        <v/>
      </c>
      <c r="AQ313">
        <f t="shared" si="63"/>
        <v>0</v>
      </c>
      <c r="AT313" t="str">
        <f>IFERROR(VLOOKUP(AS313,tbFactorMes,2,FALSE),"")</f>
        <v/>
      </c>
      <c r="AU313">
        <f t="shared" si="64"/>
        <v>0</v>
      </c>
      <c r="AX313" t="str">
        <f>IFERROR(VLOOKUP(AW313,tbFactorMes,2,FALSE),"")</f>
        <v/>
      </c>
      <c r="AY313">
        <f t="shared" si="65"/>
        <v>0</v>
      </c>
      <c r="BB313" t="str">
        <f>IFERROR(VLOOKUP(BA313,tbFactorMes,2,FALSE),"")</f>
        <v/>
      </c>
      <c r="BC313">
        <f t="shared" si="66"/>
        <v>0</v>
      </c>
      <c r="BF313" t="str">
        <f>IFERROR(VLOOKUP(BE313,tbFactorMes,2,FALSE),"")</f>
        <v/>
      </c>
      <c r="BG313">
        <f t="shared" si="67"/>
        <v>0</v>
      </c>
      <c r="BH313">
        <f t="shared" si="68"/>
        <v>0</v>
      </c>
      <c r="BI313">
        <f t="shared" si="69"/>
        <v>0</v>
      </c>
    </row>
    <row r="314" spans="11:61" x14ac:dyDescent="0.35">
      <c r="K314" t="str">
        <f>IFERROR(VLOOKUP(F314,tbTurnos,3,FALSE),"")</f>
        <v/>
      </c>
      <c r="N314" t="str">
        <f>IFERROR(VLOOKUP(M314,tbFactorMes,2,FALSE),"")</f>
        <v/>
      </c>
      <c r="O314">
        <f t="shared" si="56"/>
        <v>0</v>
      </c>
      <c r="R314" t="str">
        <f>IFERROR(VLOOKUP(Q314,tbFactorMes,2,FALSE),"")</f>
        <v/>
      </c>
      <c r="S314">
        <f t="shared" si="57"/>
        <v>0</v>
      </c>
      <c r="V314" t="str">
        <f>IFERROR(VLOOKUP(U314,tbFactorMes,2,FALSE),"")</f>
        <v/>
      </c>
      <c r="W314">
        <f t="shared" si="58"/>
        <v>0</v>
      </c>
      <c r="Z314" t="str">
        <f>IFERROR(VLOOKUP(Y314,tbFactorMes,2,FALSE),"")</f>
        <v/>
      </c>
      <c r="AA314">
        <f t="shared" si="59"/>
        <v>0</v>
      </c>
      <c r="AD314" t="str">
        <f>IFERROR(VLOOKUP(AC314,tbFactorMes,2,FALSE),"")</f>
        <v/>
      </c>
      <c r="AE314">
        <f t="shared" si="60"/>
        <v>0</v>
      </c>
      <c r="AH314" t="str">
        <f>IFERROR(VLOOKUP(AG314,tbFactorMes,2,FALSE),"")</f>
        <v/>
      </c>
      <c r="AI314">
        <f t="shared" si="61"/>
        <v>0</v>
      </c>
      <c r="AL314" t="str">
        <f>IFERROR(VLOOKUP(AK314,tbFactorMes,2,FALSE),"")</f>
        <v/>
      </c>
      <c r="AM314">
        <f t="shared" si="62"/>
        <v>0</v>
      </c>
      <c r="AP314" t="str">
        <f>IFERROR(VLOOKUP(AO314,tbFactorMes,2,FALSE),"")</f>
        <v/>
      </c>
      <c r="AQ314">
        <f t="shared" si="63"/>
        <v>0</v>
      </c>
      <c r="AT314" t="str">
        <f>IFERROR(VLOOKUP(AS314,tbFactorMes,2,FALSE),"")</f>
        <v/>
      </c>
      <c r="AU314">
        <f t="shared" si="64"/>
        <v>0</v>
      </c>
      <c r="AX314" t="str">
        <f>IFERROR(VLOOKUP(AW314,tbFactorMes,2,FALSE),"")</f>
        <v/>
      </c>
      <c r="AY314">
        <f t="shared" si="65"/>
        <v>0</v>
      </c>
      <c r="BB314" t="str">
        <f>IFERROR(VLOOKUP(BA314,tbFactorMes,2,FALSE),"")</f>
        <v/>
      </c>
      <c r="BC314">
        <f t="shared" si="66"/>
        <v>0</v>
      </c>
      <c r="BF314" t="str">
        <f>IFERROR(VLOOKUP(BE314,tbFactorMes,2,FALSE),"")</f>
        <v/>
      </c>
      <c r="BG314">
        <f t="shared" si="67"/>
        <v>0</v>
      </c>
      <c r="BH314">
        <f t="shared" si="68"/>
        <v>0</v>
      </c>
      <c r="BI314">
        <f t="shared" si="69"/>
        <v>0</v>
      </c>
    </row>
    <row r="315" spans="11:61" x14ac:dyDescent="0.35">
      <c r="K315" t="str">
        <f>IFERROR(VLOOKUP(F315,tbTurnos,3,FALSE),"")</f>
        <v/>
      </c>
      <c r="N315" t="str">
        <f>IFERROR(VLOOKUP(M315,tbFactorMes,2,FALSE),"")</f>
        <v/>
      </c>
      <c r="O315">
        <f t="shared" si="56"/>
        <v>0</v>
      </c>
      <c r="R315" t="str">
        <f>IFERROR(VLOOKUP(Q315,tbFactorMes,2,FALSE),"")</f>
        <v/>
      </c>
      <c r="S315">
        <f t="shared" si="57"/>
        <v>0</v>
      </c>
      <c r="V315" t="str">
        <f>IFERROR(VLOOKUP(U315,tbFactorMes,2,FALSE),"")</f>
        <v/>
      </c>
      <c r="W315">
        <f t="shared" si="58"/>
        <v>0</v>
      </c>
      <c r="Z315" t="str">
        <f>IFERROR(VLOOKUP(Y315,tbFactorMes,2,FALSE),"")</f>
        <v/>
      </c>
      <c r="AA315">
        <f t="shared" si="59"/>
        <v>0</v>
      </c>
      <c r="AD315" t="str">
        <f>IFERROR(VLOOKUP(AC315,tbFactorMes,2,FALSE),"")</f>
        <v/>
      </c>
      <c r="AE315">
        <f t="shared" si="60"/>
        <v>0</v>
      </c>
      <c r="AH315" t="str">
        <f>IFERROR(VLOOKUP(AG315,tbFactorMes,2,FALSE),"")</f>
        <v/>
      </c>
      <c r="AI315">
        <f t="shared" si="61"/>
        <v>0</v>
      </c>
      <c r="AL315" t="str">
        <f>IFERROR(VLOOKUP(AK315,tbFactorMes,2,FALSE),"")</f>
        <v/>
      </c>
      <c r="AM315">
        <f t="shared" si="62"/>
        <v>0</v>
      </c>
      <c r="AP315" t="str">
        <f>IFERROR(VLOOKUP(AO315,tbFactorMes,2,FALSE),"")</f>
        <v/>
      </c>
      <c r="AQ315">
        <f t="shared" si="63"/>
        <v>0</v>
      </c>
      <c r="AT315" t="str">
        <f>IFERROR(VLOOKUP(AS315,tbFactorMes,2,FALSE),"")</f>
        <v/>
      </c>
      <c r="AU315">
        <f t="shared" si="64"/>
        <v>0</v>
      </c>
      <c r="AX315" t="str">
        <f>IFERROR(VLOOKUP(AW315,tbFactorMes,2,FALSE),"")</f>
        <v/>
      </c>
      <c r="AY315">
        <f t="shared" si="65"/>
        <v>0</v>
      </c>
      <c r="BB315" t="str">
        <f>IFERROR(VLOOKUP(BA315,tbFactorMes,2,FALSE),"")</f>
        <v/>
      </c>
      <c r="BC315">
        <f t="shared" si="66"/>
        <v>0</v>
      </c>
      <c r="BF315" t="str">
        <f>IFERROR(VLOOKUP(BE315,tbFactorMes,2,FALSE),"")</f>
        <v/>
      </c>
      <c r="BG315">
        <f t="shared" si="67"/>
        <v>0</v>
      </c>
      <c r="BH315">
        <f t="shared" si="68"/>
        <v>0</v>
      </c>
      <c r="BI315">
        <f t="shared" si="69"/>
        <v>0</v>
      </c>
    </row>
    <row r="316" spans="11:61" x14ac:dyDescent="0.35">
      <c r="K316" t="str">
        <f>IFERROR(VLOOKUP(F316,tbTurnos,3,FALSE),"")</f>
        <v/>
      </c>
      <c r="N316" t="str">
        <f>IFERROR(VLOOKUP(M316,tbFactorMes,2,FALSE),"")</f>
        <v/>
      </c>
      <c r="O316">
        <f t="shared" si="56"/>
        <v>0</v>
      </c>
      <c r="R316" t="str">
        <f>IFERROR(VLOOKUP(Q316,tbFactorMes,2,FALSE),"")</f>
        <v/>
      </c>
      <c r="S316">
        <f t="shared" si="57"/>
        <v>0</v>
      </c>
      <c r="V316" t="str">
        <f>IFERROR(VLOOKUP(U316,tbFactorMes,2,FALSE),"")</f>
        <v/>
      </c>
      <c r="W316">
        <f t="shared" si="58"/>
        <v>0</v>
      </c>
      <c r="Z316" t="str">
        <f>IFERROR(VLOOKUP(Y316,tbFactorMes,2,FALSE),"")</f>
        <v/>
      </c>
      <c r="AA316">
        <f t="shared" si="59"/>
        <v>0</v>
      </c>
      <c r="AD316" t="str">
        <f>IFERROR(VLOOKUP(AC316,tbFactorMes,2,FALSE),"")</f>
        <v/>
      </c>
      <c r="AE316">
        <f t="shared" si="60"/>
        <v>0</v>
      </c>
      <c r="AH316" t="str">
        <f>IFERROR(VLOOKUP(AG316,tbFactorMes,2,FALSE),"")</f>
        <v/>
      </c>
      <c r="AI316">
        <f t="shared" si="61"/>
        <v>0</v>
      </c>
      <c r="AL316" t="str">
        <f>IFERROR(VLOOKUP(AK316,tbFactorMes,2,FALSE),"")</f>
        <v/>
      </c>
      <c r="AM316">
        <f t="shared" si="62"/>
        <v>0</v>
      </c>
      <c r="AP316" t="str">
        <f>IFERROR(VLOOKUP(AO316,tbFactorMes,2,FALSE),"")</f>
        <v/>
      </c>
      <c r="AQ316">
        <f t="shared" si="63"/>
        <v>0</v>
      </c>
      <c r="AT316" t="str">
        <f>IFERROR(VLOOKUP(AS316,tbFactorMes,2,FALSE),"")</f>
        <v/>
      </c>
      <c r="AU316">
        <f t="shared" si="64"/>
        <v>0</v>
      </c>
      <c r="AX316" t="str">
        <f>IFERROR(VLOOKUP(AW316,tbFactorMes,2,FALSE),"")</f>
        <v/>
      </c>
      <c r="AY316">
        <f t="shared" si="65"/>
        <v>0</v>
      </c>
      <c r="BB316" t="str">
        <f>IFERROR(VLOOKUP(BA316,tbFactorMes,2,FALSE),"")</f>
        <v/>
      </c>
      <c r="BC316">
        <f t="shared" si="66"/>
        <v>0</v>
      </c>
      <c r="BF316" t="str">
        <f>IFERROR(VLOOKUP(BE316,tbFactorMes,2,FALSE),"")</f>
        <v/>
      </c>
      <c r="BG316">
        <f t="shared" si="67"/>
        <v>0</v>
      </c>
      <c r="BH316">
        <f t="shared" si="68"/>
        <v>0</v>
      </c>
      <c r="BI316">
        <f t="shared" si="69"/>
        <v>0</v>
      </c>
    </row>
    <row r="317" spans="11:61" x14ac:dyDescent="0.35">
      <c r="K317" t="str">
        <f>IFERROR(VLOOKUP(F317,tbTurnos,3,FALSE),"")</f>
        <v/>
      </c>
      <c r="N317" t="str">
        <f>IFERROR(VLOOKUP(M317,tbFactorMes,2,FALSE),"")</f>
        <v/>
      </c>
      <c r="O317">
        <f t="shared" si="56"/>
        <v>0</v>
      </c>
      <c r="R317" t="str">
        <f>IFERROR(VLOOKUP(Q317,tbFactorMes,2,FALSE),"")</f>
        <v/>
      </c>
      <c r="S317">
        <f t="shared" si="57"/>
        <v>0</v>
      </c>
      <c r="V317" t="str">
        <f>IFERROR(VLOOKUP(U317,tbFactorMes,2,FALSE),"")</f>
        <v/>
      </c>
      <c r="W317">
        <f t="shared" si="58"/>
        <v>0</v>
      </c>
      <c r="Z317" t="str">
        <f>IFERROR(VLOOKUP(Y317,tbFactorMes,2,FALSE),"")</f>
        <v/>
      </c>
      <c r="AA317">
        <f t="shared" si="59"/>
        <v>0</v>
      </c>
      <c r="AD317" t="str">
        <f>IFERROR(VLOOKUP(AC317,tbFactorMes,2,FALSE),"")</f>
        <v/>
      </c>
      <c r="AE317">
        <f t="shared" si="60"/>
        <v>0</v>
      </c>
      <c r="AH317" t="str">
        <f>IFERROR(VLOOKUP(AG317,tbFactorMes,2,FALSE),"")</f>
        <v/>
      </c>
      <c r="AI317">
        <f t="shared" si="61"/>
        <v>0</v>
      </c>
      <c r="AL317" t="str">
        <f>IFERROR(VLOOKUP(AK317,tbFactorMes,2,FALSE),"")</f>
        <v/>
      </c>
      <c r="AM317">
        <f t="shared" si="62"/>
        <v>0</v>
      </c>
      <c r="AP317" t="str">
        <f>IFERROR(VLOOKUP(AO317,tbFactorMes,2,FALSE),"")</f>
        <v/>
      </c>
      <c r="AQ317">
        <f t="shared" si="63"/>
        <v>0</v>
      </c>
      <c r="AT317" t="str">
        <f>IFERROR(VLOOKUP(AS317,tbFactorMes,2,FALSE),"")</f>
        <v/>
      </c>
      <c r="AU317">
        <f t="shared" si="64"/>
        <v>0</v>
      </c>
      <c r="AX317" t="str">
        <f>IFERROR(VLOOKUP(AW317,tbFactorMes,2,FALSE),"")</f>
        <v/>
      </c>
      <c r="AY317">
        <f t="shared" si="65"/>
        <v>0</v>
      </c>
      <c r="BB317" t="str">
        <f>IFERROR(VLOOKUP(BA317,tbFactorMes,2,FALSE),"")</f>
        <v/>
      </c>
      <c r="BC317">
        <f t="shared" si="66"/>
        <v>0</v>
      </c>
      <c r="BF317" t="str">
        <f>IFERROR(VLOOKUP(BE317,tbFactorMes,2,FALSE),"")</f>
        <v/>
      </c>
      <c r="BG317">
        <f t="shared" si="67"/>
        <v>0</v>
      </c>
      <c r="BH317">
        <f t="shared" si="68"/>
        <v>0</v>
      </c>
      <c r="BI317">
        <f t="shared" si="69"/>
        <v>0</v>
      </c>
    </row>
    <row r="318" spans="11:61" x14ac:dyDescent="0.35">
      <c r="K318" t="str">
        <f>IFERROR(VLOOKUP(F318,tbTurnos,3,FALSE),"")</f>
        <v/>
      </c>
      <c r="N318" t="str">
        <f>IFERROR(VLOOKUP(M318,tbFactorMes,2,FALSE),"")</f>
        <v/>
      </c>
      <c r="O318">
        <f t="shared" si="56"/>
        <v>0</v>
      </c>
      <c r="R318" t="str">
        <f>IFERROR(VLOOKUP(Q318,tbFactorMes,2,FALSE),"")</f>
        <v/>
      </c>
      <c r="S318">
        <f t="shared" si="57"/>
        <v>0</v>
      </c>
      <c r="V318" t="str">
        <f>IFERROR(VLOOKUP(U318,tbFactorMes,2,FALSE),"")</f>
        <v/>
      </c>
      <c r="W318">
        <f t="shared" si="58"/>
        <v>0</v>
      </c>
      <c r="Z318" t="str">
        <f>IFERROR(VLOOKUP(Y318,tbFactorMes,2,FALSE),"")</f>
        <v/>
      </c>
      <c r="AA318">
        <f t="shared" si="59"/>
        <v>0</v>
      </c>
      <c r="AD318" t="str">
        <f>IFERROR(VLOOKUP(AC318,tbFactorMes,2,FALSE),"")</f>
        <v/>
      </c>
      <c r="AE318">
        <f t="shared" si="60"/>
        <v>0</v>
      </c>
      <c r="AH318" t="str">
        <f>IFERROR(VLOOKUP(AG318,tbFactorMes,2,FALSE),"")</f>
        <v/>
      </c>
      <c r="AI318">
        <f t="shared" si="61"/>
        <v>0</v>
      </c>
      <c r="AL318" t="str">
        <f>IFERROR(VLOOKUP(AK318,tbFactorMes,2,FALSE),"")</f>
        <v/>
      </c>
      <c r="AM318">
        <f t="shared" si="62"/>
        <v>0</v>
      </c>
      <c r="AP318" t="str">
        <f>IFERROR(VLOOKUP(AO318,tbFactorMes,2,FALSE),"")</f>
        <v/>
      </c>
      <c r="AQ318">
        <f t="shared" si="63"/>
        <v>0</v>
      </c>
      <c r="AT318" t="str">
        <f>IFERROR(VLOOKUP(AS318,tbFactorMes,2,FALSE),"")</f>
        <v/>
      </c>
      <c r="AU318">
        <f t="shared" si="64"/>
        <v>0</v>
      </c>
      <c r="AX318" t="str">
        <f>IFERROR(VLOOKUP(AW318,tbFactorMes,2,FALSE),"")</f>
        <v/>
      </c>
      <c r="AY318">
        <f t="shared" si="65"/>
        <v>0</v>
      </c>
      <c r="BB318" t="str">
        <f>IFERROR(VLOOKUP(BA318,tbFactorMes,2,FALSE),"")</f>
        <v/>
      </c>
      <c r="BC318">
        <f t="shared" si="66"/>
        <v>0</v>
      </c>
      <c r="BF318" t="str">
        <f>IFERROR(VLOOKUP(BE318,tbFactorMes,2,FALSE),"")</f>
        <v/>
      </c>
      <c r="BG318">
        <f t="shared" si="67"/>
        <v>0</v>
      </c>
      <c r="BH318">
        <f t="shared" si="68"/>
        <v>0</v>
      </c>
      <c r="BI318">
        <f t="shared" si="69"/>
        <v>0</v>
      </c>
    </row>
    <row r="319" spans="11:61" x14ac:dyDescent="0.35">
      <c r="K319" t="str">
        <f>IFERROR(VLOOKUP(F319,tbTurnos,3,FALSE),"")</f>
        <v/>
      </c>
      <c r="N319" t="str">
        <f>IFERROR(VLOOKUP(M319,tbFactorMes,2,FALSE),"")</f>
        <v/>
      </c>
      <c r="O319">
        <f t="shared" si="56"/>
        <v>0</v>
      </c>
      <c r="R319" t="str">
        <f>IFERROR(VLOOKUP(Q319,tbFactorMes,2,FALSE),"")</f>
        <v/>
      </c>
      <c r="S319">
        <f t="shared" si="57"/>
        <v>0</v>
      </c>
      <c r="V319" t="str">
        <f>IFERROR(VLOOKUP(U319,tbFactorMes,2,FALSE),"")</f>
        <v/>
      </c>
      <c r="W319">
        <f t="shared" si="58"/>
        <v>0</v>
      </c>
      <c r="Z319" t="str">
        <f>IFERROR(VLOOKUP(Y319,tbFactorMes,2,FALSE),"")</f>
        <v/>
      </c>
      <c r="AA319">
        <f t="shared" si="59"/>
        <v>0</v>
      </c>
      <c r="AD319" t="str">
        <f>IFERROR(VLOOKUP(AC319,tbFactorMes,2,FALSE),"")</f>
        <v/>
      </c>
      <c r="AE319">
        <f t="shared" si="60"/>
        <v>0</v>
      </c>
      <c r="AH319" t="str">
        <f>IFERROR(VLOOKUP(AG319,tbFactorMes,2,FALSE),"")</f>
        <v/>
      </c>
      <c r="AI319">
        <f t="shared" si="61"/>
        <v>0</v>
      </c>
      <c r="AL319" t="str">
        <f>IFERROR(VLOOKUP(AK319,tbFactorMes,2,FALSE),"")</f>
        <v/>
      </c>
      <c r="AM319">
        <f t="shared" si="62"/>
        <v>0</v>
      </c>
      <c r="AP319" t="str">
        <f>IFERROR(VLOOKUP(AO319,tbFactorMes,2,FALSE),"")</f>
        <v/>
      </c>
      <c r="AQ319">
        <f t="shared" si="63"/>
        <v>0</v>
      </c>
      <c r="AT319" t="str">
        <f>IFERROR(VLOOKUP(AS319,tbFactorMes,2,FALSE),"")</f>
        <v/>
      </c>
      <c r="AU319">
        <f t="shared" si="64"/>
        <v>0</v>
      </c>
      <c r="AX319" t="str">
        <f>IFERROR(VLOOKUP(AW319,tbFactorMes,2,FALSE),"")</f>
        <v/>
      </c>
      <c r="AY319">
        <f t="shared" si="65"/>
        <v>0</v>
      </c>
      <c r="BB319" t="str">
        <f>IFERROR(VLOOKUP(BA319,tbFactorMes,2,FALSE),"")</f>
        <v/>
      </c>
      <c r="BC319">
        <f t="shared" si="66"/>
        <v>0</v>
      </c>
      <c r="BF319" t="str">
        <f>IFERROR(VLOOKUP(BE319,tbFactorMes,2,FALSE),"")</f>
        <v/>
      </c>
      <c r="BG319">
        <f t="shared" si="67"/>
        <v>0</v>
      </c>
      <c r="BH319">
        <f t="shared" si="68"/>
        <v>0</v>
      </c>
      <c r="BI319">
        <f t="shared" si="69"/>
        <v>0</v>
      </c>
    </row>
    <row r="320" spans="11:61" x14ac:dyDescent="0.35">
      <c r="K320" t="str">
        <f>IFERROR(VLOOKUP(F320,tbTurnos,3,FALSE),"")</f>
        <v/>
      </c>
      <c r="N320" t="str">
        <f>IFERROR(VLOOKUP(M320,tbFactorMes,2,FALSE),"")</f>
        <v/>
      </c>
      <c r="O320">
        <f t="shared" si="56"/>
        <v>0</v>
      </c>
      <c r="R320" t="str">
        <f>IFERROR(VLOOKUP(Q320,tbFactorMes,2,FALSE),"")</f>
        <v/>
      </c>
      <c r="S320">
        <f t="shared" si="57"/>
        <v>0</v>
      </c>
      <c r="V320" t="str">
        <f>IFERROR(VLOOKUP(U320,tbFactorMes,2,FALSE),"")</f>
        <v/>
      </c>
      <c r="W320">
        <f t="shared" si="58"/>
        <v>0</v>
      </c>
      <c r="Z320" t="str">
        <f>IFERROR(VLOOKUP(Y320,tbFactorMes,2,FALSE),"")</f>
        <v/>
      </c>
      <c r="AA320">
        <f t="shared" si="59"/>
        <v>0</v>
      </c>
      <c r="AD320" t="str">
        <f>IFERROR(VLOOKUP(AC320,tbFactorMes,2,FALSE),"")</f>
        <v/>
      </c>
      <c r="AE320">
        <f t="shared" si="60"/>
        <v>0</v>
      </c>
      <c r="AH320" t="str">
        <f>IFERROR(VLOOKUP(AG320,tbFactorMes,2,FALSE),"")</f>
        <v/>
      </c>
      <c r="AI320">
        <f t="shared" si="61"/>
        <v>0</v>
      </c>
      <c r="AL320" t="str">
        <f>IFERROR(VLOOKUP(AK320,tbFactorMes,2,FALSE),"")</f>
        <v/>
      </c>
      <c r="AM320">
        <f t="shared" si="62"/>
        <v>0</v>
      </c>
      <c r="AP320" t="str">
        <f>IFERROR(VLOOKUP(AO320,tbFactorMes,2,FALSE),"")</f>
        <v/>
      </c>
      <c r="AQ320">
        <f t="shared" si="63"/>
        <v>0</v>
      </c>
      <c r="AT320" t="str">
        <f>IFERROR(VLOOKUP(AS320,tbFactorMes,2,FALSE),"")</f>
        <v/>
      </c>
      <c r="AU320">
        <f t="shared" si="64"/>
        <v>0</v>
      </c>
      <c r="AX320" t="str">
        <f>IFERROR(VLOOKUP(AW320,tbFactorMes,2,FALSE),"")</f>
        <v/>
      </c>
      <c r="AY320">
        <f t="shared" si="65"/>
        <v>0</v>
      </c>
      <c r="BB320" t="str">
        <f>IFERROR(VLOOKUP(BA320,tbFactorMes,2,FALSE),"")</f>
        <v/>
      </c>
      <c r="BC320">
        <f t="shared" si="66"/>
        <v>0</v>
      </c>
      <c r="BF320" t="str">
        <f>IFERROR(VLOOKUP(BE320,tbFactorMes,2,FALSE),"")</f>
        <v/>
      </c>
      <c r="BG320">
        <f t="shared" si="67"/>
        <v>0</v>
      </c>
      <c r="BH320">
        <f t="shared" si="68"/>
        <v>0</v>
      </c>
      <c r="BI320">
        <f t="shared" si="69"/>
        <v>0</v>
      </c>
    </row>
    <row r="321" spans="11:61" x14ac:dyDescent="0.35">
      <c r="K321" t="str">
        <f>IFERROR(VLOOKUP(F321,tbTurnos,3,FALSE),"")</f>
        <v/>
      </c>
      <c r="N321" t="str">
        <f>IFERROR(VLOOKUP(M321,tbFactorMes,2,FALSE),"")</f>
        <v/>
      </c>
      <c r="O321">
        <f t="shared" si="56"/>
        <v>0</v>
      </c>
      <c r="R321" t="str">
        <f>IFERROR(VLOOKUP(Q321,tbFactorMes,2,FALSE),"")</f>
        <v/>
      </c>
      <c r="S321">
        <f t="shared" si="57"/>
        <v>0</v>
      </c>
      <c r="V321" t="str">
        <f>IFERROR(VLOOKUP(U321,tbFactorMes,2,FALSE),"")</f>
        <v/>
      </c>
      <c r="W321">
        <f t="shared" si="58"/>
        <v>0</v>
      </c>
      <c r="Z321" t="str">
        <f>IFERROR(VLOOKUP(Y321,tbFactorMes,2,FALSE),"")</f>
        <v/>
      </c>
      <c r="AA321">
        <f t="shared" si="59"/>
        <v>0</v>
      </c>
      <c r="AD321" t="str">
        <f>IFERROR(VLOOKUP(AC321,tbFactorMes,2,FALSE),"")</f>
        <v/>
      </c>
      <c r="AE321">
        <f t="shared" si="60"/>
        <v>0</v>
      </c>
      <c r="AH321" t="str">
        <f>IFERROR(VLOOKUP(AG321,tbFactorMes,2,FALSE),"")</f>
        <v/>
      </c>
      <c r="AI321">
        <f t="shared" si="61"/>
        <v>0</v>
      </c>
      <c r="AL321" t="str">
        <f>IFERROR(VLOOKUP(AK321,tbFactorMes,2,FALSE),"")</f>
        <v/>
      </c>
      <c r="AM321">
        <f t="shared" si="62"/>
        <v>0</v>
      </c>
      <c r="AP321" t="str">
        <f>IFERROR(VLOOKUP(AO321,tbFactorMes,2,FALSE),"")</f>
        <v/>
      </c>
      <c r="AQ321">
        <f t="shared" si="63"/>
        <v>0</v>
      </c>
      <c r="AT321" t="str">
        <f>IFERROR(VLOOKUP(AS321,tbFactorMes,2,FALSE),"")</f>
        <v/>
      </c>
      <c r="AU321">
        <f t="shared" si="64"/>
        <v>0</v>
      </c>
      <c r="AX321" t="str">
        <f>IFERROR(VLOOKUP(AW321,tbFactorMes,2,FALSE),"")</f>
        <v/>
      </c>
      <c r="AY321">
        <f t="shared" si="65"/>
        <v>0</v>
      </c>
      <c r="BB321" t="str">
        <f>IFERROR(VLOOKUP(BA321,tbFactorMes,2,FALSE),"")</f>
        <v/>
      </c>
      <c r="BC321">
        <f t="shared" si="66"/>
        <v>0</v>
      </c>
      <c r="BF321" t="str">
        <f>IFERROR(VLOOKUP(BE321,tbFactorMes,2,FALSE),"")</f>
        <v/>
      </c>
      <c r="BG321">
        <f t="shared" si="67"/>
        <v>0</v>
      </c>
      <c r="BH321">
        <f t="shared" si="68"/>
        <v>0</v>
      </c>
      <c r="BI321">
        <f t="shared" si="69"/>
        <v>0</v>
      </c>
    </row>
    <row r="322" spans="11:61" x14ac:dyDescent="0.35">
      <c r="K322" t="str">
        <f>IFERROR(VLOOKUP(F322,tbTurnos,3,FALSE),"")</f>
        <v/>
      </c>
      <c r="N322" t="str">
        <f>IFERROR(VLOOKUP(M322,tbFactorMes,2,FALSE),"")</f>
        <v/>
      </c>
      <c r="O322">
        <f t="shared" ref="O322:O385" si="70">IFERROR((L322*$K322)/N322,0)*$J322</f>
        <v>0</v>
      </c>
      <c r="R322" t="str">
        <f>IFERROR(VLOOKUP(Q322,tbFactorMes,2,FALSE),"")</f>
        <v/>
      </c>
      <c r="S322">
        <f t="shared" ref="S322:S385" si="71">IFERROR((P322*$K322)/R322,0)*$J322</f>
        <v>0</v>
      </c>
      <c r="V322" t="str">
        <f>IFERROR(VLOOKUP(U322,tbFactorMes,2,FALSE),"")</f>
        <v/>
      </c>
      <c r="W322">
        <f t="shared" ref="W322:W385" si="72">IFERROR((T322*$K322)/V322,0)*$J322</f>
        <v>0</v>
      </c>
      <c r="Z322" t="str">
        <f>IFERROR(VLOOKUP(Y322,tbFactorMes,2,FALSE),"")</f>
        <v/>
      </c>
      <c r="AA322">
        <f t="shared" ref="AA322:AA385" si="73">IFERROR((X322*$K322)/Z322,0)*$J322</f>
        <v>0</v>
      </c>
      <c r="AD322" t="str">
        <f>IFERROR(VLOOKUP(AC322,tbFactorMes,2,FALSE),"")</f>
        <v/>
      </c>
      <c r="AE322">
        <f t="shared" ref="AE322:AE385" si="74">IFERROR((AB322*$K322)/AD322,0)*$J322</f>
        <v>0</v>
      </c>
      <c r="AH322" t="str">
        <f>IFERROR(VLOOKUP(AG322,tbFactorMes,2,FALSE),"")</f>
        <v/>
      </c>
      <c r="AI322">
        <f t="shared" ref="AI322:AI385" si="75">IFERROR((AF322*$K322)/AH322,0)*$J322</f>
        <v>0</v>
      </c>
      <c r="AL322" t="str">
        <f>IFERROR(VLOOKUP(AK322,tbFactorMes,2,FALSE),"")</f>
        <v/>
      </c>
      <c r="AM322">
        <f t="shared" ref="AM322:AM385" si="76">IFERROR((AJ322*$K322)/AL322,0)*$J322</f>
        <v>0</v>
      </c>
      <c r="AP322" t="str">
        <f>IFERROR(VLOOKUP(AO322,tbFactorMes,2,FALSE),"")</f>
        <v/>
      </c>
      <c r="AQ322">
        <f t="shared" ref="AQ322:AQ385" si="77">IFERROR((AN322*$K322)/AP322,0)*$J322</f>
        <v>0</v>
      </c>
      <c r="AT322" t="str">
        <f>IFERROR(VLOOKUP(AS322,tbFactorMes,2,FALSE),"")</f>
        <v/>
      </c>
      <c r="AU322">
        <f t="shared" ref="AU322:AU385" si="78">IFERROR((AR322*$K322)/AT322,0)*$J322</f>
        <v>0</v>
      </c>
      <c r="AX322" t="str">
        <f>IFERROR(VLOOKUP(AW322,tbFactorMes,2,FALSE),"")</f>
        <v/>
      </c>
      <c r="AY322">
        <f t="shared" ref="AY322:AY385" si="79">IFERROR((AV322*$K322)/AX322,0)*$J322</f>
        <v>0</v>
      </c>
      <c r="BB322" t="str">
        <f>IFERROR(VLOOKUP(BA322,tbFactorMes,2,FALSE),"")</f>
        <v/>
      </c>
      <c r="BC322">
        <f t="shared" ref="BC322:BC385" si="80">IFERROR((AZ322*$K322)/BB322,0)*$J322</f>
        <v>0</v>
      </c>
      <c r="BF322" t="str">
        <f>IFERROR(VLOOKUP(BE322,tbFactorMes,2,FALSE),"")</f>
        <v/>
      </c>
      <c r="BG322">
        <f t="shared" ref="BG322:BG385" si="81">IFERROR((BD322*$K322)/BF322,0)*$J322</f>
        <v>0</v>
      </c>
      <c r="BH322">
        <f t="shared" ref="BH322:BH385" si="82">IFERROR(SUM(O322,S322,W322,AA322,AE322,AI322,AM322,AQ322,AU322,AY322,BC322,BG322),0)</f>
        <v>0</v>
      </c>
      <c r="BI322">
        <f t="shared" ref="BI322:BI385" si="83">IFERROR(BH322*(1-$I322),0)</f>
        <v>0</v>
      </c>
    </row>
    <row r="323" spans="11:61" x14ac:dyDescent="0.35">
      <c r="K323" t="str">
        <f>IFERROR(VLOOKUP(F323,tbTurnos,3,FALSE),"")</f>
        <v/>
      </c>
      <c r="N323" t="str">
        <f>IFERROR(VLOOKUP(M323,tbFactorMes,2,FALSE),"")</f>
        <v/>
      </c>
      <c r="O323">
        <f t="shared" si="70"/>
        <v>0</v>
      </c>
      <c r="R323" t="str">
        <f>IFERROR(VLOOKUP(Q323,tbFactorMes,2,FALSE),"")</f>
        <v/>
      </c>
      <c r="S323">
        <f t="shared" si="71"/>
        <v>0</v>
      </c>
      <c r="V323" t="str">
        <f>IFERROR(VLOOKUP(U323,tbFactorMes,2,FALSE),"")</f>
        <v/>
      </c>
      <c r="W323">
        <f t="shared" si="72"/>
        <v>0</v>
      </c>
      <c r="Z323" t="str">
        <f>IFERROR(VLOOKUP(Y323,tbFactorMes,2,FALSE),"")</f>
        <v/>
      </c>
      <c r="AA323">
        <f t="shared" si="73"/>
        <v>0</v>
      </c>
      <c r="AD323" t="str">
        <f>IFERROR(VLOOKUP(AC323,tbFactorMes,2,FALSE),"")</f>
        <v/>
      </c>
      <c r="AE323">
        <f t="shared" si="74"/>
        <v>0</v>
      </c>
      <c r="AH323" t="str">
        <f>IFERROR(VLOOKUP(AG323,tbFactorMes,2,FALSE),"")</f>
        <v/>
      </c>
      <c r="AI323">
        <f t="shared" si="75"/>
        <v>0</v>
      </c>
      <c r="AL323" t="str">
        <f>IFERROR(VLOOKUP(AK323,tbFactorMes,2,FALSE),"")</f>
        <v/>
      </c>
      <c r="AM323">
        <f t="shared" si="76"/>
        <v>0</v>
      </c>
      <c r="AP323" t="str">
        <f>IFERROR(VLOOKUP(AO323,tbFactorMes,2,FALSE),"")</f>
        <v/>
      </c>
      <c r="AQ323">
        <f t="shared" si="77"/>
        <v>0</v>
      </c>
      <c r="AT323" t="str">
        <f>IFERROR(VLOOKUP(AS323,tbFactorMes,2,FALSE),"")</f>
        <v/>
      </c>
      <c r="AU323">
        <f t="shared" si="78"/>
        <v>0</v>
      </c>
      <c r="AX323" t="str">
        <f>IFERROR(VLOOKUP(AW323,tbFactorMes,2,FALSE),"")</f>
        <v/>
      </c>
      <c r="AY323">
        <f t="shared" si="79"/>
        <v>0</v>
      </c>
      <c r="BB323" t="str">
        <f>IFERROR(VLOOKUP(BA323,tbFactorMes,2,FALSE),"")</f>
        <v/>
      </c>
      <c r="BC323">
        <f t="shared" si="80"/>
        <v>0</v>
      </c>
      <c r="BF323" t="str">
        <f>IFERROR(VLOOKUP(BE323,tbFactorMes,2,FALSE),"")</f>
        <v/>
      </c>
      <c r="BG323">
        <f t="shared" si="81"/>
        <v>0</v>
      </c>
      <c r="BH323">
        <f t="shared" si="82"/>
        <v>0</v>
      </c>
      <c r="BI323">
        <f t="shared" si="83"/>
        <v>0</v>
      </c>
    </row>
    <row r="324" spans="11:61" x14ac:dyDescent="0.35">
      <c r="K324" t="str">
        <f>IFERROR(VLOOKUP(F324,tbTurnos,3,FALSE),"")</f>
        <v/>
      </c>
      <c r="N324" t="str">
        <f>IFERROR(VLOOKUP(M324,tbFactorMes,2,FALSE),"")</f>
        <v/>
      </c>
      <c r="O324">
        <f t="shared" si="70"/>
        <v>0</v>
      </c>
      <c r="R324" t="str">
        <f>IFERROR(VLOOKUP(Q324,tbFactorMes,2,FALSE),"")</f>
        <v/>
      </c>
      <c r="S324">
        <f t="shared" si="71"/>
        <v>0</v>
      </c>
      <c r="V324" t="str">
        <f>IFERROR(VLOOKUP(U324,tbFactorMes,2,FALSE),"")</f>
        <v/>
      </c>
      <c r="W324">
        <f t="shared" si="72"/>
        <v>0</v>
      </c>
      <c r="Z324" t="str">
        <f>IFERROR(VLOOKUP(Y324,tbFactorMes,2,FALSE),"")</f>
        <v/>
      </c>
      <c r="AA324">
        <f t="shared" si="73"/>
        <v>0</v>
      </c>
      <c r="AD324" t="str">
        <f>IFERROR(VLOOKUP(AC324,tbFactorMes,2,FALSE),"")</f>
        <v/>
      </c>
      <c r="AE324">
        <f t="shared" si="74"/>
        <v>0</v>
      </c>
      <c r="AH324" t="str">
        <f>IFERROR(VLOOKUP(AG324,tbFactorMes,2,FALSE),"")</f>
        <v/>
      </c>
      <c r="AI324">
        <f t="shared" si="75"/>
        <v>0</v>
      </c>
      <c r="AL324" t="str">
        <f>IFERROR(VLOOKUP(AK324,tbFactorMes,2,FALSE),"")</f>
        <v/>
      </c>
      <c r="AM324">
        <f t="shared" si="76"/>
        <v>0</v>
      </c>
      <c r="AP324" t="str">
        <f>IFERROR(VLOOKUP(AO324,tbFactorMes,2,FALSE),"")</f>
        <v/>
      </c>
      <c r="AQ324">
        <f t="shared" si="77"/>
        <v>0</v>
      </c>
      <c r="AT324" t="str">
        <f>IFERROR(VLOOKUP(AS324,tbFactorMes,2,FALSE),"")</f>
        <v/>
      </c>
      <c r="AU324">
        <f t="shared" si="78"/>
        <v>0</v>
      </c>
      <c r="AX324" t="str">
        <f>IFERROR(VLOOKUP(AW324,tbFactorMes,2,FALSE),"")</f>
        <v/>
      </c>
      <c r="AY324">
        <f t="shared" si="79"/>
        <v>0</v>
      </c>
      <c r="BB324" t="str">
        <f>IFERROR(VLOOKUP(BA324,tbFactorMes,2,FALSE),"")</f>
        <v/>
      </c>
      <c r="BC324">
        <f t="shared" si="80"/>
        <v>0</v>
      </c>
      <c r="BF324" t="str">
        <f>IFERROR(VLOOKUP(BE324,tbFactorMes,2,FALSE),"")</f>
        <v/>
      </c>
      <c r="BG324">
        <f t="shared" si="81"/>
        <v>0</v>
      </c>
      <c r="BH324">
        <f t="shared" si="82"/>
        <v>0</v>
      </c>
      <c r="BI324">
        <f t="shared" si="83"/>
        <v>0</v>
      </c>
    </row>
    <row r="325" spans="11:61" x14ac:dyDescent="0.35">
      <c r="K325" t="str">
        <f>IFERROR(VLOOKUP(F325,tbTurnos,3,FALSE),"")</f>
        <v/>
      </c>
      <c r="N325" t="str">
        <f>IFERROR(VLOOKUP(M325,tbFactorMes,2,FALSE),"")</f>
        <v/>
      </c>
      <c r="O325">
        <f t="shared" si="70"/>
        <v>0</v>
      </c>
      <c r="R325" t="str">
        <f>IFERROR(VLOOKUP(Q325,tbFactorMes,2,FALSE),"")</f>
        <v/>
      </c>
      <c r="S325">
        <f t="shared" si="71"/>
        <v>0</v>
      </c>
      <c r="V325" t="str">
        <f>IFERROR(VLOOKUP(U325,tbFactorMes,2,FALSE),"")</f>
        <v/>
      </c>
      <c r="W325">
        <f t="shared" si="72"/>
        <v>0</v>
      </c>
      <c r="Z325" t="str">
        <f>IFERROR(VLOOKUP(Y325,tbFactorMes,2,FALSE),"")</f>
        <v/>
      </c>
      <c r="AA325">
        <f t="shared" si="73"/>
        <v>0</v>
      </c>
      <c r="AD325" t="str">
        <f>IFERROR(VLOOKUP(AC325,tbFactorMes,2,FALSE),"")</f>
        <v/>
      </c>
      <c r="AE325">
        <f t="shared" si="74"/>
        <v>0</v>
      </c>
      <c r="AH325" t="str">
        <f>IFERROR(VLOOKUP(AG325,tbFactorMes,2,FALSE),"")</f>
        <v/>
      </c>
      <c r="AI325">
        <f t="shared" si="75"/>
        <v>0</v>
      </c>
      <c r="AL325" t="str">
        <f>IFERROR(VLOOKUP(AK325,tbFactorMes,2,FALSE),"")</f>
        <v/>
      </c>
      <c r="AM325">
        <f t="shared" si="76"/>
        <v>0</v>
      </c>
      <c r="AP325" t="str">
        <f>IFERROR(VLOOKUP(AO325,tbFactorMes,2,FALSE),"")</f>
        <v/>
      </c>
      <c r="AQ325">
        <f t="shared" si="77"/>
        <v>0</v>
      </c>
      <c r="AT325" t="str">
        <f>IFERROR(VLOOKUP(AS325,tbFactorMes,2,FALSE),"")</f>
        <v/>
      </c>
      <c r="AU325">
        <f t="shared" si="78"/>
        <v>0</v>
      </c>
      <c r="AX325" t="str">
        <f>IFERROR(VLOOKUP(AW325,tbFactorMes,2,FALSE),"")</f>
        <v/>
      </c>
      <c r="AY325">
        <f t="shared" si="79"/>
        <v>0</v>
      </c>
      <c r="BB325" t="str">
        <f>IFERROR(VLOOKUP(BA325,tbFactorMes,2,FALSE),"")</f>
        <v/>
      </c>
      <c r="BC325">
        <f t="shared" si="80"/>
        <v>0</v>
      </c>
      <c r="BF325" t="str">
        <f>IFERROR(VLOOKUP(BE325,tbFactorMes,2,FALSE),"")</f>
        <v/>
      </c>
      <c r="BG325">
        <f t="shared" si="81"/>
        <v>0</v>
      </c>
      <c r="BH325">
        <f t="shared" si="82"/>
        <v>0</v>
      </c>
      <c r="BI325">
        <f t="shared" si="83"/>
        <v>0</v>
      </c>
    </row>
    <row r="326" spans="11:61" x14ac:dyDescent="0.35">
      <c r="K326" t="str">
        <f>IFERROR(VLOOKUP(F326,tbTurnos,3,FALSE),"")</f>
        <v/>
      </c>
      <c r="N326" t="str">
        <f>IFERROR(VLOOKUP(M326,tbFactorMes,2,FALSE),"")</f>
        <v/>
      </c>
      <c r="O326">
        <f t="shared" si="70"/>
        <v>0</v>
      </c>
      <c r="R326" t="str">
        <f>IFERROR(VLOOKUP(Q326,tbFactorMes,2,FALSE),"")</f>
        <v/>
      </c>
      <c r="S326">
        <f t="shared" si="71"/>
        <v>0</v>
      </c>
      <c r="V326" t="str">
        <f>IFERROR(VLOOKUP(U326,tbFactorMes,2,FALSE),"")</f>
        <v/>
      </c>
      <c r="W326">
        <f t="shared" si="72"/>
        <v>0</v>
      </c>
      <c r="Z326" t="str">
        <f>IFERROR(VLOOKUP(Y326,tbFactorMes,2,FALSE),"")</f>
        <v/>
      </c>
      <c r="AA326">
        <f t="shared" si="73"/>
        <v>0</v>
      </c>
      <c r="AD326" t="str">
        <f>IFERROR(VLOOKUP(AC326,tbFactorMes,2,FALSE),"")</f>
        <v/>
      </c>
      <c r="AE326">
        <f t="shared" si="74"/>
        <v>0</v>
      </c>
      <c r="AH326" t="str">
        <f>IFERROR(VLOOKUP(AG326,tbFactorMes,2,FALSE),"")</f>
        <v/>
      </c>
      <c r="AI326">
        <f t="shared" si="75"/>
        <v>0</v>
      </c>
      <c r="AL326" t="str">
        <f>IFERROR(VLOOKUP(AK326,tbFactorMes,2,FALSE),"")</f>
        <v/>
      </c>
      <c r="AM326">
        <f t="shared" si="76"/>
        <v>0</v>
      </c>
      <c r="AP326" t="str">
        <f>IFERROR(VLOOKUP(AO326,tbFactorMes,2,FALSE),"")</f>
        <v/>
      </c>
      <c r="AQ326">
        <f t="shared" si="77"/>
        <v>0</v>
      </c>
      <c r="AT326" t="str">
        <f>IFERROR(VLOOKUP(AS326,tbFactorMes,2,FALSE),"")</f>
        <v/>
      </c>
      <c r="AU326">
        <f t="shared" si="78"/>
        <v>0</v>
      </c>
      <c r="AX326" t="str">
        <f>IFERROR(VLOOKUP(AW326,tbFactorMes,2,FALSE),"")</f>
        <v/>
      </c>
      <c r="AY326">
        <f t="shared" si="79"/>
        <v>0</v>
      </c>
      <c r="BB326" t="str">
        <f>IFERROR(VLOOKUP(BA326,tbFactorMes,2,FALSE),"")</f>
        <v/>
      </c>
      <c r="BC326">
        <f t="shared" si="80"/>
        <v>0</v>
      </c>
      <c r="BF326" t="str">
        <f>IFERROR(VLOOKUP(BE326,tbFactorMes,2,FALSE),"")</f>
        <v/>
      </c>
      <c r="BG326">
        <f t="shared" si="81"/>
        <v>0</v>
      </c>
      <c r="BH326">
        <f t="shared" si="82"/>
        <v>0</v>
      </c>
      <c r="BI326">
        <f t="shared" si="83"/>
        <v>0</v>
      </c>
    </row>
    <row r="327" spans="11:61" x14ac:dyDescent="0.35">
      <c r="K327" t="str">
        <f>IFERROR(VLOOKUP(F327,tbTurnos,3,FALSE),"")</f>
        <v/>
      </c>
      <c r="N327" t="str">
        <f>IFERROR(VLOOKUP(M327,tbFactorMes,2,FALSE),"")</f>
        <v/>
      </c>
      <c r="O327">
        <f t="shared" si="70"/>
        <v>0</v>
      </c>
      <c r="R327" t="str">
        <f>IFERROR(VLOOKUP(Q327,tbFactorMes,2,FALSE),"")</f>
        <v/>
      </c>
      <c r="S327">
        <f t="shared" si="71"/>
        <v>0</v>
      </c>
      <c r="V327" t="str">
        <f>IFERROR(VLOOKUP(U327,tbFactorMes,2,FALSE),"")</f>
        <v/>
      </c>
      <c r="W327">
        <f t="shared" si="72"/>
        <v>0</v>
      </c>
      <c r="Z327" t="str">
        <f>IFERROR(VLOOKUP(Y327,tbFactorMes,2,FALSE),"")</f>
        <v/>
      </c>
      <c r="AA327">
        <f t="shared" si="73"/>
        <v>0</v>
      </c>
      <c r="AD327" t="str">
        <f>IFERROR(VLOOKUP(AC327,tbFactorMes,2,FALSE),"")</f>
        <v/>
      </c>
      <c r="AE327">
        <f t="shared" si="74"/>
        <v>0</v>
      </c>
      <c r="AH327" t="str">
        <f>IFERROR(VLOOKUP(AG327,tbFactorMes,2,FALSE),"")</f>
        <v/>
      </c>
      <c r="AI327">
        <f t="shared" si="75"/>
        <v>0</v>
      </c>
      <c r="AL327" t="str">
        <f>IFERROR(VLOOKUP(AK327,tbFactorMes,2,FALSE),"")</f>
        <v/>
      </c>
      <c r="AM327">
        <f t="shared" si="76"/>
        <v>0</v>
      </c>
      <c r="AP327" t="str">
        <f>IFERROR(VLOOKUP(AO327,tbFactorMes,2,FALSE),"")</f>
        <v/>
      </c>
      <c r="AQ327">
        <f t="shared" si="77"/>
        <v>0</v>
      </c>
      <c r="AT327" t="str">
        <f>IFERROR(VLOOKUP(AS327,tbFactorMes,2,FALSE),"")</f>
        <v/>
      </c>
      <c r="AU327">
        <f t="shared" si="78"/>
        <v>0</v>
      </c>
      <c r="AX327" t="str">
        <f>IFERROR(VLOOKUP(AW327,tbFactorMes,2,FALSE),"")</f>
        <v/>
      </c>
      <c r="AY327">
        <f t="shared" si="79"/>
        <v>0</v>
      </c>
      <c r="BB327" t="str">
        <f>IFERROR(VLOOKUP(BA327,tbFactorMes,2,FALSE),"")</f>
        <v/>
      </c>
      <c r="BC327">
        <f t="shared" si="80"/>
        <v>0</v>
      </c>
      <c r="BF327" t="str">
        <f>IFERROR(VLOOKUP(BE327,tbFactorMes,2,FALSE),"")</f>
        <v/>
      </c>
      <c r="BG327">
        <f t="shared" si="81"/>
        <v>0</v>
      </c>
      <c r="BH327">
        <f t="shared" si="82"/>
        <v>0</v>
      </c>
      <c r="BI327">
        <f t="shared" si="83"/>
        <v>0</v>
      </c>
    </row>
    <row r="328" spans="11:61" x14ac:dyDescent="0.35">
      <c r="K328" t="str">
        <f>IFERROR(VLOOKUP(F328,tbTurnos,3,FALSE),"")</f>
        <v/>
      </c>
      <c r="N328" t="str">
        <f>IFERROR(VLOOKUP(M328,tbFactorMes,2,FALSE),"")</f>
        <v/>
      </c>
      <c r="O328">
        <f t="shared" si="70"/>
        <v>0</v>
      </c>
      <c r="R328" t="str">
        <f>IFERROR(VLOOKUP(Q328,tbFactorMes,2,FALSE),"")</f>
        <v/>
      </c>
      <c r="S328">
        <f t="shared" si="71"/>
        <v>0</v>
      </c>
      <c r="V328" t="str">
        <f>IFERROR(VLOOKUP(U328,tbFactorMes,2,FALSE),"")</f>
        <v/>
      </c>
      <c r="W328">
        <f t="shared" si="72"/>
        <v>0</v>
      </c>
      <c r="Z328" t="str">
        <f>IFERROR(VLOOKUP(Y328,tbFactorMes,2,FALSE),"")</f>
        <v/>
      </c>
      <c r="AA328">
        <f t="shared" si="73"/>
        <v>0</v>
      </c>
      <c r="AD328" t="str">
        <f>IFERROR(VLOOKUP(AC328,tbFactorMes,2,FALSE),"")</f>
        <v/>
      </c>
      <c r="AE328">
        <f t="shared" si="74"/>
        <v>0</v>
      </c>
      <c r="AH328" t="str">
        <f>IFERROR(VLOOKUP(AG328,tbFactorMes,2,FALSE),"")</f>
        <v/>
      </c>
      <c r="AI328">
        <f t="shared" si="75"/>
        <v>0</v>
      </c>
      <c r="AL328" t="str">
        <f>IFERROR(VLOOKUP(AK328,tbFactorMes,2,FALSE),"")</f>
        <v/>
      </c>
      <c r="AM328">
        <f t="shared" si="76"/>
        <v>0</v>
      </c>
      <c r="AP328" t="str">
        <f>IFERROR(VLOOKUP(AO328,tbFactorMes,2,FALSE),"")</f>
        <v/>
      </c>
      <c r="AQ328">
        <f t="shared" si="77"/>
        <v>0</v>
      </c>
      <c r="AT328" t="str">
        <f>IFERROR(VLOOKUP(AS328,tbFactorMes,2,FALSE),"")</f>
        <v/>
      </c>
      <c r="AU328">
        <f t="shared" si="78"/>
        <v>0</v>
      </c>
      <c r="AX328" t="str">
        <f>IFERROR(VLOOKUP(AW328,tbFactorMes,2,FALSE),"")</f>
        <v/>
      </c>
      <c r="AY328">
        <f t="shared" si="79"/>
        <v>0</v>
      </c>
      <c r="BB328" t="str">
        <f>IFERROR(VLOOKUP(BA328,tbFactorMes,2,FALSE),"")</f>
        <v/>
      </c>
      <c r="BC328">
        <f t="shared" si="80"/>
        <v>0</v>
      </c>
      <c r="BF328" t="str">
        <f>IFERROR(VLOOKUP(BE328,tbFactorMes,2,FALSE),"")</f>
        <v/>
      </c>
      <c r="BG328">
        <f t="shared" si="81"/>
        <v>0</v>
      </c>
      <c r="BH328">
        <f t="shared" si="82"/>
        <v>0</v>
      </c>
      <c r="BI328">
        <f t="shared" si="83"/>
        <v>0</v>
      </c>
    </row>
    <row r="329" spans="11:61" x14ac:dyDescent="0.35">
      <c r="K329" t="str">
        <f>IFERROR(VLOOKUP(F329,tbTurnos,3,FALSE),"")</f>
        <v/>
      </c>
      <c r="N329" t="str">
        <f>IFERROR(VLOOKUP(M329,tbFactorMes,2,FALSE),"")</f>
        <v/>
      </c>
      <c r="O329">
        <f t="shared" si="70"/>
        <v>0</v>
      </c>
      <c r="R329" t="str">
        <f>IFERROR(VLOOKUP(Q329,tbFactorMes,2,FALSE),"")</f>
        <v/>
      </c>
      <c r="S329">
        <f t="shared" si="71"/>
        <v>0</v>
      </c>
      <c r="V329" t="str">
        <f>IFERROR(VLOOKUP(U329,tbFactorMes,2,FALSE),"")</f>
        <v/>
      </c>
      <c r="W329">
        <f t="shared" si="72"/>
        <v>0</v>
      </c>
      <c r="Z329" t="str">
        <f>IFERROR(VLOOKUP(Y329,tbFactorMes,2,FALSE),"")</f>
        <v/>
      </c>
      <c r="AA329">
        <f t="shared" si="73"/>
        <v>0</v>
      </c>
      <c r="AD329" t="str">
        <f>IFERROR(VLOOKUP(AC329,tbFactorMes,2,FALSE),"")</f>
        <v/>
      </c>
      <c r="AE329">
        <f t="shared" si="74"/>
        <v>0</v>
      </c>
      <c r="AH329" t="str">
        <f>IFERROR(VLOOKUP(AG329,tbFactorMes,2,FALSE),"")</f>
        <v/>
      </c>
      <c r="AI329">
        <f t="shared" si="75"/>
        <v>0</v>
      </c>
      <c r="AL329" t="str">
        <f>IFERROR(VLOOKUP(AK329,tbFactorMes,2,FALSE),"")</f>
        <v/>
      </c>
      <c r="AM329">
        <f t="shared" si="76"/>
        <v>0</v>
      </c>
      <c r="AP329" t="str">
        <f>IFERROR(VLOOKUP(AO329,tbFactorMes,2,FALSE),"")</f>
        <v/>
      </c>
      <c r="AQ329">
        <f t="shared" si="77"/>
        <v>0</v>
      </c>
      <c r="AT329" t="str">
        <f>IFERROR(VLOOKUP(AS329,tbFactorMes,2,FALSE),"")</f>
        <v/>
      </c>
      <c r="AU329">
        <f t="shared" si="78"/>
        <v>0</v>
      </c>
      <c r="AX329" t="str">
        <f>IFERROR(VLOOKUP(AW329,tbFactorMes,2,FALSE),"")</f>
        <v/>
      </c>
      <c r="AY329">
        <f t="shared" si="79"/>
        <v>0</v>
      </c>
      <c r="BB329" t="str">
        <f>IFERROR(VLOOKUP(BA329,tbFactorMes,2,FALSE),"")</f>
        <v/>
      </c>
      <c r="BC329">
        <f t="shared" si="80"/>
        <v>0</v>
      </c>
      <c r="BF329" t="str">
        <f>IFERROR(VLOOKUP(BE329,tbFactorMes,2,FALSE),"")</f>
        <v/>
      </c>
      <c r="BG329">
        <f t="shared" si="81"/>
        <v>0</v>
      </c>
      <c r="BH329">
        <f t="shared" si="82"/>
        <v>0</v>
      </c>
      <c r="BI329">
        <f t="shared" si="83"/>
        <v>0</v>
      </c>
    </row>
    <row r="330" spans="11:61" x14ac:dyDescent="0.35">
      <c r="K330" t="str">
        <f>IFERROR(VLOOKUP(F330,tbTurnos,3,FALSE),"")</f>
        <v/>
      </c>
      <c r="N330" t="str">
        <f>IFERROR(VLOOKUP(M330,tbFactorMes,2,FALSE),"")</f>
        <v/>
      </c>
      <c r="O330">
        <f t="shared" si="70"/>
        <v>0</v>
      </c>
      <c r="R330" t="str">
        <f>IFERROR(VLOOKUP(Q330,tbFactorMes,2,FALSE),"")</f>
        <v/>
      </c>
      <c r="S330">
        <f t="shared" si="71"/>
        <v>0</v>
      </c>
      <c r="V330" t="str">
        <f>IFERROR(VLOOKUP(U330,tbFactorMes,2,FALSE),"")</f>
        <v/>
      </c>
      <c r="W330">
        <f t="shared" si="72"/>
        <v>0</v>
      </c>
      <c r="Z330" t="str">
        <f>IFERROR(VLOOKUP(Y330,tbFactorMes,2,FALSE),"")</f>
        <v/>
      </c>
      <c r="AA330">
        <f t="shared" si="73"/>
        <v>0</v>
      </c>
      <c r="AD330" t="str">
        <f>IFERROR(VLOOKUP(AC330,tbFactorMes,2,FALSE),"")</f>
        <v/>
      </c>
      <c r="AE330">
        <f t="shared" si="74"/>
        <v>0</v>
      </c>
      <c r="AH330" t="str">
        <f>IFERROR(VLOOKUP(AG330,tbFactorMes,2,FALSE),"")</f>
        <v/>
      </c>
      <c r="AI330">
        <f t="shared" si="75"/>
        <v>0</v>
      </c>
      <c r="AL330" t="str">
        <f>IFERROR(VLOOKUP(AK330,tbFactorMes,2,FALSE),"")</f>
        <v/>
      </c>
      <c r="AM330">
        <f t="shared" si="76"/>
        <v>0</v>
      </c>
      <c r="AP330" t="str">
        <f>IFERROR(VLOOKUP(AO330,tbFactorMes,2,FALSE),"")</f>
        <v/>
      </c>
      <c r="AQ330">
        <f t="shared" si="77"/>
        <v>0</v>
      </c>
      <c r="AT330" t="str">
        <f>IFERROR(VLOOKUP(AS330,tbFactorMes,2,FALSE),"")</f>
        <v/>
      </c>
      <c r="AU330">
        <f t="shared" si="78"/>
        <v>0</v>
      </c>
      <c r="AX330" t="str">
        <f>IFERROR(VLOOKUP(AW330,tbFactorMes,2,FALSE),"")</f>
        <v/>
      </c>
      <c r="AY330">
        <f t="shared" si="79"/>
        <v>0</v>
      </c>
      <c r="BB330" t="str">
        <f>IFERROR(VLOOKUP(BA330,tbFactorMes,2,FALSE),"")</f>
        <v/>
      </c>
      <c r="BC330">
        <f t="shared" si="80"/>
        <v>0</v>
      </c>
      <c r="BF330" t="str">
        <f>IFERROR(VLOOKUP(BE330,tbFactorMes,2,FALSE),"")</f>
        <v/>
      </c>
      <c r="BG330">
        <f t="shared" si="81"/>
        <v>0</v>
      </c>
      <c r="BH330">
        <f t="shared" si="82"/>
        <v>0</v>
      </c>
      <c r="BI330">
        <f t="shared" si="83"/>
        <v>0</v>
      </c>
    </row>
    <row r="331" spans="11:61" x14ac:dyDescent="0.35">
      <c r="K331" t="str">
        <f>IFERROR(VLOOKUP(F331,tbTurnos,3,FALSE),"")</f>
        <v/>
      </c>
      <c r="N331" t="str">
        <f>IFERROR(VLOOKUP(M331,tbFactorMes,2,FALSE),"")</f>
        <v/>
      </c>
      <c r="O331">
        <f t="shared" si="70"/>
        <v>0</v>
      </c>
      <c r="R331" t="str">
        <f>IFERROR(VLOOKUP(Q331,tbFactorMes,2,FALSE),"")</f>
        <v/>
      </c>
      <c r="S331">
        <f t="shared" si="71"/>
        <v>0</v>
      </c>
      <c r="V331" t="str">
        <f>IFERROR(VLOOKUP(U331,tbFactorMes,2,FALSE),"")</f>
        <v/>
      </c>
      <c r="W331">
        <f t="shared" si="72"/>
        <v>0</v>
      </c>
      <c r="Z331" t="str">
        <f>IFERROR(VLOOKUP(Y331,tbFactorMes,2,FALSE),"")</f>
        <v/>
      </c>
      <c r="AA331">
        <f t="shared" si="73"/>
        <v>0</v>
      </c>
      <c r="AD331" t="str">
        <f>IFERROR(VLOOKUP(AC331,tbFactorMes,2,FALSE),"")</f>
        <v/>
      </c>
      <c r="AE331">
        <f t="shared" si="74"/>
        <v>0</v>
      </c>
      <c r="AH331" t="str">
        <f>IFERROR(VLOOKUP(AG331,tbFactorMes,2,FALSE),"")</f>
        <v/>
      </c>
      <c r="AI331">
        <f t="shared" si="75"/>
        <v>0</v>
      </c>
      <c r="AL331" t="str">
        <f>IFERROR(VLOOKUP(AK331,tbFactorMes,2,FALSE),"")</f>
        <v/>
      </c>
      <c r="AM331">
        <f t="shared" si="76"/>
        <v>0</v>
      </c>
      <c r="AP331" t="str">
        <f>IFERROR(VLOOKUP(AO331,tbFactorMes,2,FALSE),"")</f>
        <v/>
      </c>
      <c r="AQ331">
        <f t="shared" si="77"/>
        <v>0</v>
      </c>
      <c r="AT331" t="str">
        <f>IFERROR(VLOOKUP(AS331,tbFactorMes,2,FALSE),"")</f>
        <v/>
      </c>
      <c r="AU331">
        <f t="shared" si="78"/>
        <v>0</v>
      </c>
      <c r="AX331" t="str">
        <f>IFERROR(VLOOKUP(AW331,tbFactorMes,2,FALSE),"")</f>
        <v/>
      </c>
      <c r="AY331">
        <f t="shared" si="79"/>
        <v>0</v>
      </c>
      <c r="BB331" t="str">
        <f>IFERROR(VLOOKUP(BA331,tbFactorMes,2,FALSE),"")</f>
        <v/>
      </c>
      <c r="BC331">
        <f t="shared" si="80"/>
        <v>0</v>
      </c>
      <c r="BF331" t="str">
        <f>IFERROR(VLOOKUP(BE331,tbFactorMes,2,FALSE),"")</f>
        <v/>
      </c>
      <c r="BG331">
        <f t="shared" si="81"/>
        <v>0</v>
      </c>
      <c r="BH331">
        <f t="shared" si="82"/>
        <v>0</v>
      </c>
      <c r="BI331">
        <f t="shared" si="83"/>
        <v>0</v>
      </c>
    </row>
    <row r="332" spans="11:61" x14ac:dyDescent="0.35">
      <c r="K332" t="str">
        <f>IFERROR(VLOOKUP(F332,tbTurnos,3,FALSE),"")</f>
        <v/>
      </c>
      <c r="N332" t="str">
        <f>IFERROR(VLOOKUP(M332,tbFactorMes,2,FALSE),"")</f>
        <v/>
      </c>
      <c r="O332">
        <f t="shared" si="70"/>
        <v>0</v>
      </c>
      <c r="R332" t="str">
        <f>IFERROR(VLOOKUP(Q332,tbFactorMes,2,FALSE),"")</f>
        <v/>
      </c>
      <c r="S332">
        <f t="shared" si="71"/>
        <v>0</v>
      </c>
      <c r="V332" t="str">
        <f>IFERROR(VLOOKUP(U332,tbFactorMes,2,FALSE),"")</f>
        <v/>
      </c>
      <c r="W332">
        <f t="shared" si="72"/>
        <v>0</v>
      </c>
      <c r="Z332" t="str">
        <f>IFERROR(VLOOKUP(Y332,tbFactorMes,2,FALSE),"")</f>
        <v/>
      </c>
      <c r="AA332">
        <f t="shared" si="73"/>
        <v>0</v>
      </c>
      <c r="AD332" t="str">
        <f>IFERROR(VLOOKUP(AC332,tbFactorMes,2,FALSE),"")</f>
        <v/>
      </c>
      <c r="AE332">
        <f t="shared" si="74"/>
        <v>0</v>
      </c>
      <c r="AH332" t="str">
        <f>IFERROR(VLOOKUP(AG332,tbFactorMes,2,FALSE),"")</f>
        <v/>
      </c>
      <c r="AI332">
        <f t="shared" si="75"/>
        <v>0</v>
      </c>
      <c r="AL332" t="str">
        <f>IFERROR(VLOOKUP(AK332,tbFactorMes,2,FALSE),"")</f>
        <v/>
      </c>
      <c r="AM332">
        <f t="shared" si="76"/>
        <v>0</v>
      </c>
      <c r="AP332" t="str">
        <f>IFERROR(VLOOKUP(AO332,tbFactorMes,2,FALSE),"")</f>
        <v/>
      </c>
      <c r="AQ332">
        <f t="shared" si="77"/>
        <v>0</v>
      </c>
      <c r="AT332" t="str">
        <f>IFERROR(VLOOKUP(AS332,tbFactorMes,2,FALSE),"")</f>
        <v/>
      </c>
      <c r="AU332">
        <f t="shared" si="78"/>
        <v>0</v>
      </c>
      <c r="AX332" t="str">
        <f>IFERROR(VLOOKUP(AW332,tbFactorMes,2,FALSE),"")</f>
        <v/>
      </c>
      <c r="AY332">
        <f t="shared" si="79"/>
        <v>0</v>
      </c>
      <c r="BB332" t="str">
        <f>IFERROR(VLOOKUP(BA332,tbFactorMes,2,FALSE),"")</f>
        <v/>
      </c>
      <c r="BC332">
        <f t="shared" si="80"/>
        <v>0</v>
      </c>
      <c r="BF332" t="str">
        <f>IFERROR(VLOOKUP(BE332,tbFactorMes,2,FALSE),"")</f>
        <v/>
      </c>
      <c r="BG332">
        <f t="shared" si="81"/>
        <v>0</v>
      </c>
      <c r="BH332">
        <f t="shared" si="82"/>
        <v>0</v>
      </c>
      <c r="BI332">
        <f t="shared" si="83"/>
        <v>0</v>
      </c>
    </row>
    <row r="333" spans="11:61" x14ac:dyDescent="0.35">
      <c r="K333" t="str">
        <f>IFERROR(VLOOKUP(F333,tbTurnos,3,FALSE),"")</f>
        <v/>
      </c>
      <c r="N333" t="str">
        <f>IFERROR(VLOOKUP(M333,tbFactorMes,2,FALSE),"")</f>
        <v/>
      </c>
      <c r="O333">
        <f t="shared" si="70"/>
        <v>0</v>
      </c>
      <c r="R333" t="str">
        <f>IFERROR(VLOOKUP(Q333,tbFactorMes,2,FALSE),"")</f>
        <v/>
      </c>
      <c r="S333">
        <f t="shared" si="71"/>
        <v>0</v>
      </c>
      <c r="V333" t="str">
        <f>IFERROR(VLOOKUP(U333,tbFactorMes,2,FALSE),"")</f>
        <v/>
      </c>
      <c r="W333">
        <f t="shared" si="72"/>
        <v>0</v>
      </c>
      <c r="Z333" t="str">
        <f>IFERROR(VLOOKUP(Y333,tbFactorMes,2,FALSE),"")</f>
        <v/>
      </c>
      <c r="AA333">
        <f t="shared" si="73"/>
        <v>0</v>
      </c>
      <c r="AD333" t="str">
        <f>IFERROR(VLOOKUP(AC333,tbFactorMes,2,FALSE),"")</f>
        <v/>
      </c>
      <c r="AE333">
        <f t="shared" si="74"/>
        <v>0</v>
      </c>
      <c r="AH333" t="str">
        <f>IFERROR(VLOOKUP(AG333,tbFactorMes,2,FALSE),"")</f>
        <v/>
      </c>
      <c r="AI333">
        <f t="shared" si="75"/>
        <v>0</v>
      </c>
      <c r="AL333" t="str">
        <f>IFERROR(VLOOKUP(AK333,tbFactorMes,2,FALSE),"")</f>
        <v/>
      </c>
      <c r="AM333">
        <f t="shared" si="76"/>
        <v>0</v>
      </c>
      <c r="AP333" t="str">
        <f>IFERROR(VLOOKUP(AO333,tbFactorMes,2,FALSE),"")</f>
        <v/>
      </c>
      <c r="AQ333">
        <f t="shared" si="77"/>
        <v>0</v>
      </c>
      <c r="AT333" t="str">
        <f>IFERROR(VLOOKUP(AS333,tbFactorMes,2,FALSE),"")</f>
        <v/>
      </c>
      <c r="AU333">
        <f t="shared" si="78"/>
        <v>0</v>
      </c>
      <c r="AX333" t="str">
        <f>IFERROR(VLOOKUP(AW333,tbFactorMes,2,FALSE),"")</f>
        <v/>
      </c>
      <c r="AY333">
        <f t="shared" si="79"/>
        <v>0</v>
      </c>
      <c r="BB333" t="str">
        <f>IFERROR(VLOOKUP(BA333,tbFactorMes,2,FALSE),"")</f>
        <v/>
      </c>
      <c r="BC333">
        <f t="shared" si="80"/>
        <v>0</v>
      </c>
      <c r="BF333" t="str">
        <f>IFERROR(VLOOKUP(BE333,tbFactorMes,2,FALSE),"")</f>
        <v/>
      </c>
      <c r="BG333">
        <f t="shared" si="81"/>
        <v>0</v>
      </c>
      <c r="BH333">
        <f t="shared" si="82"/>
        <v>0</v>
      </c>
      <c r="BI333">
        <f t="shared" si="83"/>
        <v>0</v>
      </c>
    </row>
    <row r="334" spans="11:61" x14ac:dyDescent="0.35">
      <c r="K334" t="str">
        <f>IFERROR(VLOOKUP(F334,tbTurnos,3,FALSE),"")</f>
        <v/>
      </c>
      <c r="N334" t="str">
        <f>IFERROR(VLOOKUP(M334,tbFactorMes,2,FALSE),"")</f>
        <v/>
      </c>
      <c r="O334">
        <f t="shared" si="70"/>
        <v>0</v>
      </c>
      <c r="R334" t="str">
        <f>IFERROR(VLOOKUP(Q334,tbFactorMes,2,FALSE),"")</f>
        <v/>
      </c>
      <c r="S334">
        <f t="shared" si="71"/>
        <v>0</v>
      </c>
      <c r="V334" t="str">
        <f>IFERROR(VLOOKUP(U334,tbFactorMes,2,FALSE),"")</f>
        <v/>
      </c>
      <c r="W334">
        <f t="shared" si="72"/>
        <v>0</v>
      </c>
      <c r="Z334" t="str">
        <f>IFERROR(VLOOKUP(Y334,tbFactorMes,2,FALSE),"")</f>
        <v/>
      </c>
      <c r="AA334">
        <f t="shared" si="73"/>
        <v>0</v>
      </c>
      <c r="AD334" t="str">
        <f>IFERROR(VLOOKUP(AC334,tbFactorMes,2,FALSE),"")</f>
        <v/>
      </c>
      <c r="AE334">
        <f t="shared" si="74"/>
        <v>0</v>
      </c>
      <c r="AH334" t="str">
        <f>IFERROR(VLOOKUP(AG334,tbFactorMes,2,FALSE),"")</f>
        <v/>
      </c>
      <c r="AI334">
        <f t="shared" si="75"/>
        <v>0</v>
      </c>
      <c r="AL334" t="str">
        <f>IFERROR(VLOOKUP(AK334,tbFactorMes,2,FALSE),"")</f>
        <v/>
      </c>
      <c r="AM334">
        <f t="shared" si="76"/>
        <v>0</v>
      </c>
      <c r="AP334" t="str">
        <f>IFERROR(VLOOKUP(AO334,tbFactorMes,2,FALSE),"")</f>
        <v/>
      </c>
      <c r="AQ334">
        <f t="shared" si="77"/>
        <v>0</v>
      </c>
      <c r="AT334" t="str">
        <f>IFERROR(VLOOKUP(AS334,tbFactorMes,2,FALSE),"")</f>
        <v/>
      </c>
      <c r="AU334">
        <f t="shared" si="78"/>
        <v>0</v>
      </c>
      <c r="AX334" t="str">
        <f>IFERROR(VLOOKUP(AW334,tbFactorMes,2,FALSE),"")</f>
        <v/>
      </c>
      <c r="AY334">
        <f t="shared" si="79"/>
        <v>0</v>
      </c>
      <c r="BB334" t="str">
        <f>IFERROR(VLOOKUP(BA334,tbFactorMes,2,FALSE),"")</f>
        <v/>
      </c>
      <c r="BC334">
        <f t="shared" si="80"/>
        <v>0</v>
      </c>
      <c r="BF334" t="str">
        <f>IFERROR(VLOOKUP(BE334,tbFactorMes,2,FALSE),"")</f>
        <v/>
      </c>
      <c r="BG334">
        <f t="shared" si="81"/>
        <v>0</v>
      </c>
      <c r="BH334">
        <f t="shared" si="82"/>
        <v>0</v>
      </c>
      <c r="BI334">
        <f t="shared" si="83"/>
        <v>0</v>
      </c>
    </row>
    <row r="335" spans="11:61" x14ac:dyDescent="0.35">
      <c r="K335" t="str">
        <f>IFERROR(VLOOKUP(F335,tbTurnos,3,FALSE),"")</f>
        <v/>
      </c>
      <c r="N335" t="str">
        <f>IFERROR(VLOOKUP(M335,tbFactorMes,2,FALSE),"")</f>
        <v/>
      </c>
      <c r="O335">
        <f t="shared" si="70"/>
        <v>0</v>
      </c>
      <c r="R335" t="str">
        <f>IFERROR(VLOOKUP(Q335,tbFactorMes,2,FALSE),"")</f>
        <v/>
      </c>
      <c r="S335">
        <f t="shared" si="71"/>
        <v>0</v>
      </c>
      <c r="V335" t="str">
        <f>IFERROR(VLOOKUP(U335,tbFactorMes,2,FALSE),"")</f>
        <v/>
      </c>
      <c r="W335">
        <f t="shared" si="72"/>
        <v>0</v>
      </c>
      <c r="Z335" t="str">
        <f>IFERROR(VLOOKUP(Y335,tbFactorMes,2,FALSE),"")</f>
        <v/>
      </c>
      <c r="AA335">
        <f t="shared" si="73"/>
        <v>0</v>
      </c>
      <c r="AD335" t="str">
        <f>IFERROR(VLOOKUP(AC335,tbFactorMes,2,FALSE),"")</f>
        <v/>
      </c>
      <c r="AE335">
        <f t="shared" si="74"/>
        <v>0</v>
      </c>
      <c r="AH335" t="str">
        <f>IFERROR(VLOOKUP(AG335,tbFactorMes,2,FALSE),"")</f>
        <v/>
      </c>
      <c r="AI335">
        <f t="shared" si="75"/>
        <v>0</v>
      </c>
      <c r="AL335" t="str">
        <f>IFERROR(VLOOKUP(AK335,tbFactorMes,2,FALSE),"")</f>
        <v/>
      </c>
      <c r="AM335">
        <f t="shared" si="76"/>
        <v>0</v>
      </c>
      <c r="AP335" t="str">
        <f>IFERROR(VLOOKUP(AO335,tbFactorMes,2,FALSE),"")</f>
        <v/>
      </c>
      <c r="AQ335">
        <f t="shared" si="77"/>
        <v>0</v>
      </c>
      <c r="AT335" t="str">
        <f>IFERROR(VLOOKUP(AS335,tbFactorMes,2,FALSE),"")</f>
        <v/>
      </c>
      <c r="AU335">
        <f t="shared" si="78"/>
        <v>0</v>
      </c>
      <c r="AX335" t="str">
        <f>IFERROR(VLOOKUP(AW335,tbFactorMes,2,FALSE),"")</f>
        <v/>
      </c>
      <c r="AY335">
        <f t="shared" si="79"/>
        <v>0</v>
      </c>
      <c r="BB335" t="str">
        <f>IFERROR(VLOOKUP(BA335,tbFactorMes,2,FALSE),"")</f>
        <v/>
      </c>
      <c r="BC335">
        <f t="shared" si="80"/>
        <v>0</v>
      </c>
      <c r="BF335" t="str">
        <f>IFERROR(VLOOKUP(BE335,tbFactorMes,2,FALSE),"")</f>
        <v/>
      </c>
      <c r="BG335">
        <f t="shared" si="81"/>
        <v>0</v>
      </c>
      <c r="BH335">
        <f t="shared" si="82"/>
        <v>0</v>
      </c>
      <c r="BI335">
        <f t="shared" si="83"/>
        <v>0</v>
      </c>
    </row>
    <row r="336" spans="11:61" x14ac:dyDescent="0.35">
      <c r="K336" t="str">
        <f>IFERROR(VLOOKUP(F336,tbTurnos,3,FALSE),"")</f>
        <v/>
      </c>
      <c r="N336" t="str">
        <f>IFERROR(VLOOKUP(M336,tbFactorMes,2,FALSE),"")</f>
        <v/>
      </c>
      <c r="O336">
        <f t="shared" si="70"/>
        <v>0</v>
      </c>
      <c r="R336" t="str">
        <f>IFERROR(VLOOKUP(Q336,tbFactorMes,2,FALSE),"")</f>
        <v/>
      </c>
      <c r="S336">
        <f t="shared" si="71"/>
        <v>0</v>
      </c>
      <c r="V336" t="str">
        <f>IFERROR(VLOOKUP(U336,tbFactorMes,2,FALSE),"")</f>
        <v/>
      </c>
      <c r="W336">
        <f t="shared" si="72"/>
        <v>0</v>
      </c>
      <c r="Z336" t="str">
        <f>IFERROR(VLOOKUP(Y336,tbFactorMes,2,FALSE),"")</f>
        <v/>
      </c>
      <c r="AA336">
        <f t="shared" si="73"/>
        <v>0</v>
      </c>
      <c r="AD336" t="str">
        <f>IFERROR(VLOOKUP(AC336,tbFactorMes,2,FALSE),"")</f>
        <v/>
      </c>
      <c r="AE336">
        <f t="shared" si="74"/>
        <v>0</v>
      </c>
      <c r="AH336" t="str">
        <f>IFERROR(VLOOKUP(AG336,tbFactorMes,2,FALSE),"")</f>
        <v/>
      </c>
      <c r="AI336">
        <f t="shared" si="75"/>
        <v>0</v>
      </c>
      <c r="AL336" t="str">
        <f>IFERROR(VLOOKUP(AK336,tbFactorMes,2,FALSE),"")</f>
        <v/>
      </c>
      <c r="AM336">
        <f t="shared" si="76"/>
        <v>0</v>
      </c>
      <c r="AP336" t="str">
        <f>IFERROR(VLOOKUP(AO336,tbFactorMes,2,FALSE),"")</f>
        <v/>
      </c>
      <c r="AQ336">
        <f t="shared" si="77"/>
        <v>0</v>
      </c>
      <c r="AT336" t="str">
        <f>IFERROR(VLOOKUP(AS336,tbFactorMes,2,FALSE),"")</f>
        <v/>
      </c>
      <c r="AU336">
        <f t="shared" si="78"/>
        <v>0</v>
      </c>
      <c r="AX336" t="str">
        <f>IFERROR(VLOOKUP(AW336,tbFactorMes,2,FALSE),"")</f>
        <v/>
      </c>
      <c r="AY336">
        <f t="shared" si="79"/>
        <v>0</v>
      </c>
      <c r="BB336" t="str">
        <f>IFERROR(VLOOKUP(BA336,tbFactorMes,2,FALSE),"")</f>
        <v/>
      </c>
      <c r="BC336">
        <f t="shared" si="80"/>
        <v>0</v>
      </c>
      <c r="BF336" t="str">
        <f>IFERROR(VLOOKUP(BE336,tbFactorMes,2,FALSE),"")</f>
        <v/>
      </c>
      <c r="BG336">
        <f t="shared" si="81"/>
        <v>0</v>
      </c>
      <c r="BH336">
        <f t="shared" si="82"/>
        <v>0</v>
      </c>
      <c r="BI336">
        <f t="shared" si="83"/>
        <v>0</v>
      </c>
    </row>
    <row r="337" spans="11:61" x14ac:dyDescent="0.35">
      <c r="K337" t="str">
        <f>IFERROR(VLOOKUP(F337,tbTurnos,3,FALSE),"")</f>
        <v/>
      </c>
      <c r="N337" t="str">
        <f>IFERROR(VLOOKUP(M337,tbFactorMes,2,FALSE),"")</f>
        <v/>
      </c>
      <c r="O337">
        <f t="shared" si="70"/>
        <v>0</v>
      </c>
      <c r="R337" t="str">
        <f>IFERROR(VLOOKUP(Q337,tbFactorMes,2,FALSE),"")</f>
        <v/>
      </c>
      <c r="S337">
        <f t="shared" si="71"/>
        <v>0</v>
      </c>
      <c r="V337" t="str">
        <f>IFERROR(VLOOKUP(U337,tbFactorMes,2,FALSE),"")</f>
        <v/>
      </c>
      <c r="W337">
        <f t="shared" si="72"/>
        <v>0</v>
      </c>
      <c r="Z337" t="str">
        <f>IFERROR(VLOOKUP(Y337,tbFactorMes,2,FALSE),"")</f>
        <v/>
      </c>
      <c r="AA337">
        <f t="shared" si="73"/>
        <v>0</v>
      </c>
      <c r="AD337" t="str">
        <f>IFERROR(VLOOKUP(AC337,tbFactorMes,2,FALSE),"")</f>
        <v/>
      </c>
      <c r="AE337">
        <f t="shared" si="74"/>
        <v>0</v>
      </c>
      <c r="AH337" t="str">
        <f>IFERROR(VLOOKUP(AG337,tbFactorMes,2,FALSE),"")</f>
        <v/>
      </c>
      <c r="AI337">
        <f t="shared" si="75"/>
        <v>0</v>
      </c>
      <c r="AL337" t="str">
        <f>IFERROR(VLOOKUP(AK337,tbFactorMes,2,FALSE),"")</f>
        <v/>
      </c>
      <c r="AM337">
        <f t="shared" si="76"/>
        <v>0</v>
      </c>
      <c r="AP337" t="str">
        <f>IFERROR(VLOOKUP(AO337,tbFactorMes,2,FALSE),"")</f>
        <v/>
      </c>
      <c r="AQ337">
        <f t="shared" si="77"/>
        <v>0</v>
      </c>
      <c r="AT337" t="str">
        <f>IFERROR(VLOOKUP(AS337,tbFactorMes,2,FALSE),"")</f>
        <v/>
      </c>
      <c r="AU337">
        <f t="shared" si="78"/>
        <v>0</v>
      </c>
      <c r="AX337" t="str">
        <f>IFERROR(VLOOKUP(AW337,tbFactorMes,2,FALSE),"")</f>
        <v/>
      </c>
      <c r="AY337">
        <f t="shared" si="79"/>
        <v>0</v>
      </c>
      <c r="BB337" t="str">
        <f>IFERROR(VLOOKUP(BA337,tbFactorMes,2,FALSE),"")</f>
        <v/>
      </c>
      <c r="BC337">
        <f t="shared" si="80"/>
        <v>0</v>
      </c>
      <c r="BF337" t="str">
        <f>IFERROR(VLOOKUP(BE337,tbFactorMes,2,FALSE),"")</f>
        <v/>
      </c>
      <c r="BG337">
        <f t="shared" si="81"/>
        <v>0</v>
      </c>
      <c r="BH337">
        <f t="shared" si="82"/>
        <v>0</v>
      </c>
      <c r="BI337">
        <f t="shared" si="83"/>
        <v>0</v>
      </c>
    </row>
    <row r="338" spans="11:61" x14ac:dyDescent="0.35">
      <c r="K338" t="str">
        <f>IFERROR(VLOOKUP(F338,tbTurnos,3,FALSE),"")</f>
        <v/>
      </c>
      <c r="N338" t="str">
        <f>IFERROR(VLOOKUP(M338,tbFactorMes,2,FALSE),"")</f>
        <v/>
      </c>
      <c r="O338">
        <f t="shared" si="70"/>
        <v>0</v>
      </c>
      <c r="R338" t="str">
        <f>IFERROR(VLOOKUP(Q338,tbFactorMes,2,FALSE),"")</f>
        <v/>
      </c>
      <c r="S338">
        <f t="shared" si="71"/>
        <v>0</v>
      </c>
      <c r="V338" t="str">
        <f>IFERROR(VLOOKUP(U338,tbFactorMes,2,FALSE),"")</f>
        <v/>
      </c>
      <c r="W338">
        <f t="shared" si="72"/>
        <v>0</v>
      </c>
      <c r="Z338" t="str">
        <f>IFERROR(VLOOKUP(Y338,tbFactorMes,2,FALSE),"")</f>
        <v/>
      </c>
      <c r="AA338">
        <f t="shared" si="73"/>
        <v>0</v>
      </c>
      <c r="AD338" t="str">
        <f>IFERROR(VLOOKUP(AC338,tbFactorMes,2,FALSE),"")</f>
        <v/>
      </c>
      <c r="AE338">
        <f t="shared" si="74"/>
        <v>0</v>
      </c>
      <c r="AH338" t="str">
        <f>IFERROR(VLOOKUP(AG338,tbFactorMes,2,FALSE),"")</f>
        <v/>
      </c>
      <c r="AI338">
        <f t="shared" si="75"/>
        <v>0</v>
      </c>
      <c r="AL338" t="str">
        <f>IFERROR(VLOOKUP(AK338,tbFactorMes,2,FALSE),"")</f>
        <v/>
      </c>
      <c r="AM338">
        <f t="shared" si="76"/>
        <v>0</v>
      </c>
      <c r="AP338" t="str">
        <f>IFERROR(VLOOKUP(AO338,tbFactorMes,2,FALSE),"")</f>
        <v/>
      </c>
      <c r="AQ338">
        <f t="shared" si="77"/>
        <v>0</v>
      </c>
      <c r="AT338" t="str">
        <f>IFERROR(VLOOKUP(AS338,tbFactorMes,2,FALSE),"")</f>
        <v/>
      </c>
      <c r="AU338">
        <f t="shared" si="78"/>
        <v>0</v>
      </c>
      <c r="AX338" t="str">
        <f>IFERROR(VLOOKUP(AW338,tbFactorMes,2,FALSE),"")</f>
        <v/>
      </c>
      <c r="AY338">
        <f t="shared" si="79"/>
        <v>0</v>
      </c>
      <c r="BB338" t="str">
        <f>IFERROR(VLOOKUP(BA338,tbFactorMes,2,FALSE),"")</f>
        <v/>
      </c>
      <c r="BC338">
        <f t="shared" si="80"/>
        <v>0</v>
      </c>
      <c r="BF338" t="str">
        <f>IFERROR(VLOOKUP(BE338,tbFactorMes,2,FALSE),"")</f>
        <v/>
      </c>
      <c r="BG338">
        <f t="shared" si="81"/>
        <v>0</v>
      </c>
      <c r="BH338">
        <f t="shared" si="82"/>
        <v>0</v>
      </c>
      <c r="BI338">
        <f t="shared" si="83"/>
        <v>0</v>
      </c>
    </row>
    <row r="339" spans="11:61" x14ac:dyDescent="0.35">
      <c r="K339" t="str">
        <f>IFERROR(VLOOKUP(F339,tbTurnos,3,FALSE),"")</f>
        <v/>
      </c>
      <c r="N339" t="str">
        <f>IFERROR(VLOOKUP(M339,tbFactorMes,2,FALSE),"")</f>
        <v/>
      </c>
      <c r="O339">
        <f t="shared" si="70"/>
        <v>0</v>
      </c>
      <c r="R339" t="str">
        <f>IFERROR(VLOOKUP(Q339,tbFactorMes,2,FALSE),"")</f>
        <v/>
      </c>
      <c r="S339">
        <f t="shared" si="71"/>
        <v>0</v>
      </c>
      <c r="V339" t="str">
        <f>IFERROR(VLOOKUP(U339,tbFactorMes,2,FALSE),"")</f>
        <v/>
      </c>
      <c r="W339">
        <f t="shared" si="72"/>
        <v>0</v>
      </c>
      <c r="Z339" t="str">
        <f>IFERROR(VLOOKUP(Y339,tbFactorMes,2,FALSE),"")</f>
        <v/>
      </c>
      <c r="AA339">
        <f t="shared" si="73"/>
        <v>0</v>
      </c>
      <c r="AD339" t="str">
        <f>IFERROR(VLOOKUP(AC339,tbFactorMes,2,FALSE),"")</f>
        <v/>
      </c>
      <c r="AE339">
        <f t="shared" si="74"/>
        <v>0</v>
      </c>
      <c r="AH339" t="str">
        <f>IFERROR(VLOOKUP(AG339,tbFactorMes,2,FALSE),"")</f>
        <v/>
      </c>
      <c r="AI339">
        <f t="shared" si="75"/>
        <v>0</v>
      </c>
      <c r="AL339" t="str">
        <f>IFERROR(VLOOKUP(AK339,tbFactorMes,2,FALSE),"")</f>
        <v/>
      </c>
      <c r="AM339">
        <f t="shared" si="76"/>
        <v>0</v>
      </c>
      <c r="AP339" t="str">
        <f>IFERROR(VLOOKUP(AO339,tbFactorMes,2,FALSE),"")</f>
        <v/>
      </c>
      <c r="AQ339">
        <f t="shared" si="77"/>
        <v>0</v>
      </c>
      <c r="AT339" t="str">
        <f>IFERROR(VLOOKUP(AS339,tbFactorMes,2,FALSE),"")</f>
        <v/>
      </c>
      <c r="AU339">
        <f t="shared" si="78"/>
        <v>0</v>
      </c>
      <c r="AX339" t="str">
        <f>IFERROR(VLOOKUP(AW339,tbFactorMes,2,FALSE),"")</f>
        <v/>
      </c>
      <c r="AY339">
        <f t="shared" si="79"/>
        <v>0</v>
      </c>
      <c r="BB339" t="str">
        <f>IFERROR(VLOOKUP(BA339,tbFactorMes,2,FALSE),"")</f>
        <v/>
      </c>
      <c r="BC339">
        <f t="shared" si="80"/>
        <v>0</v>
      </c>
      <c r="BF339" t="str">
        <f>IFERROR(VLOOKUP(BE339,tbFactorMes,2,FALSE),"")</f>
        <v/>
      </c>
      <c r="BG339">
        <f t="shared" si="81"/>
        <v>0</v>
      </c>
      <c r="BH339">
        <f t="shared" si="82"/>
        <v>0</v>
      </c>
      <c r="BI339">
        <f t="shared" si="83"/>
        <v>0</v>
      </c>
    </row>
    <row r="340" spans="11:61" x14ac:dyDescent="0.35">
      <c r="K340" t="str">
        <f>IFERROR(VLOOKUP(F340,tbTurnos,3,FALSE),"")</f>
        <v/>
      </c>
      <c r="N340" t="str">
        <f>IFERROR(VLOOKUP(M340,tbFactorMes,2,FALSE),"")</f>
        <v/>
      </c>
      <c r="O340">
        <f t="shared" si="70"/>
        <v>0</v>
      </c>
      <c r="R340" t="str">
        <f>IFERROR(VLOOKUP(Q340,tbFactorMes,2,FALSE),"")</f>
        <v/>
      </c>
      <c r="S340">
        <f t="shared" si="71"/>
        <v>0</v>
      </c>
      <c r="V340" t="str">
        <f>IFERROR(VLOOKUP(U340,tbFactorMes,2,FALSE),"")</f>
        <v/>
      </c>
      <c r="W340">
        <f t="shared" si="72"/>
        <v>0</v>
      </c>
      <c r="Z340" t="str">
        <f>IFERROR(VLOOKUP(Y340,tbFactorMes,2,FALSE),"")</f>
        <v/>
      </c>
      <c r="AA340">
        <f t="shared" si="73"/>
        <v>0</v>
      </c>
      <c r="AD340" t="str">
        <f>IFERROR(VLOOKUP(AC340,tbFactorMes,2,FALSE),"")</f>
        <v/>
      </c>
      <c r="AE340">
        <f t="shared" si="74"/>
        <v>0</v>
      </c>
      <c r="AH340" t="str">
        <f>IFERROR(VLOOKUP(AG340,tbFactorMes,2,FALSE),"")</f>
        <v/>
      </c>
      <c r="AI340">
        <f t="shared" si="75"/>
        <v>0</v>
      </c>
      <c r="AL340" t="str">
        <f>IFERROR(VLOOKUP(AK340,tbFactorMes,2,FALSE),"")</f>
        <v/>
      </c>
      <c r="AM340">
        <f t="shared" si="76"/>
        <v>0</v>
      </c>
      <c r="AP340" t="str">
        <f>IFERROR(VLOOKUP(AO340,tbFactorMes,2,FALSE),"")</f>
        <v/>
      </c>
      <c r="AQ340">
        <f t="shared" si="77"/>
        <v>0</v>
      </c>
      <c r="AT340" t="str">
        <f>IFERROR(VLOOKUP(AS340,tbFactorMes,2,FALSE),"")</f>
        <v/>
      </c>
      <c r="AU340">
        <f t="shared" si="78"/>
        <v>0</v>
      </c>
      <c r="AX340" t="str">
        <f>IFERROR(VLOOKUP(AW340,tbFactorMes,2,FALSE),"")</f>
        <v/>
      </c>
      <c r="AY340">
        <f t="shared" si="79"/>
        <v>0</v>
      </c>
      <c r="BB340" t="str">
        <f>IFERROR(VLOOKUP(BA340,tbFactorMes,2,FALSE),"")</f>
        <v/>
      </c>
      <c r="BC340">
        <f t="shared" si="80"/>
        <v>0</v>
      </c>
      <c r="BF340" t="str">
        <f>IFERROR(VLOOKUP(BE340,tbFactorMes,2,FALSE),"")</f>
        <v/>
      </c>
      <c r="BG340">
        <f t="shared" si="81"/>
        <v>0</v>
      </c>
      <c r="BH340">
        <f t="shared" si="82"/>
        <v>0</v>
      </c>
      <c r="BI340">
        <f t="shared" si="83"/>
        <v>0</v>
      </c>
    </row>
    <row r="341" spans="11:61" x14ac:dyDescent="0.35">
      <c r="K341" t="str">
        <f>IFERROR(VLOOKUP(F341,tbTurnos,3,FALSE),"")</f>
        <v/>
      </c>
      <c r="N341" t="str">
        <f>IFERROR(VLOOKUP(M341,tbFactorMes,2,FALSE),"")</f>
        <v/>
      </c>
      <c r="O341">
        <f t="shared" si="70"/>
        <v>0</v>
      </c>
      <c r="R341" t="str">
        <f>IFERROR(VLOOKUP(Q341,tbFactorMes,2,FALSE),"")</f>
        <v/>
      </c>
      <c r="S341">
        <f t="shared" si="71"/>
        <v>0</v>
      </c>
      <c r="V341" t="str">
        <f>IFERROR(VLOOKUP(U341,tbFactorMes,2,FALSE),"")</f>
        <v/>
      </c>
      <c r="W341">
        <f t="shared" si="72"/>
        <v>0</v>
      </c>
      <c r="Z341" t="str">
        <f>IFERROR(VLOOKUP(Y341,tbFactorMes,2,FALSE),"")</f>
        <v/>
      </c>
      <c r="AA341">
        <f t="shared" si="73"/>
        <v>0</v>
      </c>
      <c r="AD341" t="str">
        <f>IFERROR(VLOOKUP(AC341,tbFactorMes,2,FALSE),"")</f>
        <v/>
      </c>
      <c r="AE341">
        <f t="shared" si="74"/>
        <v>0</v>
      </c>
      <c r="AH341" t="str">
        <f>IFERROR(VLOOKUP(AG341,tbFactorMes,2,FALSE),"")</f>
        <v/>
      </c>
      <c r="AI341">
        <f t="shared" si="75"/>
        <v>0</v>
      </c>
      <c r="AL341" t="str">
        <f>IFERROR(VLOOKUP(AK341,tbFactorMes,2,FALSE),"")</f>
        <v/>
      </c>
      <c r="AM341">
        <f t="shared" si="76"/>
        <v>0</v>
      </c>
      <c r="AP341" t="str">
        <f>IFERROR(VLOOKUP(AO341,tbFactorMes,2,FALSE),"")</f>
        <v/>
      </c>
      <c r="AQ341">
        <f t="shared" si="77"/>
        <v>0</v>
      </c>
      <c r="AT341" t="str">
        <f>IFERROR(VLOOKUP(AS341,tbFactorMes,2,FALSE),"")</f>
        <v/>
      </c>
      <c r="AU341">
        <f t="shared" si="78"/>
        <v>0</v>
      </c>
      <c r="AX341" t="str">
        <f>IFERROR(VLOOKUP(AW341,tbFactorMes,2,FALSE),"")</f>
        <v/>
      </c>
      <c r="AY341">
        <f t="shared" si="79"/>
        <v>0</v>
      </c>
      <c r="BB341" t="str">
        <f>IFERROR(VLOOKUP(BA341,tbFactorMes,2,FALSE),"")</f>
        <v/>
      </c>
      <c r="BC341">
        <f t="shared" si="80"/>
        <v>0</v>
      </c>
      <c r="BF341" t="str">
        <f>IFERROR(VLOOKUP(BE341,tbFactorMes,2,FALSE),"")</f>
        <v/>
      </c>
      <c r="BG341">
        <f t="shared" si="81"/>
        <v>0</v>
      </c>
      <c r="BH341">
        <f t="shared" si="82"/>
        <v>0</v>
      </c>
      <c r="BI341">
        <f t="shared" si="83"/>
        <v>0</v>
      </c>
    </row>
    <row r="342" spans="11:61" x14ac:dyDescent="0.35">
      <c r="K342" t="str">
        <f>IFERROR(VLOOKUP(F342,tbTurnos,3,FALSE),"")</f>
        <v/>
      </c>
      <c r="N342" t="str">
        <f>IFERROR(VLOOKUP(M342,tbFactorMes,2,FALSE),"")</f>
        <v/>
      </c>
      <c r="O342">
        <f t="shared" si="70"/>
        <v>0</v>
      </c>
      <c r="R342" t="str">
        <f>IFERROR(VLOOKUP(Q342,tbFactorMes,2,FALSE),"")</f>
        <v/>
      </c>
      <c r="S342">
        <f t="shared" si="71"/>
        <v>0</v>
      </c>
      <c r="V342" t="str">
        <f>IFERROR(VLOOKUP(U342,tbFactorMes,2,FALSE),"")</f>
        <v/>
      </c>
      <c r="W342">
        <f t="shared" si="72"/>
        <v>0</v>
      </c>
      <c r="Z342" t="str">
        <f>IFERROR(VLOOKUP(Y342,tbFactorMes,2,FALSE),"")</f>
        <v/>
      </c>
      <c r="AA342">
        <f t="shared" si="73"/>
        <v>0</v>
      </c>
      <c r="AD342" t="str">
        <f>IFERROR(VLOOKUP(AC342,tbFactorMes,2,FALSE),"")</f>
        <v/>
      </c>
      <c r="AE342">
        <f t="shared" si="74"/>
        <v>0</v>
      </c>
      <c r="AH342" t="str">
        <f>IFERROR(VLOOKUP(AG342,tbFactorMes,2,FALSE),"")</f>
        <v/>
      </c>
      <c r="AI342">
        <f t="shared" si="75"/>
        <v>0</v>
      </c>
      <c r="AL342" t="str">
        <f>IFERROR(VLOOKUP(AK342,tbFactorMes,2,FALSE),"")</f>
        <v/>
      </c>
      <c r="AM342">
        <f t="shared" si="76"/>
        <v>0</v>
      </c>
      <c r="AP342" t="str">
        <f>IFERROR(VLOOKUP(AO342,tbFactorMes,2,FALSE),"")</f>
        <v/>
      </c>
      <c r="AQ342">
        <f t="shared" si="77"/>
        <v>0</v>
      </c>
      <c r="AT342" t="str">
        <f>IFERROR(VLOOKUP(AS342,tbFactorMes,2,FALSE),"")</f>
        <v/>
      </c>
      <c r="AU342">
        <f t="shared" si="78"/>
        <v>0</v>
      </c>
      <c r="AX342" t="str">
        <f>IFERROR(VLOOKUP(AW342,tbFactorMes,2,FALSE),"")</f>
        <v/>
      </c>
      <c r="AY342">
        <f t="shared" si="79"/>
        <v>0</v>
      </c>
      <c r="BB342" t="str">
        <f>IFERROR(VLOOKUP(BA342,tbFactorMes,2,FALSE),"")</f>
        <v/>
      </c>
      <c r="BC342">
        <f t="shared" si="80"/>
        <v>0</v>
      </c>
      <c r="BF342" t="str">
        <f>IFERROR(VLOOKUP(BE342,tbFactorMes,2,FALSE),"")</f>
        <v/>
      </c>
      <c r="BG342">
        <f t="shared" si="81"/>
        <v>0</v>
      </c>
      <c r="BH342">
        <f t="shared" si="82"/>
        <v>0</v>
      </c>
      <c r="BI342">
        <f t="shared" si="83"/>
        <v>0</v>
      </c>
    </row>
    <row r="343" spans="11:61" x14ac:dyDescent="0.35">
      <c r="K343" t="str">
        <f>IFERROR(VLOOKUP(F343,tbTurnos,3,FALSE),"")</f>
        <v/>
      </c>
      <c r="N343" t="str">
        <f>IFERROR(VLOOKUP(M343,tbFactorMes,2,FALSE),"")</f>
        <v/>
      </c>
      <c r="O343">
        <f t="shared" si="70"/>
        <v>0</v>
      </c>
      <c r="R343" t="str">
        <f>IFERROR(VLOOKUP(Q343,tbFactorMes,2,FALSE),"")</f>
        <v/>
      </c>
      <c r="S343">
        <f t="shared" si="71"/>
        <v>0</v>
      </c>
      <c r="V343" t="str">
        <f>IFERROR(VLOOKUP(U343,tbFactorMes,2,FALSE),"")</f>
        <v/>
      </c>
      <c r="W343">
        <f t="shared" si="72"/>
        <v>0</v>
      </c>
      <c r="Z343" t="str">
        <f>IFERROR(VLOOKUP(Y343,tbFactorMes,2,FALSE),"")</f>
        <v/>
      </c>
      <c r="AA343">
        <f t="shared" si="73"/>
        <v>0</v>
      </c>
      <c r="AD343" t="str">
        <f>IFERROR(VLOOKUP(AC343,tbFactorMes,2,FALSE),"")</f>
        <v/>
      </c>
      <c r="AE343">
        <f t="shared" si="74"/>
        <v>0</v>
      </c>
      <c r="AH343" t="str">
        <f>IFERROR(VLOOKUP(AG343,tbFactorMes,2,FALSE),"")</f>
        <v/>
      </c>
      <c r="AI343">
        <f t="shared" si="75"/>
        <v>0</v>
      </c>
      <c r="AL343" t="str">
        <f>IFERROR(VLOOKUP(AK343,tbFactorMes,2,FALSE),"")</f>
        <v/>
      </c>
      <c r="AM343">
        <f t="shared" si="76"/>
        <v>0</v>
      </c>
      <c r="AP343" t="str">
        <f>IFERROR(VLOOKUP(AO343,tbFactorMes,2,FALSE),"")</f>
        <v/>
      </c>
      <c r="AQ343">
        <f t="shared" si="77"/>
        <v>0</v>
      </c>
      <c r="AT343" t="str">
        <f>IFERROR(VLOOKUP(AS343,tbFactorMes,2,FALSE),"")</f>
        <v/>
      </c>
      <c r="AU343">
        <f t="shared" si="78"/>
        <v>0</v>
      </c>
      <c r="AX343" t="str">
        <f>IFERROR(VLOOKUP(AW343,tbFactorMes,2,FALSE),"")</f>
        <v/>
      </c>
      <c r="AY343">
        <f t="shared" si="79"/>
        <v>0</v>
      </c>
      <c r="BB343" t="str">
        <f>IFERROR(VLOOKUP(BA343,tbFactorMes,2,FALSE),"")</f>
        <v/>
      </c>
      <c r="BC343">
        <f t="shared" si="80"/>
        <v>0</v>
      </c>
      <c r="BF343" t="str">
        <f>IFERROR(VLOOKUP(BE343,tbFactorMes,2,FALSE),"")</f>
        <v/>
      </c>
      <c r="BG343">
        <f t="shared" si="81"/>
        <v>0</v>
      </c>
      <c r="BH343">
        <f t="shared" si="82"/>
        <v>0</v>
      </c>
      <c r="BI343">
        <f t="shared" si="83"/>
        <v>0</v>
      </c>
    </row>
    <row r="344" spans="11:61" x14ac:dyDescent="0.35">
      <c r="K344" t="str">
        <f>IFERROR(VLOOKUP(F344,tbTurnos,3,FALSE),"")</f>
        <v/>
      </c>
      <c r="N344" t="str">
        <f>IFERROR(VLOOKUP(M344,tbFactorMes,2,FALSE),"")</f>
        <v/>
      </c>
      <c r="O344">
        <f t="shared" si="70"/>
        <v>0</v>
      </c>
      <c r="R344" t="str">
        <f>IFERROR(VLOOKUP(Q344,tbFactorMes,2,FALSE),"")</f>
        <v/>
      </c>
      <c r="S344">
        <f t="shared" si="71"/>
        <v>0</v>
      </c>
      <c r="V344" t="str">
        <f>IFERROR(VLOOKUP(U344,tbFactorMes,2,FALSE),"")</f>
        <v/>
      </c>
      <c r="W344">
        <f t="shared" si="72"/>
        <v>0</v>
      </c>
      <c r="Z344" t="str">
        <f>IFERROR(VLOOKUP(Y344,tbFactorMes,2,FALSE),"")</f>
        <v/>
      </c>
      <c r="AA344">
        <f t="shared" si="73"/>
        <v>0</v>
      </c>
      <c r="AD344" t="str">
        <f>IFERROR(VLOOKUP(AC344,tbFactorMes,2,FALSE),"")</f>
        <v/>
      </c>
      <c r="AE344">
        <f t="shared" si="74"/>
        <v>0</v>
      </c>
      <c r="AH344" t="str">
        <f>IFERROR(VLOOKUP(AG344,tbFactorMes,2,FALSE),"")</f>
        <v/>
      </c>
      <c r="AI344">
        <f t="shared" si="75"/>
        <v>0</v>
      </c>
      <c r="AL344" t="str">
        <f>IFERROR(VLOOKUP(AK344,tbFactorMes,2,FALSE),"")</f>
        <v/>
      </c>
      <c r="AM344">
        <f t="shared" si="76"/>
        <v>0</v>
      </c>
      <c r="AP344" t="str">
        <f>IFERROR(VLOOKUP(AO344,tbFactorMes,2,FALSE),"")</f>
        <v/>
      </c>
      <c r="AQ344">
        <f t="shared" si="77"/>
        <v>0</v>
      </c>
      <c r="AT344" t="str">
        <f>IFERROR(VLOOKUP(AS344,tbFactorMes,2,FALSE),"")</f>
        <v/>
      </c>
      <c r="AU344">
        <f t="shared" si="78"/>
        <v>0</v>
      </c>
      <c r="AX344" t="str">
        <f>IFERROR(VLOOKUP(AW344,tbFactorMes,2,FALSE),"")</f>
        <v/>
      </c>
      <c r="AY344">
        <f t="shared" si="79"/>
        <v>0</v>
      </c>
      <c r="BB344" t="str">
        <f>IFERROR(VLOOKUP(BA344,tbFactorMes,2,FALSE),"")</f>
        <v/>
      </c>
      <c r="BC344">
        <f t="shared" si="80"/>
        <v>0</v>
      </c>
      <c r="BF344" t="str">
        <f>IFERROR(VLOOKUP(BE344,tbFactorMes,2,FALSE),"")</f>
        <v/>
      </c>
      <c r="BG344">
        <f t="shared" si="81"/>
        <v>0</v>
      </c>
      <c r="BH344">
        <f t="shared" si="82"/>
        <v>0</v>
      </c>
      <c r="BI344">
        <f t="shared" si="83"/>
        <v>0</v>
      </c>
    </row>
    <row r="345" spans="11:61" x14ac:dyDescent="0.35">
      <c r="K345" t="str">
        <f>IFERROR(VLOOKUP(F345,tbTurnos,3,FALSE),"")</f>
        <v/>
      </c>
      <c r="N345" t="str">
        <f>IFERROR(VLOOKUP(M345,tbFactorMes,2,FALSE),"")</f>
        <v/>
      </c>
      <c r="O345">
        <f t="shared" si="70"/>
        <v>0</v>
      </c>
      <c r="R345" t="str">
        <f>IFERROR(VLOOKUP(Q345,tbFactorMes,2,FALSE),"")</f>
        <v/>
      </c>
      <c r="S345">
        <f t="shared" si="71"/>
        <v>0</v>
      </c>
      <c r="V345" t="str">
        <f>IFERROR(VLOOKUP(U345,tbFactorMes,2,FALSE),"")</f>
        <v/>
      </c>
      <c r="W345">
        <f t="shared" si="72"/>
        <v>0</v>
      </c>
      <c r="Z345" t="str">
        <f>IFERROR(VLOOKUP(Y345,tbFactorMes,2,FALSE),"")</f>
        <v/>
      </c>
      <c r="AA345">
        <f t="shared" si="73"/>
        <v>0</v>
      </c>
      <c r="AD345" t="str">
        <f>IFERROR(VLOOKUP(AC345,tbFactorMes,2,FALSE),"")</f>
        <v/>
      </c>
      <c r="AE345">
        <f t="shared" si="74"/>
        <v>0</v>
      </c>
      <c r="AH345" t="str">
        <f>IFERROR(VLOOKUP(AG345,tbFactorMes,2,FALSE),"")</f>
        <v/>
      </c>
      <c r="AI345">
        <f t="shared" si="75"/>
        <v>0</v>
      </c>
      <c r="AL345" t="str">
        <f>IFERROR(VLOOKUP(AK345,tbFactorMes,2,FALSE),"")</f>
        <v/>
      </c>
      <c r="AM345">
        <f t="shared" si="76"/>
        <v>0</v>
      </c>
      <c r="AP345" t="str">
        <f>IFERROR(VLOOKUP(AO345,tbFactorMes,2,FALSE),"")</f>
        <v/>
      </c>
      <c r="AQ345">
        <f t="shared" si="77"/>
        <v>0</v>
      </c>
      <c r="AT345" t="str">
        <f>IFERROR(VLOOKUP(AS345,tbFactorMes,2,FALSE),"")</f>
        <v/>
      </c>
      <c r="AU345">
        <f t="shared" si="78"/>
        <v>0</v>
      </c>
      <c r="AX345" t="str">
        <f>IFERROR(VLOOKUP(AW345,tbFactorMes,2,FALSE),"")</f>
        <v/>
      </c>
      <c r="AY345">
        <f t="shared" si="79"/>
        <v>0</v>
      </c>
      <c r="BB345" t="str">
        <f>IFERROR(VLOOKUP(BA345,tbFactorMes,2,FALSE),"")</f>
        <v/>
      </c>
      <c r="BC345">
        <f t="shared" si="80"/>
        <v>0</v>
      </c>
      <c r="BF345" t="str">
        <f>IFERROR(VLOOKUP(BE345,tbFactorMes,2,FALSE),"")</f>
        <v/>
      </c>
      <c r="BG345">
        <f t="shared" si="81"/>
        <v>0</v>
      </c>
      <c r="BH345">
        <f t="shared" si="82"/>
        <v>0</v>
      </c>
      <c r="BI345">
        <f t="shared" si="83"/>
        <v>0</v>
      </c>
    </row>
    <row r="346" spans="11:61" x14ac:dyDescent="0.35">
      <c r="K346" t="str">
        <f>IFERROR(VLOOKUP(F346,tbTurnos,3,FALSE),"")</f>
        <v/>
      </c>
      <c r="N346" t="str">
        <f>IFERROR(VLOOKUP(M346,tbFactorMes,2,FALSE),"")</f>
        <v/>
      </c>
      <c r="O346">
        <f t="shared" si="70"/>
        <v>0</v>
      </c>
      <c r="R346" t="str">
        <f>IFERROR(VLOOKUP(Q346,tbFactorMes,2,FALSE),"")</f>
        <v/>
      </c>
      <c r="S346">
        <f t="shared" si="71"/>
        <v>0</v>
      </c>
      <c r="V346" t="str">
        <f>IFERROR(VLOOKUP(U346,tbFactorMes,2,FALSE),"")</f>
        <v/>
      </c>
      <c r="W346">
        <f t="shared" si="72"/>
        <v>0</v>
      </c>
      <c r="Z346" t="str">
        <f>IFERROR(VLOOKUP(Y346,tbFactorMes,2,FALSE),"")</f>
        <v/>
      </c>
      <c r="AA346">
        <f t="shared" si="73"/>
        <v>0</v>
      </c>
      <c r="AD346" t="str">
        <f>IFERROR(VLOOKUP(AC346,tbFactorMes,2,FALSE),"")</f>
        <v/>
      </c>
      <c r="AE346">
        <f t="shared" si="74"/>
        <v>0</v>
      </c>
      <c r="AH346" t="str">
        <f>IFERROR(VLOOKUP(AG346,tbFactorMes,2,FALSE),"")</f>
        <v/>
      </c>
      <c r="AI346">
        <f t="shared" si="75"/>
        <v>0</v>
      </c>
      <c r="AL346" t="str">
        <f>IFERROR(VLOOKUP(AK346,tbFactorMes,2,FALSE),"")</f>
        <v/>
      </c>
      <c r="AM346">
        <f t="shared" si="76"/>
        <v>0</v>
      </c>
      <c r="AP346" t="str">
        <f>IFERROR(VLOOKUP(AO346,tbFactorMes,2,FALSE),"")</f>
        <v/>
      </c>
      <c r="AQ346">
        <f t="shared" si="77"/>
        <v>0</v>
      </c>
      <c r="AT346" t="str">
        <f>IFERROR(VLOOKUP(AS346,tbFactorMes,2,FALSE),"")</f>
        <v/>
      </c>
      <c r="AU346">
        <f t="shared" si="78"/>
        <v>0</v>
      </c>
      <c r="AX346" t="str">
        <f>IFERROR(VLOOKUP(AW346,tbFactorMes,2,FALSE),"")</f>
        <v/>
      </c>
      <c r="AY346">
        <f t="shared" si="79"/>
        <v>0</v>
      </c>
      <c r="BB346" t="str">
        <f>IFERROR(VLOOKUP(BA346,tbFactorMes,2,FALSE),"")</f>
        <v/>
      </c>
      <c r="BC346">
        <f t="shared" si="80"/>
        <v>0</v>
      </c>
      <c r="BF346" t="str">
        <f>IFERROR(VLOOKUP(BE346,tbFactorMes,2,FALSE),"")</f>
        <v/>
      </c>
      <c r="BG346">
        <f t="shared" si="81"/>
        <v>0</v>
      </c>
      <c r="BH346">
        <f t="shared" si="82"/>
        <v>0</v>
      </c>
      <c r="BI346">
        <f t="shared" si="83"/>
        <v>0</v>
      </c>
    </row>
    <row r="347" spans="11:61" x14ac:dyDescent="0.35">
      <c r="K347" t="str">
        <f>IFERROR(VLOOKUP(F347,tbTurnos,3,FALSE),"")</f>
        <v/>
      </c>
      <c r="N347" t="str">
        <f>IFERROR(VLOOKUP(M347,tbFactorMes,2,FALSE),"")</f>
        <v/>
      </c>
      <c r="O347">
        <f t="shared" si="70"/>
        <v>0</v>
      </c>
      <c r="R347" t="str">
        <f>IFERROR(VLOOKUP(Q347,tbFactorMes,2,FALSE),"")</f>
        <v/>
      </c>
      <c r="S347">
        <f t="shared" si="71"/>
        <v>0</v>
      </c>
      <c r="V347" t="str">
        <f>IFERROR(VLOOKUP(U347,tbFactorMes,2,FALSE),"")</f>
        <v/>
      </c>
      <c r="W347">
        <f t="shared" si="72"/>
        <v>0</v>
      </c>
      <c r="Z347" t="str">
        <f>IFERROR(VLOOKUP(Y347,tbFactorMes,2,FALSE),"")</f>
        <v/>
      </c>
      <c r="AA347">
        <f t="shared" si="73"/>
        <v>0</v>
      </c>
      <c r="AD347" t="str">
        <f>IFERROR(VLOOKUP(AC347,tbFactorMes,2,FALSE),"")</f>
        <v/>
      </c>
      <c r="AE347">
        <f t="shared" si="74"/>
        <v>0</v>
      </c>
      <c r="AH347" t="str">
        <f>IFERROR(VLOOKUP(AG347,tbFactorMes,2,FALSE),"")</f>
        <v/>
      </c>
      <c r="AI347">
        <f t="shared" si="75"/>
        <v>0</v>
      </c>
      <c r="AL347" t="str">
        <f>IFERROR(VLOOKUP(AK347,tbFactorMes,2,FALSE),"")</f>
        <v/>
      </c>
      <c r="AM347">
        <f t="shared" si="76"/>
        <v>0</v>
      </c>
      <c r="AP347" t="str">
        <f>IFERROR(VLOOKUP(AO347,tbFactorMes,2,FALSE),"")</f>
        <v/>
      </c>
      <c r="AQ347">
        <f t="shared" si="77"/>
        <v>0</v>
      </c>
      <c r="AT347" t="str">
        <f>IFERROR(VLOOKUP(AS347,tbFactorMes,2,FALSE),"")</f>
        <v/>
      </c>
      <c r="AU347">
        <f t="shared" si="78"/>
        <v>0</v>
      </c>
      <c r="AX347" t="str">
        <f>IFERROR(VLOOKUP(AW347,tbFactorMes,2,FALSE),"")</f>
        <v/>
      </c>
      <c r="AY347">
        <f t="shared" si="79"/>
        <v>0</v>
      </c>
      <c r="BB347" t="str">
        <f>IFERROR(VLOOKUP(BA347,tbFactorMes,2,FALSE),"")</f>
        <v/>
      </c>
      <c r="BC347">
        <f t="shared" si="80"/>
        <v>0</v>
      </c>
      <c r="BF347" t="str">
        <f>IFERROR(VLOOKUP(BE347,tbFactorMes,2,FALSE),"")</f>
        <v/>
      </c>
      <c r="BG347">
        <f t="shared" si="81"/>
        <v>0</v>
      </c>
      <c r="BH347">
        <f t="shared" si="82"/>
        <v>0</v>
      </c>
      <c r="BI347">
        <f t="shared" si="83"/>
        <v>0</v>
      </c>
    </row>
    <row r="348" spans="11:61" x14ac:dyDescent="0.35">
      <c r="K348" t="str">
        <f>IFERROR(VLOOKUP(F348,tbTurnos,3,FALSE),"")</f>
        <v/>
      </c>
      <c r="N348" t="str">
        <f>IFERROR(VLOOKUP(M348,tbFactorMes,2,FALSE),"")</f>
        <v/>
      </c>
      <c r="O348">
        <f t="shared" si="70"/>
        <v>0</v>
      </c>
      <c r="R348" t="str">
        <f>IFERROR(VLOOKUP(Q348,tbFactorMes,2,FALSE),"")</f>
        <v/>
      </c>
      <c r="S348">
        <f t="shared" si="71"/>
        <v>0</v>
      </c>
      <c r="V348" t="str">
        <f>IFERROR(VLOOKUP(U348,tbFactorMes,2,FALSE),"")</f>
        <v/>
      </c>
      <c r="W348">
        <f t="shared" si="72"/>
        <v>0</v>
      </c>
      <c r="Z348" t="str">
        <f>IFERROR(VLOOKUP(Y348,tbFactorMes,2,FALSE),"")</f>
        <v/>
      </c>
      <c r="AA348">
        <f t="shared" si="73"/>
        <v>0</v>
      </c>
      <c r="AD348" t="str">
        <f>IFERROR(VLOOKUP(AC348,tbFactorMes,2,FALSE),"")</f>
        <v/>
      </c>
      <c r="AE348">
        <f t="shared" si="74"/>
        <v>0</v>
      </c>
      <c r="AH348" t="str">
        <f>IFERROR(VLOOKUP(AG348,tbFactorMes,2,FALSE),"")</f>
        <v/>
      </c>
      <c r="AI348">
        <f t="shared" si="75"/>
        <v>0</v>
      </c>
      <c r="AL348" t="str">
        <f>IFERROR(VLOOKUP(AK348,tbFactorMes,2,FALSE),"")</f>
        <v/>
      </c>
      <c r="AM348">
        <f t="shared" si="76"/>
        <v>0</v>
      </c>
      <c r="AP348" t="str">
        <f>IFERROR(VLOOKUP(AO348,tbFactorMes,2,FALSE),"")</f>
        <v/>
      </c>
      <c r="AQ348">
        <f t="shared" si="77"/>
        <v>0</v>
      </c>
      <c r="AT348" t="str">
        <f>IFERROR(VLOOKUP(AS348,tbFactorMes,2,FALSE),"")</f>
        <v/>
      </c>
      <c r="AU348">
        <f t="shared" si="78"/>
        <v>0</v>
      </c>
      <c r="AX348" t="str">
        <f>IFERROR(VLOOKUP(AW348,tbFactorMes,2,FALSE),"")</f>
        <v/>
      </c>
      <c r="AY348">
        <f t="shared" si="79"/>
        <v>0</v>
      </c>
      <c r="BB348" t="str">
        <f>IFERROR(VLOOKUP(BA348,tbFactorMes,2,FALSE),"")</f>
        <v/>
      </c>
      <c r="BC348">
        <f t="shared" si="80"/>
        <v>0</v>
      </c>
      <c r="BF348" t="str">
        <f>IFERROR(VLOOKUP(BE348,tbFactorMes,2,FALSE),"")</f>
        <v/>
      </c>
      <c r="BG348">
        <f t="shared" si="81"/>
        <v>0</v>
      </c>
      <c r="BH348">
        <f t="shared" si="82"/>
        <v>0</v>
      </c>
      <c r="BI348">
        <f t="shared" si="83"/>
        <v>0</v>
      </c>
    </row>
    <row r="349" spans="11:61" x14ac:dyDescent="0.35">
      <c r="K349" t="str">
        <f>IFERROR(VLOOKUP(F349,tbTurnos,3,FALSE),"")</f>
        <v/>
      </c>
      <c r="N349" t="str">
        <f>IFERROR(VLOOKUP(M349,tbFactorMes,2,FALSE),"")</f>
        <v/>
      </c>
      <c r="O349">
        <f t="shared" si="70"/>
        <v>0</v>
      </c>
      <c r="R349" t="str">
        <f>IFERROR(VLOOKUP(Q349,tbFactorMes,2,FALSE),"")</f>
        <v/>
      </c>
      <c r="S349">
        <f t="shared" si="71"/>
        <v>0</v>
      </c>
      <c r="V349" t="str">
        <f>IFERROR(VLOOKUP(U349,tbFactorMes,2,FALSE),"")</f>
        <v/>
      </c>
      <c r="W349">
        <f t="shared" si="72"/>
        <v>0</v>
      </c>
      <c r="Z349" t="str">
        <f>IFERROR(VLOOKUP(Y349,tbFactorMes,2,FALSE),"")</f>
        <v/>
      </c>
      <c r="AA349">
        <f t="shared" si="73"/>
        <v>0</v>
      </c>
      <c r="AD349" t="str">
        <f>IFERROR(VLOOKUP(AC349,tbFactorMes,2,FALSE),"")</f>
        <v/>
      </c>
      <c r="AE349">
        <f t="shared" si="74"/>
        <v>0</v>
      </c>
      <c r="AH349" t="str">
        <f>IFERROR(VLOOKUP(AG349,tbFactorMes,2,FALSE),"")</f>
        <v/>
      </c>
      <c r="AI349">
        <f t="shared" si="75"/>
        <v>0</v>
      </c>
      <c r="AL349" t="str">
        <f>IFERROR(VLOOKUP(AK349,tbFactorMes,2,FALSE),"")</f>
        <v/>
      </c>
      <c r="AM349">
        <f t="shared" si="76"/>
        <v>0</v>
      </c>
      <c r="AP349" t="str">
        <f>IFERROR(VLOOKUP(AO349,tbFactorMes,2,FALSE),"")</f>
        <v/>
      </c>
      <c r="AQ349">
        <f t="shared" si="77"/>
        <v>0</v>
      </c>
      <c r="AT349" t="str">
        <f>IFERROR(VLOOKUP(AS349,tbFactorMes,2,FALSE),"")</f>
        <v/>
      </c>
      <c r="AU349">
        <f t="shared" si="78"/>
        <v>0</v>
      </c>
      <c r="AX349" t="str">
        <f>IFERROR(VLOOKUP(AW349,tbFactorMes,2,FALSE),"")</f>
        <v/>
      </c>
      <c r="AY349">
        <f t="shared" si="79"/>
        <v>0</v>
      </c>
      <c r="BB349" t="str">
        <f>IFERROR(VLOOKUP(BA349,tbFactorMes,2,FALSE),"")</f>
        <v/>
      </c>
      <c r="BC349">
        <f t="shared" si="80"/>
        <v>0</v>
      </c>
      <c r="BF349" t="str">
        <f>IFERROR(VLOOKUP(BE349,tbFactorMes,2,FALSE),"")</f>
        <v/>
      </c>
      <c r="BG349">
        <f t="shared" si="81"/>
        <v>0</v>
      </c>
      <c r="BH349">
        <f t="shared" si="82"/>
        <v>0</v>
      </c>
      <c r="BI349">
        <f t="shared" si="83"/>
        <v>0</v>
      </c>
    </row>
    <row r="350" spans="11:61" x14ac:dyDescent="0.35">
      <c r="K350" t="str">
        <f>IFERROR(VLOOKUP(F350,tbTurnos,3,FALSE),"")</f>
        <v/>
      </c>
      <c r="N350" t="str">
        <f>IFERROR(VLOOKUP(M350,tbFactorMes,2,FALSE),"")</f>
        <v/>
      </c>
      <c r="O350">
        <f t="shared" si="70"/>
        <v>0</v>
      </c>
      <c r="R350" t="str">
        <f>IFERROR(VLOOKUP(Q350,tbFactorMes,2,FALSE),"")</f>
        <v/>
      </c>
      <c r="S350">
        <f t="shared" si="71"/>
        <v>0</v>
      </c>
      <c r="V350" t="str">
        <f>IFERROR(VLOOKUP(U350,tbFactorMes,2,FALSE),"")</f>
        <v/>
      </c>
      <c r="W350">
        <f t="shared" si="72"/>
        <v>0</v>
      </c>
      <c r="Z350" t="str">
        <f>IFERROR(VLOOKUP(Y350,tbFactorMes,2,FALSE),"")</f>
        <v/>
      </c>
      <c r="AA350">
        <f t="shared" si="73"/>
        <v>0</v>
      </c>
      <c r="AD350" t="str">
        <f>IFERROR(VLOOKUP(AC350,tbFactorMes,2,FALSE),"")</f>
        <v/>
      </c>
      <c r="AE350">
        <f t="shared" si="74"/>
        <v>0</v>
      </c>
      <c r="AH350" t="str">
        <f>IFERROR(VLOOKUP(AG350,tbFactorMes,2,FALSE),"")</f>
        <v/>
      </c>
      <c r="AI350">
        <f t="shared" si="75"/>
        <v>0</v>
      </c>
      <c r="AL350" t="str">
        <f>IFERROR(VLOOKUP(AK350,tbFactorMes,2,FALSE),"")</f>
        <v/>
      </c>
      <c r="AM350">
        <f t="shared" si="76"/>
        <v>0</v>
      </c>
      <c r="AP350" t="str">
        <f>IFERROR(VLOOKUP(AO350,tbFactorMes,2,FALSE),"")</f>
        <v/>
      </c>
      <c r="AQ350">
        <f t="shared" si="77"/>
        <v>0</v>
      </c>
      <c r="AT350" t="str">
        <f>IFERROR(VLOOKUP(AS350,tbFactorMes,2,FALSE),"")</f>
        <v/>
      </c>
      <c r="AU350">
        <f t="shared" si="78"/>
        <v>0</v>
      </c>
      <c r="AX350" t="str">
        <f>IFERROR(VLOOKUP(AW350,tbFactorMes,2,FALSE),"")</f>
        <v/>
      </c>
      <c r="AY350">
        <f t="shared" si="79"/>
        <v>0</v>
      </c>
      <c r="BB350" t="str">
        <f>IFERROR(VLOOKUP(BA350,tbFactorMes,2,FALSE),"")</f>
        <v/>
      </c>
      <c r="BC350">
        <f t="shared" si="80"/>
        <v>0</v>
      </c>
      <c r="BF350" t="str">
        <f>IFERROR(VLOOKUP(BE350,tbFactorMes,2,FALSE),"")</f>
        <v/>
      </c>
      <c r="BG350">
        <f t="shared" si="81"/>
        <v>0</v>
      </c>
      <c r="BH350">
        <f t="shared" si="82"/>
        <v>0</v>
      </c>
      <c r="BI350">
        <f t="shared" si="83"/>
        <v>0</v>
      </c>
    </row>
    <row r="351" spans="11:61" x14ac:dyDescent="0.35">
      <c r="K351" t="str">
        <f>IFERROR(VLOOKUP(F351,tbTurnos,3,FALSE),"")</f>
        <v/>
      </c>
      <c r="N351" t="str">
        <f>IFERROR(VLOOKUP(M351,tbFactorMes,2,FALSE),"")</f>
        <v/>
      </c>
      <c r="O351">
        <f t="shared" si="70"/>
        <v>0</v>
      </c>
      <c r="R351" t="str">
        <f>IFERROR(VLOOKUP(Q351,tbFactorMes,2,FALSE),"")</f>
        <v/>
      </c>
      <c r="S351">
        <f t="shared" si="71"/>
        <v>0</v>
      </c>
      <c r="V351" t="str">
        <f>IFERROR(VLOOKUP(U351,tbFactorMes,2,FALSE),"")</f>
        <v/>
      </c>
      <c r="W351">
        <f t="shared" si="72"/>
        <v>0</v>
      </c>
      <c r="Z351" t="str">
        <f>IFERROR(VLOOKUP(Y351,tbFactorMes,2,FALSE),"")</f>
        <v/>
      </c>
      <c r="AA351">
        <f t="shared" si="73"/>
        <v>0</v>
      </c>
      <c r="AD351" t="str">
        <f>IFERROR(VLOOKUP(AC351,tbFactorMes,2,FALSE),"")</f>
        <v/>
      </c>
      <c r="AE351">
        <f t="shared" si="74"/>
        <v>0</v>
      </c>
      <c r="AH351" t="str">
        <f>IFERROR(VLOOKUP(AG351,tbFactorMes,2,FALSE),"")</f>
        <v/>
      </c>
      <c r="AI351">
        <f t="shared" si="75"/>
        <v>0</v>
      </c>
      <c r="AL351" t="str">
        <f>IFERROR(VLOOKUP(AK351,tbFactorMes,2,FALSE),"")</f>
        <v/>
      </c>
      <c r="AM351">
        <f t="shared" si="76"/>
        <v>0</v>
      </c>
      <c r="AP351" t="str">
        <f>IFERROR(VLOOKUP(AO351,tbFactorMes,2,FALSE),"")</f>
        <v/>
      </c>
      <c r="AQ351">
        <f t="shared" si="77"/>
        <v>0</v>
      </c>
      <c r="AT351" t="str">
        <f>IFERROR(VLOOKUP(AS351,tbFactorMes,2,FALSE),"")</f>
        <v/>
      </c>
      <c r="AU351">
        <f t="shared" si="78"/>
        <v>0</v>
      </c>
      <c r="AX351" t="str">
        <f>IFERROR(VLOOKUP(AW351,tbFactorMes,2,FALSE),"")</f>
        <v/>
      </c>
      <c r="AY351">
        <f t="shared" si="79"/>
        <v>0</v>
      </c>
      <c r="BB351" t="str">
        <f>IFERROR(VLOOKUP(BA351,tbFactorMes,2,FALSE),"")</f>
        <v/>
      </c>
      <c r="BC351">
        <f t="shared" si="80"/>
        <v>0</v>
      </c>
      <c r="BF351" t="str">
        <f>IFERROR(VLOOKUP(BE351,tbFactorMes,2,FALSE),"")</f>
        <v/>
      </c>
      <c r="BG351">
        <f t="shared" si="81"/>
        <v>0</v>
      </c>
      <c r="BH351">
        <f t="shared" si="82"/>
        <v>0</v>
      </c>
      <c r="BI351">
        <f t="shared" si="83"/>
        <v>0</v>
      </c>
    </row>
    <row r="352" spans="11:61" x14ac:dyDescent="0.35">
      <c r="K352" t="str">
        <f>IFERROR(VLOOKUP(F352,tbTurnos,3,FALSE),"")</f>
        <v/>
      </c>
      <c r="N352" t="str">
        <f>IFERROR(VLOOKUP(M352,tbFactorMes,2,FALSE),"")</f>
        <v/>
      </c>
      <c r="O352">
        <f t="shared" si="70"/>
        <v>0</v>
      </c>
      <c r="R352" t="str">
        <f>IFERROR(VLOOKUP(Q352,tbFactorMes,2,FALSE),"")</f>
        <v/>
      </c>
      <c r="S352">
        <f t="shared" si="71"/>
        <v>0</v>
      </c>
      <c r="V352" t="str">
        <f>IFERROR(VLOOKUP(U352,tbFactorMes,2,FALSE),"")</f>
        <v/>
      </c>
      <c r="W352">
        <f t="shared" si="72"/>
        <v>0</v>
      </c>
      <c r="Z352" t="str">
        <f>IFERROR(VLOOKUP(Y352,tbFactorMes,2,FALSE),"")</f>
        <v/>
      </c>
      <c r="AA352">
        <f t="shared" si="73"/>
        <v>0</v>
      </c>
      <c r="AD352" t="str">
        <f>IFERROR(VLOOKUP(AC352,tbFactorMes,2,FALSE),"")</f>
        <v/>
      </c>
      <c r="AE352">
        <f t="shared" si="74"/>
        <v>0</v>
      </c>
      <c r="AH352" t="str">
        <f>IFERROR(VLOOKUP(AG352,tbFactorMes,2,FALSE),"")</f>
        <v/>
      </c>
      <c r="AI352">
        <f t="shared" si="75"/>
        <v>0</v>
      </c>
      <c r="AL352" t="str">
        <f>IFERROR(VLOOKUP(AK352,tbFactorMes,2,FALSE),"")</f>
        <v/>
      </c>
      <c r="AM352">
        <f t="shared" si="76"/>
        <v>0</v>
      </c>
      <c r="AP352" t="str">
        <f>IFERROR(VLOOKUP(AO352,tbFactorMes,2,FALSE),"")</f>
        <v/>
      </c>
      <c r="AQ352">
        <f t="shared" si="77"/>
        <v>0</v>
      </c>
      <c r="AT352" t="str">
        <f>IFERROR(VLOOKUP(AS352,tbFactorMes,2,FALSE),"")</f>
        <v/>
      </c>
      <c r="AU352">
        <f t="shared" si="78"/>
        <v>0</v>
      </c>
      <c r="AX352" t="str">
        <f>IFERROR(VLOOKUP(AW352,tbFactorMes,2,FALSE),"")</f>
        <v/>
      </c>
      <c r="AY352">
        <f t="shared" si="79"/>
        <v>0</v>
      </c>
      <c r="BB352" t="str">
        <f>IFERROR(VLOOKUP(BA352,tbFactorMes,2,FALSE),"")</f>
        <v/>
      </c>
      <c r="BC352">
        <f t="shared" si="80"/>
        <v>0</v>
      </c>
      <c r="BF352" t="str">
        <f>IFERROR(VLOOKUP(BE352,tbFactorMes,2,FALSE),"")</f>
        <v/>
      </c>
      <c r="BG352">
        <f t="shared" si="81"/>
        <v>0</v>
      </c>
      <c r="BH352">
        <f t="shared" si="82"/>
        <v>0</v>
      </c>
      <c r="BI352">
        <f t="shared" si="83"/>
        <v>0</v>
      </c>
    </row>
    <row r="353" spans="11:61" x14ac:dyDescent="0.35">
      <c r="K353" t="str">
        <f>IFERROR(VLOOKUP(F353,tbTurnos,3,FALSE),"")</f>
        <v/>
      </c>
      <c r="N353" t="str">
        <f>IFERROR(VLOOKUP(M353,tbFactorMes,2,FALSE),"")</f>
        <v/>
      </c>
      <c r="O353">
        <f t="shared" si="70"/>
        <v>0</v>
      </c>
      <c r="R353" t="str">
        <f>IFERROR(VLOOKUP(Q353,tbFactorMes,2,FALSE),"")</f>
        <v/>
      </c>
      <c r="S353">
        <f t="shared" si="71"/>
        <v>0</v>
      </c>
      <c r="V353" t="str">
        <f>IFERROR(VLOOKUP(U353,tbFactorMes,2,FALSE),"")</f>
        <v/>
      </c>
      <c r="W353">
        <f t="shared" si="72"/>
        <v>0</v>
      </c>
      <c r="Z353" t="str">
        <f>IFERROR(VLOOKUP(Y353,tbFactorMes,2,FALSE),"")</f>
        <v/>
      </c>
      <c r="AA353">
        <f t="shared" si="73"/>
        <v>0</v>
      </c>
      <c r="AD353" t="str">
        <f>IFERROR(VLOOKUP(AC353,tbFactorMes,2,FALSE),"")</f>
        <v/>
      </c>
      <c r="AE353">
        <f t="shared" si="74"/>
        <v>0</v>
      </c>
      <c r="AH353" t="str">
        <f>IFERROR(VLOOKUP(AG353,tbFactorMes,2,FALSE),"")</f>
        <v/>
      </c>
      <c r="AI353">
        <f t="shared" si="75"/>
        <v>0</v>
      </c>
      <c r="AL353" t="str">
        <f>IFERROR(VLOOKUP(AK353,tbFactorMes,2,FALSE),"")</f>
        <v/>
      </c>
      <c r="AM353">
        <f t="shared" si="76"/>
        <v>0</v>
      </c>
      <c r="AP353" t="str">
        <f>IFERROR(VLOOKUP(AO353,tbFactorMes,2,FALSE),"")</f>
        <v/>
      </c>
      <c r="AQ353">
        <f t="shared" si="77"/>
        <v>0</v>
      </c>
      <c r="AT353" t="str">
        <f>IFERROR(VLOOKUP(AS353,tbFactorMes,2,FALSE),"")</f>
        <v/>
      </c>
      <c r="AU353">
        <f t="shared" si="78"/>
        <v>0</v>
      </c>
      <c r="AX353" t="str">
        <f>IFERROR(VLOOKUP(AW353,tbFactorMes,2,FALSE),"")</f>
        <v/>
      </c>
      <c r="AY353">
        <f t="shared" si="79"/>
        <v>0</v>
      </c>
      <c r="BB353" t="str">
        <f>IFERROR(VLOOKUP(BA353,tbFactorMes,2,FALSE),"")</f>
        <v/>
      </c>
      <c r="BC353">
        <f t="shared" si="80"/>
        <v>0</v>
      </c>
      <c r="BF353" t="str">
        <f>IFERROR(VLOOKUP(BE353,tbFactorMes,2,FALSE),"")</f>
        <v/>
      </c>
      <c r="BG353">
        <f t="shared" si="81"/>
        <v>0</v>
      </c>
      <c r="BH353">
        <f t="shared" si="82"/>
        <v>0</v>
      </c>
      <c r="BI353">
        <f t="shared" si="83"/>
        <v>0</v>
      </c>
    </row>
    <row r="354" spans="11:61" x14ac:dyDescent="0.35">
      <c r="K354" t="str">
        <f>IFERROR(VLOOKUP(F354,tbTurnos,3,FALSE),"")</f>
        <v/>
      </c>
      <c r="N354" t="str">
        <f>IFERROR(VLOOKUP(M354,tbFactorMes,2,FALSE),"")</f>
        <v/>
      </c>
      <c r="O354">
        <f t="shared" si="70"/>
        <v>0</v>
      </c>
      <c r="R354" t="str">
        <f>IFERROR(VLOOKUP(Q354,tbFactorMes,2,FALSE),"")</f>
        <v/>
      </c>
      <c r="S354">
        <f t="shared" si="71"/>
        <v>0</v>
      </c>
      <c r="V354" t="str">
        <f>IFERROR(VLOOKUP(U354,tbFactorMes,2,FALSE),"")</f>
        <v/>
      </c>
      <c r="W354">
        <f t="shared" si="72"/>
        <v>0</v>
      </c>
      <c r="Z354" t="str">
        <f>IFERROR(VLOOKUP(Y354,tbFactorMes,2,FALSE),"")</f>
        <v/>
      </c>
      <c r="AA354">
        <f t="shared" si="73"/>
        <v>0</v>
      </c>
      <c r="AD354" t="str">
        <f>IFERROR(VLOOKUP(AC354,tbFactorMes,2,FALSE),"")</f>
        <v/>
      </c>
      <c r="AE354">
        <f t="shared" si="74"/>
        <v>0</v>
      </c>
      <c r="AH354" t="str">
        <f>IFERROR(VLOOKUP(AG354,tbFactorMes,2,FALSE),"")</f>
        <v/>
      </c>
      <c r="AI354">
        <f t="shared" si="75"/>
        <v>0</v>
      </c>
      <c r="AL354" t="str">
        <f>IFERROR(VLOOKUP(AK354,tbFactorMes,2,FALSE),"")</f>
        <v/>
      </c>
      <c r="AM354">
        <f t="shared" si="76"/>
        <v>0</v>
      </c>
      <c r="AP354" t="str">
        <f>IFERROR(VLOOKUP(AO354,tbFactorMes,2,FALSE),"")</f>
        <v/>
      </c>
      <c r="AQ354">
        <f t="shared" si="77"/>
        <v>0</v>
      </c>
      <c r="AT354" t="str">
        <f>IFERROR(VLOOKUP(AS354,tbFactorMes,2,FALSE),"")</f>
        <v/>
      </c>
      <c r="AU354">
        <f t="shared" si="78"/>
        <v>0</v>
      </c>
      <c r="AX354" t="str">
        <f>IFERROR(VLOOKUP(AW354,tbFactorMes,2,FALSE),"")</f>
        <v/>
      </c>
      <c r="AY354">
        <f t="shared" si="79"/>
        <v>0</v>
      </c>
      <c r="BB354" t="str">
        <f>IFERROR(VLOOKUP(BA354,tbFactorMes,2,FALSE),"")</f>
        <v/>
      </c>
      <c r="BC354">
        <f t="shared" si="80"/>
        <v>0</v>
      </c>
      <c r="BF354" t="str">
        <f>IFERROR(VLOOKUP(BE354,tbFactorMes,2,FALSE),"")</f>
        <v/>
      </c>
      <c r="BG354">
        <f t="shared" si="81"/>
        <v>0</v>
      </c>
      <c r="BH354">
        <f t="shared" si="82"/>
        <v>0</v>
      </c>
      <c r="BI354">
        <f t="shared" si="83"/>
        <v>0</v>
      </c>
    </row>
    <row r="355" spans="11:61" x14ac:dyDescent="0.35">
      <c r="K355" t="str">
        <f>IFERROR(VLOOKUP(F355,tbTurnos,3,FALSE),"")</f>
        <v/>
      </c>
      <c r="N355" t="str">
        <f>IFERROR(VLOOKUP(M355,tbFactorMes,2,FALSE),"")</f>
        <v/>
      </c>
      <c r="O355">
        <f t="shared" si="70"/>
        <v>0</v>
      </c>
      <c r="R355" t="str">
        <f>IFERROR(VLOOKUP(Q355,tbFactorMes,2,FALSE),"")</f>
        <v/>
      </c>
      <c r="S355">
        <f t="shared" si="71"/>
        <v>0</v>
      </c>
      <c r="V355" t="str">
        <f>IFERROR(VLOOKUP(U355,tbFactorMes,2,FALSE),"")</f>
        <v/>
      </c>
      <c r="W355">
        <f t="shared" si="72"/>
        <v>0</v>
      </c>
      <c r="Z355" t="str">
        <f>IFERROR(VLOOKUP(Y355,tbFactorMes,2,FALSE),"")</f>
        <v/>
      </c>
      <c r="AA355">
        <f t="shared" si="73"/>
        <v>0</v>
      </c>
      <c r="AD355" t="str">
        <f>IFERROR(VLOOKUP(AC355,tbFactorMes,2,FALSE),"")</f>
        <v/>
      </c>
      <c r="AE355">
        <f t="shared" si="74"/>
        <v>0</v>
      </c>
      <c r="AH355" t="str">
        <f>IFERROR(VLOOKUP(AG355,tbFactorMes,2,FALSE),"")</f>
        <v/>
      </c>
      <c r="AI355">
        <f t="shared" si="75"/>
        <v>0</v>
      </c>
      <c r="AL355" t="str">
        <f>IFERROR(VLOOKUP(AK355,tbFactorMes,2,FALSE),"")</f>
        <v/>
      </c>
      <c r="AM355">
        <f t="shared" si="76"/>
        <v>0</v>
      </c>
      <c r="AP355" t="str">
        <f>IFERROR(VLOOKUP(AO355,tbFactorMes,2,FALSE),"")</f>
        <v/>
      </c>
      <c r="AQ355">
        <f t="shared" si="77"/>
        <v>0</v>
      </c>
      <c r="AT355" t="str">
        <f>IFERROR(VLOOKUP(AS355,tbFactorMes,2,FALSE),"")</f>
        <v/>
      </c>
      <c r="AU355">
        <f t="shared" si="78"/>
        <v>0</v>
      </c>
      <c r="AX355" t="str">
        <f>IFERROR(VLOOKUP(AW355,tbFactorMes,2,FALSE),"")</f>
        <v/>
      </c>
      <c r="AY355">
        <f t="shared" si="79"/>
        <v>0</v>
      </c>
      <c r="BB355" t="str">
        <f>IFERROR(VLOOKUP(BA355,tbFactorMes,2,FALSE),"")</f>
        <v/>
      </c>
      <c r="BC355">
        <f t="shared" si="80"/>
        <v>0</v>
      </c>
      <c r="BF355" t="str">
        <f>IFERROR(VLOOKUP(BE355,tbFactorMes,2,FALSE),"")</f>
        <v/>
      </c>
      <c r="BG355">
        <f t="shared" si="81"/>
        <v>0</v>
      </c>
      <c r="BH355">
        <f t="shared" si="82"/>
        <v>0</v>
      </c>
      <c r="BI355">
        <f t="shared" si="83"/>
        <v>0</v>
      </c>
    </row>
    <row r="356" spans="11:61" x14ac:dyDescent="0.35">
      <c r="K356" t="str">
        <f>IFERROR(VLOOKUP(F356,tbTurnos,3,FALSE),"")</f>
        <v/>
      </c>
      <c r="N356" t="str">
        <f>IFERROR(VLOOKUP(M356,tbFactorMes,2,FALSE),"")</f>
        <v/>
      </c>
      <c r="O356">
        <f t="shared" si="70"/>
        <v>0</v>
      </c>
      <c r="R356" t="str">
        <f>IFERROR(VLOOKUP(Q356,tbFactorMes,2,FALSE),"")</f>
        <v/>
      </c>
      <c r="S356">
        <f t="shared" si="71"/>
        <v>0</v>
      </c>
      <c r="V356" t="str">
        <f>IFERROR(VLOOKUP(U356,tbFactorMes,2,FALSE),"")</f>
        <v/>
      </c>
      <c r="W356">
        <f t="shared" si="72"/>
        <v>0</v>
      </c>
      <c r="Z356" t="str">
        <f>IFERROR(VLOOKUP(Y356,tbFactorMes,2,FALSE),"")</f>
        <v/>
      </c>
      <c r="AA356">
        <f t="shared" si="73"/>
        <v>0</v>
      </c>
      <c r="AD356" t="str">
        <f>IFERROR(VLOOKUP(AC356,tbFactorMes,2,FALSE),"")</f>
        <v/>
      </c>
      <c r="AE356">
        <f t="shared" si="74"/>
        <v>0</v>
      </c>
      <c r="AH356" t="str">
        <f>IFERROR(VLOOKUP(AG356,tbFactorMes,2,FALSE),"")</f>
        <v/>
      </c>
      <c r="AI356">
        <f t="shared" si="75"/>
        <v>0</v>
      </c>
      <c r="AL356" t="str">
        <f>IFERROR(VLOOKUP(AK356,tbFactorMes,2,FALSE),"")</f>
        <v/>
      </c>
      <c r="AM356">
        <f t="shared" si="76"/>
        <v>0</v>
      </c>
      <c r="AP356" t="str">
        <f>IFERROR(VLOOKUP(AO356,tbFactorMes,2,FALSE),"")</f>
        <v/>
      </c>
      <c r="AQ356">
        <f t="shared" si="77"/>
        <v>0</v>
      </c>
      <c r="AT356" t="str">
        <f>IFERROR(VLOOKUP(AS356,tbFactorMes,2,FALSE),"")</f>
        <v/>
      </c>
      <c r="AU356">
        <f t="shared" si="78"/>
        <v>0</v>
      </c>
      <c r="AX356" t="str">
        <f>IFERROR(VLOOKUP(AW356,tbFactorMes,2,FALSE),"")</f>
        <v/>
      </c>
      <c r="AY356">
        <f t="shared" si="79"/>
        <v>0</v>
      </c>
      <c r="BB356" t="str">
        <f>IFERROR(VLOOKUP(BA356,tbFactorMes,2,FALSE),"")</f>
        <v/>
      </c>
      <c r="BC356">
        <f t="shared" si="80"/>
        <v>0</v>
      </c>
      <c r="BF356" t="str">
        <f>IFERROR(VLOOKUP(BE356,tbFactorMes,2,FALSE),"")</f>
        <v/>
      </c>
      <c r="BG356">
        <f t="shared" si="81"/>
        <v>0</v>
      </c>
      <c r="BH356">
        <f t="shared" si="82"/>
        <v>0</v>
      </c>
      <c r="BI356">
        <f t="shared" si="83"/>
        <v>0</v>
      </c>
    </row>
    <row r="357" spans="11:61" x14ac:dyDescent="0.35">
      <c r="K357" t="str">
        <f>IFERROR(VLOOKUP(F357,tbTurnos,3,FALSE),"")</f>
        <v/>
      </c>
      <c r="N357" t="str">
        <f>IFERROR(VLOOKUP(M357,tbFactorMes,2,FALSE),"")</f>
        <v/>
      </c>
      <c r="O357">
        <f t="shared" si="70"/>
        <v>0</v>
      </c>
      <c r="R357" t="str">
        <f>IFERROR(VLOOKUP(Q357,tbFactorMes,2,FALSE),"")</f>
        <v/>
      </c>
      <c r="S357">
        <f t="shared" si="71"/>
        <v>0</v>
      </c>
      <c r="V357" t="str">
        <f>IFERROR(VLOOKUP(U357,tbFactorMes,2,FALSE),"")</f>
        <v/>
      </c>
      <c r="W357">
        <f t="shared" si="72"/>
        <v>0</v>
      </c>
      <c r="Z357" t="str">
        <f>IFERROR(VLOOKUP(Y357,tbFactorMes,2,FALSE),"")</f>
        <v/>
      </c>
      <c r="AA357">
        <f t="shared" si="73"/>
        <v>0</v>
      </c>
      <c r="AD357" t="str">
        <f>IFERROR(VLOOKUP(AC357,tbFactorMes,2,FALSE),"")</f>
        <v/>
      </c>
      <c r="AE357">
        <f t="shared" si="74"/>
        <v>0</v>
      </c>
      <c r="AH357" t="str">
        <f>IFERROR(VLOOKUP(AG357,tbFactorMes,2,FALSE),"")</f>
        <v/>
      </c>
      <c r="AI357">
        <f t="shared" si="75"/>
        <v>0</v>
      </c>
      <c r="AL357" t="str">
        <f>IFERROR(VLOOKUP(AK357,tbFactorMes,2,FALSE),"")</f>
        <v/>
      </c>
      <c r="AM357">
        <f t="shared" si="76"/>
        <v>0</v>
      </c>
      <c r="AP357" t="str">
        <f>IFERROR(VLOOKUP(AO357,tbFactorMes,2,FALSE),"")</f>
        <v/>
      </c>
      <c r="AQ357">
        <f t="shared" si="77"/>
        <v>0</v>
      </c>
      <c r="AT357" t="str">
        <f>IFERROR(VLOOKUP(AS357,tbFactorMes,2,FALSE),"")</f>
        <v/>
      </c>
      <c r="AU357">
        <f t="shared" si="78"/>
        <v>0</v>
      </c>
      <c r="AX357" t="str">
        <f>IFERROR(VLOOKUP(AW357,tbFactorMes,2,FALSE),"")</f>
        <v/>
      </c>
      <c r="AY357">
        <f t="shared" si="79"/>
        <v>0</v>
      </c>
      <c r="BB357" t="str">
        <f>IFERROR(VLOOKUP(BA357,tbFactorMes,2,FALSE),"")</f>
        <v/>
      </c>
      <c r="BC357">
        <f t="shared" si="80"/>
        <v>0</v>
      </c>
      <c r="BF357" t="str">
        <f>IFERROR(VLOOKUP(BE357,tbFactorMes,2,FALSE),"")</f>
        <v/>
      </c>
      <c r="BG357">
        <f t="shared" si="81"/>
        <v>0</v>
      </c>
      <c r="BH357">
        <f t="shared" si="82"/>
        <v>0</v>
      </c>
      <c r="BI357">
        <f t="shared" si="83"/>
        <v>0</v>
      </c>
    </row>
    <row r="358" spans="11:61" x14ac:dyDescent="0.35">
      <c r="K358" t="str">
        <f>IFERROR(VLOOKUP(F358,tbTurnos,3,FALSE),"")</f>
        <v/>
      </c>
      <c r="N358" t="str">
        <f>IFERROR(VLOOKUP(M358,tbFactorMes,2,FALSE),"")</f>
        <v/>
      </c>
      <c r="O358">
        <f t="shared" si="70"/>
        <v>0</v>
      </c>
      <c r="R358" t="str">
        <f>IFERROR(VLOOKUP(Q358,tbFactorMes,2,FALSE),"")</f>
        <v/>
      </c>
      <c r="S358">
        <f t="shared" si="71"/>
        <v>0</v>
      </c>
      <c r="V358" t="str">
        <f>IFERROR(VLOOKUP(U358,tbFactorMes,2,FALSE),"")</f>
        <v/>
      </c>
      <c r="W358">
        <f t="shared" si="72"/>
        <v>0</v>
      </c>
      <c r="Z358" t="str">
        <f>IFERROR(VLOOKUP(Y358,tbFactorMes,2,FALSE),"")</f>
        <v/>
      </c>
      <c r="AA358">
        <f t="shared" si="73"/>
        <v>0</v>
      </c>
      <c r="AD358" t="str">
        <f>IFERROR(VLOOKUP(AC358,tbFactorMes,2,FALSE),"")</f>
        <v/>
      </c>
      <c r="AE358">
        <f t="shared" si="74"/>
        <v>0</v>
      </c>
      <c r="AH358" t="str">
        <f>IFERROR(VLOOKUP(AG358,tbFactorMes,2,FALSE),"")</f>
        <v/>
      </c>
      <c r="AI358">
        <f t="shared" si="75"/>
        <v>0</v>
      </c>
      <c r="AL358" t="str">
        <f>IFERROR(VLOOKUP(AK358,tbFactorMes,2,FALSE),"")</f>
        <v/>
      </c>
      <c r="AM358">
        <f t="shared" si="76"/>
        <v>0</v>
      </c>
      <c r="AP358" t="str">
        <f>IFERROR(VLOOKUP(AO358,tbFactorMes,2,FALSE),"")</f>
        <v/>
      </c>
      <c r="AQ358">
        <f t="shared" si="77"/>
        <v>0</v>
      </c>
      <c r="AT358" t="str">
        <f>IFERROR(VLOOKUP(AS358,tbFactorMes,2,FALSE),"")</f>
        <v/>
      </c>
      <c r="AU358">
        <f t="shared" si="78"/>
        <v>0</v>
      </c>
      <c r="AX358" t="str">
        <f>IFERROR(VLOOKUP(AW358,tbFactorMes,2,FALSE),"")</f>
        <v/>
      </c>
      <c r="AY358">
        <f t="shared" si="79"/>
        <v>0</v>
      </c>
      <c r="BB358" t="str">
        <f>IFERROR(VLOOKUP(BA358,tbFactorMes,2,FALSE),"")</f>
        <v/>
      </c>
      <c r="BC358">
        <f t="shared" si="80"/>
        <v>0</v>
      </c>
      <c r="BF358" t="str">
        <f>IFERROR(VLOOKUP(BE358,tbFactorMes,2,FALSE),"")</f>
        <v/>
      </c>
      <c r="BG358">
        <f t="shared" si="81"/>
        <v>0</v>
      </c>
      <c r="BH358">
        <f t="shared" si="82"/>
        <v>0</v>
      </c>
      <c r="BI358">
        <f t="shared" si="83"/>
        <v>0</v>
      </c>
    </row>
    <row r="359" spans="11:61" x14ac:dyDescent="0.35">
      <c r="K359" t="str">
        <f>IFERROR(VLOOKUP(F359,tbTurnos,3,FALSE),"")</f>
        <v/>
      </c>
      <c r="N359" t="str">
        <f>IFERROR(VLOOKUP(M359,tbFactorMes,2,FALSE),"")</f>
        <v/>
      </c>
      <c r="O359">
        <f t="shared" si="70"/>
        <v>0</v>
      </c>
      <c r="R359" t="str">
        <f>IFERROR(VLOOKUP(Q359,tbFactorMes,2,FALSE),"")</f>
        <v/>
      </c>
      <c r="S359">
        <f t="shared" si="71"/>
        <v>0</v>
      </c>
      <c r="V359" t="str">
        <f>IFERROR(VLOOKUP(U359,tbFactorMes,2,FALSE),"")</f>
        <v/>
      </c>
      <c r="W359">
        <f t="shared" si="72"/>
        <v>0</v>
      </c>
      <c r="Z359" t="str">
        <f>IFERROR(VLOOKUP(Y359,tbFactorMes,2,FALSE),"")</f>
        <v/>
      </c>
      <c r="AA359">
        <f t="shared" si="73"/>
        <v>0</v>
      </c>
      <c r="AD359" t="str">
        <f>IFERROR(VLOOKUP(AC359,tbFactorMes,2,FALSE),"")</f>
        <v/>
      </c>
      <c r="AE359">
        <f t="shared" si="74"/>
        <v>0</v>
      </c>
      <c r="AH359" t="str">
        <f>IFERROR(VLOOKUP(AG359,tbFactorMes,2,FALSE),"")</f>
        <v/>
      </c>
      <c r="AI359">
        <f t="shared" si="75"/>
        <v>0</v>
      </c>
      <c r="AL359" t="str">
        <f>IFERROR(VLOOKUP(AK359,tbFactorMes,2,FALSE),"")</f>
        <v/>
      </c>
      <c r="AM359">
        <f t="shared" si="76"/>
        <v>0</v>
      </c>
      <c r="AP359" t="str">
        <f>IFERROR(VLOOKUP(AO359,tbFactorMes,2,FALSE),"")</f>
        <v/>
      </c>
      <c r="AQ359">
        <f t="shared" si="77"/>
        <v>0</v>
      </c>
      <c r="AT359" t="str">
        <f>IFERROR(VLOOKUP(AS359,tbFactorMes,2,FALSE),"")</f>
        <v/>
      </c>
      <c r="AU359">
        <f t="shared" si="78"/>
        <v>0</v>
      </c>
      <c r="AX359" t="str">
        <f>IFERROR(VLOOKUP(AW359,tbFactorMes,2,FALSE),"")</f>
        <v/>
      </c>
      <c r="AY359">
        <f t="shared" si="79"/>
        <v>0</v>
      </c>
      <c r="BB359" t="str">
        <f>IFERROR(VLOOKUP(BA359,tbFactorMes,2,FALSE),"")</f>
        <v/>
      </c>
      <c r="BC359">
        <f t="shared" si="80"/>
        <v>0</v>
      </c>
      <c r="BF359" t="str">
        <f>IFERROR(VLOOKUP(BE359,tbFactorMes,2,FALSE),"")</f>
        <v/>
      </c>
      <c r="BG359">
        <f t="shared" si="81"/>
        <v>0</v>
      </c>
      <c r="BH359">
        <f t="shared" si="82"/>
        <v>0</v>
      </c>
      <c r="BI359">
        <f t="shared" si="83"/>
        <v>0</v>
      </c>
    </row>
    <row r="360" spans="11:61" x14ac:dyDescent="0.35">
      <c r="K360" t="str">
        <f>IFERROR(VLOOKUP(F360,tbTurnos,3,FALSE),"")</f>
        <v/>
      </c>
      <c r="N360" t="str">
        <f>IFERROR(VLOOKUP(M360,tbFactorMes,2,FALSE),"")</f>
        <v/>
      </c>
      <c r="O360">
        <f t="shared" si="70"/>
        <v>0</v>
      </c>
      <c r="R360" t="str">
        <f>IFERROR(VLOOKUP(Q360,tbFactorMes,2,FALSE),"")</f>
        <v/>
      </c>
      <c r="S360">
        <f t="shared" si="71"/>
        <v>0</v>
      </c>
      <c r="V360" t="str">
        <f>IFERROR(VLOOKUP(U360,tbFactorMes,2,FALSE),"")</f>
        <v/>
      </c>
      <c r="W360">
        <f t="shared" si="72"/>
        <v>0</v>
      </c>
      <c r="Z360" t="str">
        <f>IFERROR(VLOOKUP(Y360,tbFactorMes,2,FALSE),"")</f>
        <v/>
      </c>
      <c r="AA360">
        <f t="shared" si="73"/>
        <v>0</v>
      </c>
      <c r="AD360" t="str">
        <f>IFERROR(VLOOKUP(AC360,tbFactorMes,2,FALSE),"")</f>
        <v/>
      </c>
      <c r="AE360">
        <f t="shared" si="74"/>
        <v>0</v>
      </c>
      <c r="AH360" t="str">
        <f>IFERROR(VLOOKUP(AG360,tbFactorMes,2,FALSE),"")</f>
        <v/>
      </c>
      <c r="AI360">
        <f t="shared" si="75"/>
        <v>0</v>
      </c>
      <c r="AL360" t="str">
        <f>IFERROR(VLOOKUP(AK360,tbFactorMes,2,FALSE),"")</f>
        <v/>
      </c>
      <c r="AM360">
        <f t="shared" si="76"/>
        <v>0</v>
      </c>
      <c r="AP360" t="str">
        <f>IFERROR(VLOOKUP(AO360,tbFactorMes,2,FALSE),"")</f>
        <v/>
      </c>
      <c r="AQ360">
        <f t="shared" si="77"/>
        <v>0</v>
      </c>
      <c r="AT360" t="str">
        <f>IFERROR(VLOOKUP(AS360,tbFactorMes,2,FALSE),"")</f>
        <v/>
      </c>
      <c r="AU360">
        <f t="shared" si="78"/>
        <v>0</v>
      </c>
      <c r="AX360" t="str">
        <f>IFERROR(VLOOKUP(AW360,tbFactorMes,2,FALSE),"")</f>
        <v/>
      </c>
      <c r="AY360">
        <f t="shared" si="79"/>
        <v>0</v>
      </c>
      <c r="BB360" t="str">
        <f>IFERROR(VLOOKUP(BA360,tbFactorMes,2,FALSE),"")</f>
        <v/>
      </c>
      <c r="BC360">
        <f t="shared" si="80"/>
        <v>0</v>
      </c>
      <c r="BF360" t="str">
        <f>IFERROR(VLOOKUP(BE360,tbFactorMes,2,FALSE),"")</f>
        <v/>
      </c>
      <c r="BG360">
        <f t="shared" si="81"/>
        <v>0</v>
      </c>
      <c r="BH360">
        <f t="shared" si="82"/>
        <v>0</v>
      </c>
      <c r="BI360">
        <f t="shared" si="83"/>
        <v>0</v>
      </c>
    </row>
    <row r="361" spans="11:61" x14ac:dyDescent="0.35">
      <c r="K361" t="str">
        <f>IFERROR(VLOOKUP(F361,tbTurnos,3,FALSE),"")</f>
        <v/>
      </c>
      <c r="N361" t="str">
        <f>IFERROR(VLOOKUP(M361,tbFactorMes,2,FALSE),"")</f>
        <v/>
      </c>
      <c r="O361">
        <f t="shared" si="70"/>
        <v>0</v>
      </c>
      <c r="R361" t="str">
        <f>IFERROR(VLOOKUP(Q361,tbFactorMes,2,FALSE),"")</f>
        <v/>
      </c>
      <c r="S361">
        <f t="shared" si="71"/>
        <v>0</v>
      </c>
      <c r="V361" t="str">
        <f>IFERROR(VLOOKUP(U361,tbFactorMes,2,FALSE),"")</f>
        <v/>
      </c>
      <c r="W361">
        <f t="shared" si="72"/>
        <v>0</v>
      </c>
      <c r="Z361" t="str">
        <f>IFERROR(VLOOKUP(Y361,tbFactorMes,2,FALSE),"")</f>
        <v/>
      </c>
      <c r="AA361">
        <f t="shared" si="73"/>
        <v>0</v>
      </c>
      <c r="AD361" t="str">
        <f>IFERROR(VLOOKUP(AC361,tbFactorMes,2,FALSE),"")</f>
        <v/>
      </c>
      <c r="AE361">
        <f t="shared" si="74"/>
        <v>0</v>
      </c>
      <c r="AH361" t="str">
        <f>IFERROR(VLOOKUP(AG361,tbFactorMes,2,FALSE),"")</f>
        <v/>
      </c>
      <c r="AI361">
        <f t="shared" si="75"/>
        <v>0</v>
      </c>
      <c r="AL361" t="str">
        <f>IFERROR(VLOOKUP(AK361,tbFactorMes,2,FALSE),"")</f>
        <v/>
      </c>
      <c r="AM361">
        <f t="shared" si="76"/>
        <v>0</v>
      </c>
      <c r="AP361" t="str">
        <f>IFERROR(VLOOKUP(AO361,tbFactorMes,2,FALSE),"")</f>
        <v/>
      </c>
      <c r="AQ361">
        <f t="shared" si="77"/>
        <v>0</v>
      </c>
      <c r="AT361" t="str">
        <f>IFERROR(VLOOKUP(AS361,tbFactorMes,2,FALSE),"")</f>
        <v/>
      </c>
      <c r="AU361">
        <f t="shared" si="78"/>
        <v>0</v>
      </c>
      <c r="AX361" t="str">
        <f>IFERROR(VLOOKUP(AW361,tbFactorMes,2,FALSE),"")</f>
        <v/>
      </c>
      <c r="AY361">
        <f t="shared" si="79"/>
        <v>0</v>
      </c>
      <c r="BB361" t="str">
        <f>IFERROR(VLOOKUP(BA361,tbFactorMes,2,FALSE),"")</f>
        <v/>
      </c>
      <c r="BC361">
        <f t="shared" si="80"/>
        <v>0</v>
      </c>
      <c r="BF361" t="str">
        <f>IFERROR(VLOOKUP(BE361,tbFactorMes,2,FALSE),"")</f>
        <v/>
      </c>
      <c r="BG361">
        <f t="shared" si="81"/>
        <v>0</v>
      </c>
      <c r="BH361">
        <f t="shared" si="82"/>
        <v>0</v>
      </c>
      <c r="BI361">
        <f t="shared" si="83"/>
        <v>0</v>
      </c>
    </row>
    <row r="362" spans="11:61" x14ac:dyDescent="0.35">
      <c r="K362" t="str">
        <f>IFERROR(VLOOKUP(F362,tbTurnos,3,FALSE),"")</f>
        <v/>
      </c>
      <c r="N362" t="str">
        <f>IFERROR(VLOOKUP(M362,tbFactorMes,2,FALSE),"")</f>
        <v/>
      </c>
      <c r="O362">
        <f t="shared" si="70"/>
        <v>0</v>
      </c>
      <c r="R362" t="str">
        <f>IFERROR(VLOOKUP(Q362,tbFactorMes,2,FALSE),"")</f>
        <v/>
      </c>
      <c r="S362">
        <f t="shared" si="71"/>
        <v>0</v>
      </c>
      <c r="V362" t="str">
        <f>IFERROR(VLOOKUP(U362,tbFactorMes,2,FALSE),"")</f>
        <v/>
      </c>
      <c r="W362">
        <f t="shared" si="72"/>
        <v>0</v>
      </c>
      <c r="Z362" t="str">
        <f>IFERROR(VLOOKUP(Y362,tbFactorMes,2,FALSE),"")</f>
        <v/>
      </c>
      <c r="AA362">
        <f t="shared" si="73"/>
        <v>0</v>
      </c>
      <c r="AD362" t="str">
        <f>IFERROR(VLOOKUP(AC362,tbFactorMes,2,FALSE),"")</f>
        <v/>
      </c>
      <c r="AE362">
        <f t="shared" si="74"/>
        <v>0</v>
      </c>
      <c r="AH362" t="str">
        <f>IFERROR(VLOOKUP(AG362,tbFactorMes,2,FALSE),"")</f>
        <v/>
      </c>
      <c r="AI362">
        <f t="shared" si="75"/>
        <v>0</v>
      </c>
      <c r="AL362" t="str">
        <f>IFERROR(VLOOKUP(AK362,tbFactorMes,2,FALSE),"")</f>
        <v/>
      </c>
      <c r="AM362">
        <f t="shared" si="76"/>
        <v>0</v>
      </c>
      <c r="AP362" t="str">
        <f>IFERROR(VLOOKUP(AO362,tbFactorMes,2,FALSE),"")</f>
        <v/>
      </c>
      <c r="AQ362">
        <f t="shared" si="77"/>
        <v>0</v>
      </c>
      <c r="AT362" t="str">
        <f>IFERROR(VLOOKUP(AS362,tbFactorMes,2,FALSE),"")</f>
        <v/>
      </c>
      <c r="AU362">
        <f t="shared" si="78"/>
        <v>0</v>
      </c>
      <c r="AX362" t="str">
        <f>IFERROR(VLOOKUP(AW362,tbFactorMes,2,FALSE),"")</f>
        <v/>
      </c>
      <c r="AY362">
        <f t="shared" si="79"/>
        <v>0</v>
      </c>
      <c r="BB362" t="str">
        <f>IFERROR(VLOOKUP(BA362,tbFactorMes,2,FALSE),"")</f>
        <v/>
      </c>
      <c r="BC362">
        <f t="shared" si="80"/>
        <v>0</v>
      </c>
      <c r="BF362" t="str">
        <f>IFERROR(VLOOKUP(BE362,tbFactorMes,2,FALSE),"")</f>
        <v/>
      </c>
      <c r="BG362">
        <f t="shared" si="81"/>
        <v>0</v>
      </c>
      <c r="BH362">
        <f t="shared" si="82"/>
        <v>0</v>
      </c>
      <c r="BI362">
        <f t="shared" si="83"/>
        <v>0</v>
      </c>
    </row>
    <row r="363" spans="11:61" x14ac:dyDescent="0.35">
      <c r="K363" t="str">
        <f>IFERROR(VLOOKUP(F363,tbTurnos,3,FALSE),"")</f>
        <v/>
      </c>
      <c r="N363" t="str">
        <f>IFERROR(VLOOKUP(M363,tbFactorMes,2,FALSE),"")</f>
        <v/>
      </c>
      <c r="O363">
        <f t="shared" si="70"/>
        <v>0</v>
      </c>
      <c r="R363" t="str">
        <f>IFERROR(VLOOKUP(Q363,tbFactorMes,2,FALSE),"")</f>
        <v/>
      </c>
      <c r="S363">
        <f t="shared" si="71"/>
        <v>0</v>
      </c>
      <c r="V363" t="str">
        <f>IFERROR(VLOOKUP(U363,tbFactorMes,2,FALSE),"")</f>
        <v/>
      </c>
      <c r="W363">
        <f t="shared" si="72"/>
        <v>0</v>
      </c>
      <c r="Z363" t="str">
        <f>IFERROR(VLOOKUP(Y363,tbFactorMes,2,FALSE),"")</f>
        <v/>
      </c>
      <c r="AA363">
        <f t="shared" si="73"/>
        <v>0</v>
      </c>
      <c r="AD363" t="str">
        <f>IFERROR(VLOOKUP(AC363,tbFactorMes,2,FALSE),"")</f>
        <v/>
      </c>
      <c r="AE363">
        <f t="shared" si="74"/>
        <v>0</v>
      </c>
      <c r="AH363" t="str">
        <f>IFERROR(VLOOKUP(AG363,tbFactorMes,2,FALSE),"")</f>
        <v/>
      </c>
      <c r="AI363">
        <f t="shared" si="75"/>
        <v>0</v>
      </c>
      <c r="AL363" t="str">
        <f>IFERROR(VLOOKUP(AK363,tbFactorMes,2,FALSE),"")</f>
        <v/>
      </c>
      <c r="AM363">
        <f t="shared" si="76"/>
        <v>0</v>
      </c>
      <c r="AP363" t="str">
        <f>IFERROR(VLOOKUP(AO363,tbFactorMes,2,FALSE),"")</f>
        <v/>
      </c>
      <c r="AQ363">
        <f t="shared" si="77"/>
        <v>0</v>
      </c>
      <c r="AT363" t="str">
        <f>IFERROR(VLOOKUP(AS363,tbFactorMes,2,FALSE),"")</f>
        <v/>
      </c>
      <c r="AU363">
        <f t="shared" si="78"/>
        <v>0</v>
      </c>
      <c r="AX363" t="str">
        <f>IFERROR(VLOOKUP(AW363,tbFactorMes,2,FALSE),"")</f>
        <v/>
      </c>
      <c r="AY363">
        <f t="shared" si="79"/>
        <v>0</v>
      </c>
      <c r="BB363" t="str">
        <f>IFERROR(VLOOKUP(BA363,tbFactorMes,2,FALSE),"")</f>
        <v/>
      </c>
      <c r="BC363">
        <f t="shared" si="80"/>
        <v>0</v>
      </c>
      <c r="BF363" t="str">
        <f>IFERROR(VLOOKUP(BE363,tbFactorMes,2,FALSE),"")</f>
        <v/>
      </c>
      <c r="BG363">
        <f t="shared" si="81"/>
        <v>0</v>
      </c>
      <c r="BH363">
        <f t="shared" si="82"/>
        <v>0</v>
      </c>
      <c r="BI363">
        <f t="shared" si="83"/>
        <v>0</v>
      </c>
    </row>
    <row r="364" spans="11:61" x14ac:dyDescent="0.35">
      <c r="K364" t="str">
        <f>IFERROR(VLOOKUP(F364,tbTurnos,3,FALSE),"")</f>
        <v/>
      </c>
      <c r="N364" t="str">
        <f>IFERROR(VLOOKUP(M364,tbFactorMes,2,FALSE),"")</f>
        <v/>
      </c>
      <c r="O364">
        <f t="shared" si="70"/>
        <v>0</v>
      </c>
      <c r="R364" t="str">
        <f>IFERROR(VLOOKUP(Q364,tbFactorMes,2,FALSE),"")</f>
        <v/>
      </c>
      <c r="S364">
        <f t="shared" si="71"/>
        <v>0</v>
      </c>
      <c r="V364" t="str">
        <f>IFERROR(VLOOKUP(U364,tbFactorMes,2,FALSE),"")</f>
        <v/>
      </c>
      <c r="W364">
        <f t="shared" si="72"/>
        <v>0</v>
      </c>
      <c r="Z364" t="str">
        <f>IFERROR(VLOOKUP(Y364,tbFactorMes,2,FALSE),"")</f>
        <v/>
      </c>
      <c r="AA364">
        <f t="shared" si="73"/>
        <v>0</v>
      </c>
      <c r="AD364" t="str">
        <f>IFERROR(VLOOKUP(AC364,tbFactorMes,2,FALSE),"")</f>
        <v/>
      </c>
      <c r="AE364">
        <f t="shared" si="74"/>
        <v>0</v>
      </c>
      <c r="AH364" t="str">
        <f>IFERROR(VLOOKUP(AG364,tbFactorMes,2,FALSE),"")</f>
        <v/>
      </c>
      <c r="AI364">
        <f t="shared" si="75"/>
        <v>0</v>
      </c>
      <c r="AL364" t="str">
        <f>IFERROR(VLOOKUP(AK364,tbFactorMes,2,FALSE),"")</f>
        <v/>
      </c>
      <c r="AM364">
        <f t="shared" si="76"/>
        <v>0</v>
      </c>
      <c r="AP364" t="str">
        <f>IFERROR(VLOOKUP(AO364,tbFactorMes,2,FALSE),"")</f>
        <v/>
      </c>
      <c r="AQ364">
        <f t="shared" si="77"/>
        <v>0</v>
      </c>
      <c r="AT364" t="str">
        <f>IFERROR(VLOOKUP(AS364,tbFactorMes,2,FALSE),"")</f>
        <v/>
      </c>
      <c r="AU364">
        <f t="shared" si="78"/>
        <v>0</v>
      </c>
      <c r="AX364" t="str">
        <f>IFERROR(VLOOKUP(AW364,tbFactorMes,2,FALSE),"")</f>
        <v/>
      </c>
      <c r="AY364">
        <f t="shared" si="79"/>
        <v>0</v>
      </c>
      <c r="BB364" t="str">
        <f>IFERROR(VLOOKUP(BA364,tbFactorMes,2,FALSE),"")</f>
        <v/>
      </c>
      <c r="BC364">
        <f t="shared" si="80"/>
        <v>0</v>
      </c>
      <c r="BF364" t="str">
        <f>IFERROR(VLOOKUP(BE364,tbFactorMes,2,FALSE),"")</f>
        <v/>
      </c>
      <c r="BG364">
        <f t="shared" si="81"/>
        <v>0</v>
      </c>
      <c r="BH364">
        <f t="shared" si="82"/>
        <v>0</v>
      </c>
      <c r="BI364">
        <f t="shared" si="83"/>
        <v>0</v>
      </c>
    </row>
    <row r="365" spans="11:61" x14ac:dyDescent="0.35">
      <c r="K365" t="str">
        <f>IFERROR(VLOOKUP(F365,tbTurnos,3,FALSE),"")</f>
        <v/>
      </c>
      <c r="N365" t="str">
        <f>IFERROR(VLOOKUP(M365,tbFactorMes,2,FALSE),"")</f>
        <v/>
      </c>
      <c r="O365">
        <f t="shared" si="70"/>
        <v>0</v>
      </c>
      <c r="R365" t="str">
        <f>IFERROR(VLOOKUP(Q365,tbFactorMes,2,FALSE),"")</f>
        <v/>
      </c>
      <c r="S365">
        <f t="shared" si="71"/>
        <v>0</v>
      </c>
      <c r="V365" t="str">
        <f>IFERROR(VLOOKUP(U365,tbFactorMes,2,FALSE),"")</f>
        <v/>
      </c>
      <c r="W365">
        <f t="shared" si="72"/>
        <v>0</v>
      </c>
      <c r="Z365" t="str">
        <f>IFERROR(VLOOKUP(Y365,tbFactorMes,2,FALSE),"")</f>
        <v/>
      </c>
      <c r="AA365">
        <f t="shared" si="73"/>
        <v>0</v>
      </c>
      <c r="AD365" t="str">
        <f>IFERROR(VLOOKUP(AC365,tbFactorMes,2,FALSE),"")</f>
        <v/>
      </c>
      <c r="AE365">
        <f t="shared" si="74"/>
        <v>0</v>
      </c>
      <c r="AH365" t="str">
        <f>IFERROR(VLOOKUP(AG365,tbFactorMes,2,FALSE),"")</f>
        <v/>
      </c>
      <c r="AI365">
        <f t="shared" si="75"/>
        <v>0</v>
      </c>
      <c r="AL365" t="str">
        <f>IFERROR(VLOOKUP(AK365,tbFactorMes,2,FALSE),"")</f>
        <v/>
      </c>
      <c r="AM365">
        <f t="shared" si="76"/>
        <v>0</v>
      </c>
      <c r="AP365" t="str">
        <f>IFERROR(VLOOKUP(AO365,tbFactorMes,2,FALSE),"")</f>
        <v/>
      </c>
      <c r="AQ365">
        <f t="shared" si="77"/>
        <v>0</v>
      </c>
      <c r="AT365" t="str">
        <f>IFERROR(VLOOKUP(AS365,tbFactorMes,2,FALSE),"")</f>
        <v/>
      </c>
      <c r="AU365">
        <f t="shared" si="78"/>
        <v>0</v>
      </c>
      <c r="AX365" t="str">
        <f>IFERROR(VLOOKUP(AW365,tbFactorMes,2,FALSE),"")</f>
        <v/>
      </c>
      <c r="AY365">
        <f t="shared" si="79"/>
        <v>0</v>
      </c>
      <c r="BB365" t="str">
        <f>IFERROR(VLOOKUP(BA365,tbFactorMes,2,FALSE),"")</f>
        <v/>
      </c>
      <c r="BC365">
        <f t="shared" si="80"/>
        <v>0</v>
      </c>
      <c r="BF365" t="str">
        <f>IFERROR(VLOOKUP(BE365,tbFactorMes,2,FALSE),"")</f>
        <v/>
      </c>
      <c r="BG365">
        <f t="shared" si="81"/>
        <v>0</v>
      </c>
      <c r="BH365">
        <f t="shared" si="82"/>
        <v>0</v>
      </c>
      <c r="BI365">
        <f t="shared" si="83"/>
        <v>0</v>
      </c>
    </row>
    <row r="366" spans="11:61" x14ac:dyDescent="0.35">
      <c r="K366" t="str">
        <f>IFERROR(VLOOKUP(F366,tbTurnos,3,FALSE),"")</f>
        <v/>
      </c>
      <c r="N366" t="str">
        <f>IFERROR(VLOOKUP(M366,tbFactorMes,2,FALSE),"")</f>
        <v/>
      </c>
      <c r="O366">
        <f t="shared" si="70"/>
        <v>0</v>
      </c>
      <c r="R366" t="str">
        <f>IFERROR(VLOOKUP(Q366,tbFactorMes,2,FALSE),"")</f>
        <v/>
      </c>
      <c r="S366">
        <f t="shared" si="71"/>
        <v>0</v>
      </c>
      <c r="V366" t="str">
        <f>IFERROR(VLOOKUP(U366,tbFactorMes,2,FALSE),"")</f>
        <v/>
      </c>
      <c r="W366">
        <f t="shared" si="72"/>
        <v>0</v>
      </c>
      <c r="Z366" t="str">
        <f>IFERROR(VLOOKUP(Y366,tbFactorMes,2,FALSE),"")</f>
        <v/>
      </c>
      <c r="AA366">
        <f t="shared" si="73"/>
        <v>0</v>
      </c>
      <c r="AD366" t="str">
        <f>IFERROR(VLOOKUP(AC366,tbFactorMes,2,FALSE),"")</f>
        <v/>
      </c>
      <c r="AE366">
        <f t="shared" si="74"/>
        <v>0</v>
      </c>
      <c r="AH366" t="str">
        <f>IFERROR(VLOOKUP(AG366,tbFactorMes,2,FALSE),"")</f>
        <v/>
      </c>
      <c r="AI366">
        <f t="shared" si="75"/>
        <v>0</v>
      </c>
      <c r="AL366" t="str">
        <f>IFERROR(VLOOKUP(AK366,tbFactorMes,2,FALSE),"")</f>
        <v/>
      </c>
      <c r="AM366">
        <f t="shared" si="76"/>
        <v>0</v>
      </c>
      <c r="AP366" t="str">
        <f>IFERROR(VLOOKUP(AO366,tbFactorMes,2,FALSE),"")</f>
        <v/>
      </c>
      <c r="AQ366">
        <f t="shared" si="77"/>
        <v>0</v>
      </c>
      <c r="AT366" t="str">
        <f>IFERROR(VLOOKUP(AS366,tbFactorMes,2,FALSE),"")</f>
        <v/>
      </c>
      <c r="AU366">
        <f t="shared" si="78"/>
        <v>0</v>
      </c>
      <c r="AX366" t="str">
        <f>IFERROR(VLOOKUP(AW366,tbFactorMes,2,FALSE),"")</f>
        <v/>
      </c>
      <c r="AY366">
        <f t="shared" si="79"/>
        <v>0</v>
      </c>
      <c r="BB366" t="str">
        <f>IFERROR(VLOOKUP(BA366,tbFactorMes,2,FALSE),"")</f>
        <v/>
      </c>
      <c r="BC366">
        <f t="shared" si="80"/>
        <v>0</v>
      </c>
      <c r="BF366" t="str">
        <f>IFERROR(VLOOKUP(BE366,tbFactorMes,2,FALSE),"")</f>
        <v/>
      </c>
      <c r="BG366">
        <f t="shared" si="81"/>
        <v>0</v>
      </c>
      <c r="BH366">
        <f t="shared" si="82"/>
        <v>0</v>
      </c>
      <c r="BI366">
        <f t="shared" si="83"/>
        <v>0</v>
      </c>
    </row>
    <row r="367" spans="11:61" x14ac:dyDescent="0.35">
      <c r="K367" t="str">
        <f>IFERROR(VLOOKUP(F367,tbTurnos,3,FALSE),"")</f>
        <v/>
      </c>
      <c r="N367" t="str">
        <f>IFERROR(VLOOKUP(M367,tbFactorMes,2,FALSE),"")</f>
        <v/>
      </c>
      <c r="O367">
        <f t="shared" si="70"/>
        <v>0</v>
      </c>
      <c r="R367" t="str">
        <f>IFERROR(VLOOKUP(Q367,tbFactorMes,2,FALSE),"")</f>
        <v/>
      </c>
      <c r="S367">
        <f t="shared" si="71"/>
        <v>0</v>
      </c>
      <c r="V367" t="str">
        <f>IFERROR(VLOOKUP(U367,tbFactorMes,2,FALSE),"")</f>
        <v/>
      </c>
      <c r="W367">
        <f t="shared" si="72"/>
        <v>0</v>
      </c>
      <c r="Z367" t="str">
        <f>IFERROR(VLOOKUP(Y367,tbFactorMes,2,FALSE),"")</f>
        <v/>
      </c>
      <c r="AA367">
        <f t="shared" si="73"/>
        <v>0</v>
      </c>
      <c r="AD367" t="str">
        <f>IFERROR(VLOOKUP(AC367,tbFactorMes,2,FALSE),"")</f>
        <v/>
      </c>
      <c r="AE367">
        <f t="shared" si="74"/>
        <v>0</v>
      </c>
      <c r="AH367" t="str">
        <f>IFERROR(VLOOKUP(AG367,tbFactorMes,2,FALSE),"")</f>
        <v/>
      </c>
      <c r="AI367">
        <f t="shared" si="75"/>
        <v>0</v>
      </c>
      <c r="AL367" t="str">
        <f>IFERROR(VLOOKUP(AK367,tbFactorMes,2,FALSE),"")</f>
        <v/>
      </c>
      <c r="AM367">
        <f t="shared" si="76"/>
        <v>0</v>
      </c>
      <c r="AP367" t="str">
        <f>IFERROR(VLOOKUP(AO367,tbFactorMes,2,FALSE),"")</f>
        <v/>
      </c>
      <c r="AQ367">
        <f t="shared" si="77"/>
        <v>0</v>
      </c>
      <c r="AT367" t="str">
        <f>IFERROR(VLOOKUP(AS367,tbFactorMes,2,FALSE),"")</f>
        <v/>
      </c>
      <c r="AU367">
        <f t="shared" si="78"/>
        <v>0</v>
      </c>
      <c r="AX367" t="str">
        <f>IFERROR(VLOOKUP(AW367,tbFactorMes,2,FALSE),"")</f>
        <v/>
      </c>
      <c r="AY367">
        <f t="shared" si="79"/>
        <v>0</v>
      </c>
      <c r="BB367" t="str">
        <f>IFERROR(VLOOKUP(BA367,tbFactorMes,2,FALSE),"")</f>
        <v/>
      </c>
      <c r="BC367">
        <f t="shared" si="80"/>
        <v>0</v>
      </c>
      <c r="BF367" t="str">
        <f>IFERROR(VLOOKUP(BE367,tbFactorMes,2,FALSE),"")</f>
        <v/>
      </c>
      <c r="BG367">
        <f t="shared" si="81"/>
        <v>0</v>
      </c>
      <c r="BH367">
        <f t="shared" si="82"/>
        <v>0</v>
      </c>
      <c r="BI367">
        <f t="shared" si="83"/>
        <v>0</v>
      </c>
    </row>
    <row r="368" spans="11:61" x14ac:dyDescent="0.35">
      <c r="K368" t="str">
        <f>IFERROR(VLOOKUP(F368,tbTurnos,3,FALSE),"")</f>
        <v/>
      </c>
      <c r="N368" t="str">
        <f>IFERROR(VLOOKUP(M368,tbFactorMes,2,FALSE),"")</f>
        <v/>
      </c>
      <c r="O368">
        <f t="shared" si="70"/>
        <v>0</v>
      </c>
      <c r="R368" t="str">
        <f>IFERROR(VLOOKUP(Q368,tbFactorMes,2,FALSE),"")</f>
        <v/>
      </c>
      <c r="S368">
        <f t="shared" si="71"/>
        <v>0</v>
      </c>
      <c r="V368" t="str">
        <f>IFERROR(VLOOKUP(U368,tbFactorMes,2,FALSE),"")</f>
        <v/>
      </c>
      <c r="W368">
        <f t="shared" si="72"/>
        <v>0</v>
      </c>
      <c r="Z368" t="str">
        <f>IFERROR(VLOOKUP(Y368,tbFactorMes,2,FALSE),"")</f>
        <v/>
      </c>
      <c r="AA368">
        <f t="shared" si="73"/>
        <v>0</v>
      </c>
      <c r="AD368" t="str">
        <f>IFERROR(VLOOKUP(AC368,tbFactorMes,2,FALSE),"")</f>
        <v/>
      </c>
      <c r="AE368">
        <f t="shared" si="74"/>
        <v>0</v>
      </c>
      <c r="AH368" t="str">
        <f>IFERROR(VLOOKUP(AG368,tbFactorMes,2,FALSE),"")</f>
        <v/>
      </c>
      <c r="AI368">
        <f t="shared" si="75"/>
        <v>0</v>
      </c>
      <c r="AL368" t="str">
        <f>IFERROR(VLOOKUP(AK368,tbFactorMes,2,FALSE),"")</f>
        <v/>
      </c>
      <c r="AM368">
        <f t="shared" si="76"/>
        <v>0</v>
      </c>
      <c r="AP368" t="str">
        <f>IFERROR(VLOOKUP(AO368,tbFactorMes,2,FALSE),"")</f>
        <v/>
      </c>
      <c r="AQ368">
        <f t="shared" si="77"/>
        <v>0</v>
      </c>
      <c r="AT368" t="str">
        <f>IFERROR(VLOOKUP(AS368,tbFactorMes,2,FALSE),"")</f>
        <v/>
      </c>
      <c r="AU368">
        <f t="shared" si="78"/>
        <v>0</v>
      </c>
      <c r="AX368" t="str">
        <f>IFERROR(VLOOKUP(AW368,tbFactorMes,2,FALSE),"")</f>
        <v/>
      </c>
      <c r="AY368">
        <f t="shared" si="79"/>
        <v>0</v>
      </c>
      <c r="BB368" t="str">
        <f>IFERROR(VLOOKUP(BA368,tbFactorMes,2,FALSE),"")</f>
        <v/>
      </c>
      <c r="BC368">
        <f t="shared" si="80"/>
        <v>0</v>
      </c>
      <c r="BF368" t="str">
        <f>IFERROR(VLOOKUP(BE368,tbFactorMes,2,FALSE),"")</f>
        <v/>
      </c>
      <c r="BG368">
        <f t="shared" si="81"/>
        <v>0</v>
      </c>
      <c r="BH368">
        <f t="shared" si="82"/>
        <v>0</v>
      </c>
      <c r="BI368">
        <f t="shared" si="83"/>
        <v>0</v>
      </c>
    </row>
    <row r="369" spans="11:61" x14ac:dyDescent="0.35">
      <c r="K369" t="str">
        <f>IFERROR(VLOOKUP(F369,tbTurnos,3,FALSE),"")</f>
        <v/>
      </c>
      <c r="N369" t="str">
        <f>IFERROR(VLOOKUP(M369,tbFactorMes,2,FALSE),"")</f>
        <v/>
      </c>
      <c r="O369">
        <f t="shared" si="70"/>
        <v>0</v>
      </c>
      <c r="R369" t="str">
        <f>IFERROR(VLOOKUP(Q369,tbFactorMes,2,FALSE),"")</f>
        <v/>
      </c>
      <c r="S369">
        <f t="shared" si="71"/>
        <v>0</v>
      </c>
      <c r="V369" t="str">
        <f>IFERROR(VLOOKUP(U369,tbFactorMes,2,FALSE),"")</f>
        <v/>
      </c>
      <c r="W369">
        <f t="shared" si="72"/>
        <v>0</v>
      </c>
      <c r="Z369" t="str">
        <f>IFERROR(VLOOKUP(Y369,tbFactorMes,2,FALSE),"")</f>
        <v/>
      </c>
      <c r="AA369">
        <f t="shared" si="73"/>
        <v>0</v>
      </c>
      <c r="AD369" t="str">
        <f>IFERROR(VLOOKUP(AC369,tbFactorMes,2,FALSE),"")</f>
        <v/>
      </c>
      <c r="AE369">
        <f t="shared" si="74"/>
        <v>0</v>
      </c>
      <c r="AH369" t="str">
        <f>IFERROR(VLOOKUP(AG369,tbFactorMes,2,FALSE),"")</f>
        <v/>
      </c>
      <c r="AI369">
        <f t="shared" si="75"/>
        <v>0</v>
      </c>
      <c r="AL369" t="str">
        <f>IFERROR(VLOOKUP(AK369,tbFactorMes,2,FALSE),"")</f>
        <v/>
      </c>
      <c r="AM369">
        <f t="shared" si="76"/>
        <v>0</v>
      </c>
      <c r="AP369" t="str">
        <f>IFERROR(VLOOKUP(AO369,tbFactorMes,2,FALSE),"")</f>
        <v/>
      </c>
      <c r="AQ369">
        <f t="shared" si="77"/>
        <v>0</v>
      </c>
      <c r="AT369" t="str">
        <f>IFERROR(VLOOKUP(AS369,tbFactorMes,2,FALSE),"")</f>
        <v/>
      </c>
      <c r="AU369">
        <f t="shared" si="78"/>
        <v>0</v>
      </c>
      <c r="AX369" t="str">
        <f>IFERROR(VLOOKUP(AW369,tbFactorMes,2,FALSE),"")</f>
        <v/>
      </c>
      <c r="AY369">
        <f t="shared" si="79"/>
        <v>0</v>
      </c>
      <c r="BB369" t="str">
        <f>IFERROR(VLOOKUP(BA369,tbFactorMes,2,FALSE),"")</f>
        <v/>
      </c>
      <c r="BC369">
        <f t="shared" si="80"/>
        <v>0</v>
      </c>
      <c r="BF369" t="str">
        <f>IFERROR(VLOOKUP(BE369,tbFactorMes,2,FALSE),"")</f>
        <v/>
      </c>
      <c r="BG369">
        <f t="shared" si="81"/>
        <v>0</v>
      </c>
      <c r="BH369">
        <f t="shared" si="82"/>
        <v>0</v>
      </c>
      <c r="BI369">
        <f t="shared" si="83"/>
        <v>0</v>
      </c>
    </row>
    <row r="370" spans="11:61" x14ac:dyDescent="0.35">
      <c r="K370" t="str">
        <f>IFERROR(VLOOKUP(F370,tbTurnos,3,FALSE),"")</f>
        <v/>
      </c>
      <c r="N370" t="str">
        <f>IFERROR(VLOOKUP(M370,tbFactorMes,2,FALSE),"")</f>
        <v/>
      </c>
      <c r="O370">
        <f t="shared" si="70"/>
        <v>0</v>
      </c>
      <c r="R370" t="str">
        <f>IFERROR(VLOOKUP(Q370,tbFactorMes,2,FALSE),"")</f>
        <v/>
      </c>
      <c r="S370">
        <f t="shared" si="71"/>
        <v>0</v>
      </c>
      <c r="V370" t="str">
        <f>IFERROR(VLOOKUP(U370,tbFactorMes,2,FALSE),"")</f>
        <v/>
      </c>
      <c r="W370">
        <f t="shared" si="72"/>
        <v>0</v>
      </c>
      <c r="Z370" t="str">
        <f>IFERROR(VLOOKUP(Y370,tbFactorMes,2,FALSE),"")</f>
        <v/>
      </c>
      <c r="AA370">
        <f t="shared" si="73"/>
        <v>0</v>
      </c>
      <c r="AD370" t="str">
        <f>IFERROR(VLOOKUP(AC370,tbFactorMes,2,FALSE),"")</f>
        <v/>
      </c>
      <c r="AE370">
        <f t="shared" si="74"/>
        <v>0</v>
      </c>
      <c r="AH370" t="str">
        <f>IFERROR(VLOOKUP(AG370,tbFactorMes,2,FALSE),"")</f>
        <v/>
      </c>
      <c r="AI370">
        <f t="shared" si="75"/>
        <v>0</v>
      </c>
      <c r="AL370" t="str">
        <f>IFERROR(VLOOKUP(AK370,tbFactorMes,2,FALSE),"")</f>
        <v/>
      </c>
      <c r="AM370">
        <f t="shared" si="76"/>
        <v>0</v>
      </c>
      <c r="AP370" t="str">
        <f>IFERROR(VLOOKUP(AO370,tbFactorMes,2,FALSE),"")</f>
        <v/>
      </c>
      <c r="AQ370">
        <f t="shared" si="77"/>
        <v>0</v>
      </c>
      <c r="AT370" t="str">
        <f>IFERROR(VLOOKUP(AS370,tbFactorMes,2,FALSE),"")</f>
        <v/>
      </c>
      <c r="AU370">
        <f t="shared" si="78"/>
        <v>0</v>
      </c>
      <c r="AX370" t="str">
        <f>IFERROR(VLOOKUP(AW370,tbFactorMes,2,FALSE),"")</f>
        <v/>
      </c>
      <c r="AY370">
        <f t="shared" si="79"/>
        <v>0</v>
      </c>
      <c r="BB370" t="str">
        <f>IFERROR(VLOOKUP(BA370,tbFactorMes,2,FALSE),"")</f>
        <v/>
      </c>
      <c r="BC370">
        <f t="shared" si="80"/>
        <v>0</v>
      </c>
      <c r="BF370" t="str">
        <f>IFERROR(VLOOKUP(BE370,tbFactorMes,2,FALSE),"")</f>
        <v/>
      </c>
      <c r="BG370">
        <f t="shared" si="81"/>
        <v>0</v>
      </c>
      <c r="BH370">
        <f t="shared" si="82"/>
        <v>0</v>
      </c>
      <c r="BI370">
        <f t="shared" si="83"/>
        <v>0</v>
      </c>
    </row>
    <row r="371" spans="11:61" x14ac:dyDescent="0.35">
      <c r="K371" t="str">
        <f>IFERROR(VLOOKUP(F371,tbTurnos,3,FALSE),"")</f>
        <v/>
      </c>
      <c r="N371" t="str">
        <f>IFERROR(VLOOKUP(M371,tbFactorMes,2,FALSE),"")</f>
        <v/>
      </c>
      <c r="O371">
        <f t="shared" si="70"/>
        <v>0</v>
      </c>
      <c r="R371" t="str">
        <f>IFERROR(VLOOKUP(Q371,tbFactorMes,2,FALSE),"")</f>
        <v/>
      </c>
      <c r="S371">
        <f t="shared" si="71"/>
        <v>0</v>
      </c>
      <c r="V371" t="str">
        <f>IFERROR(VLOOKUP(U371,tbFactorMes,2,FALSE),"")</f>
        <v/>
      </c>
      <c r="W371">
        <f t="shared" si="72"/>
        <v>0</v>
      </c>
      <c r="Z371" t="str">
        <f>IFERROR(VLOOKUP(Y371,tbFactorMes,2,FALSE),"")</f>
        <v/>
      </c>
      <c r="AA371">
        <f t="shared" si="73"/>
        <v>0</v>
      </c>
      <c r="AD371" t="str">
        <f>IFERROR(VLOOKUP(AC371,tbFactorMes,2,FALSE),"")</f>
        <v/>
      </c>
      <c r="AE371">
        <f t="shared" si="74"/>
        <v>0</v>
      </c>
      <c r="AH371" t="str">
        <f>IFERROR(VLOOKUP(AG371,tbFactorMes,2,FALSE),"")</f>
        <v/>
      </c>
      <c r="AI371">
        <f t="shared" si="75"/>
        <v>0</v>
      </c>
      <c r="AL371" t="str">
        <f>IFERROR(VLOOKUP(AK371,tbFactorMes,2,FALSE),"")</f>
        <v/>
      </c>
      <c r="AM371">
        <f t="shared" si="76"/>
        <v>0</v>
      </c>
      <c r="AP371" t="str">
        <f>IFERROR(VLOOKUP(AO371,tbFactorMes,2,FALSE),"")</f>
        <v/>
      </c>
      <c r="AQ371">
        <f t="shared" si="77"/>
        <v>0</v>
      </c>
      <c r="AT371" t="str">
        <f>IFERROR(VLOOKUP(AS371,tbFactorMes,2,FALSE),"")</f>
        <v/>
      </c>
      <c r="AU371">
        <f t="shared" si="78"/>
        <v>0</v>
      </c>
      <c r="AX371" t="str">
        <f>IFERROR(VLOOKUP(AW371,tbFactorMes,2,FALSE),"")</f>
        <v/>
      </c>
      <c r="AY371">
        <f t="shared" si="79"/>
        <v>0</v>
      </c>
      <c r="BB371" t="str">
        <f>IFERROR(VLOOKUP(BA371,tbFactorMes,2,FALSE),"")</f>
        <v/>
      </c>
      <c r="BC371">
        <f t="shared" si="80"/>
        <v>0</v>
      </c>
      <c r="BF371" t="str">
        <f>IFERROR(VLOOKUP(BE371,tbFactorMes,2,FALSE),"")</f>
        <v/>
      </c>
      <c r="BG371">
        <f t="shared" si="81"/>
        <v>0</v>
      </c>
      <c r="BH371">
        <f t="shared" si="82"/>
        <v>0</v>
      </c>
      <c r="BI371">
        <f t="shared" si="83"/>
        <v>0</v>
      </c>
    </row>
    <row r="372" spans="11:61" x14ac:dyDescent="0.35">
      <c r="K372" t="str">
        <f>IFERROR(VLOOKUP(F372,tbTurnos,3,FALSE),"")</f>
        <v/>
      </c>
      <c r="N372" t="str">
        <f>IFERROR(VLOOKUP(M372,tbFactorMes,2,FALSE),"")</f>
        <v/>
      </c>
      <c r="O372">
        <f t="shared" si="70"/>
        <v>0</v>
      </c>
      <c r="R372" t="str">
        <f>IFERROR(VLOOKUP(Q372,tbFactorMes,2,FALSE),"")</f>
        <v/>
      </c>
      <c r="S372">
        <f t="shared" si="71"/>
        <v>0</v>
      </c>
      <c r="V372" t="str">
        <f>IFERROR(VLOOKUP(U372,tbFactorMes,2,FALSE),"")</f>
        <v/>
      </c>
      <c r="W372">
        <f t="shared" si="72"/>
        <v>0</v>
      </c>
      <c r="Z372" t="str">
        <f>IFERROR(VLOOKUP(Y372,tbFactorMes,2,FALSE),"")</f>
        <v/>
      </c>
      <c r="AA372">
        <f t="shared" si="73"/>
        <v>0</v>
      </c>
      <c r="AD372" t="str">
        <f>IFERROR(VLOOKUP(AC372,tbFactorMes,2,FALSE),"")</f>
        <v/>
      </c>
      <c r="AE372">
        <f t="shared" si="74"/>
        <v>0</v>
      </c>
      <c r="AH372" t="str">
        <f>IFERROR(VLOOKUP(AG372,tbFactorMes,2,FALSE),"")</f>
        <v/>
      </c>
      <c r="AI372">
        <f t="shared" si="75"/>
        <v>0</v>
      </c>
      <c r="AL372" t="str">
        <f>IFERROR(VLOOKUP(AK372,tbFactorMes,2,FALSE),"")</f>
        <v/>
      </c>
      <c r="AM372">
        <f t="shared" si="76"/>
        <v>0</v>
      </c>
      <c r="AP372" t="str">
        <f>IFERROR(VLOOKUP(AO372,tbFactorMes,2,FALSE),"")</f>
        <v/>
      </c>
      <c r="AQ372">
        <f t="shared" si="77"/>
        <v>0</v>
      </c>
      <c r="AT372" t="str">
        <f>IFERROR(VLOOKUP(AS372,tbFactorMes,2,FALSE),"")</f>
        <v/>
      </c>
      <c r="AU372">
        <f t="shared" si="78"/>
        <v>0</v>
      </c>
      <c r="AX372" t="str">
        <f>IFERROR(VLOOKUP(AW372,tbFactorMes,2,FALSE),"")</f>
        <v/>
      </c>
      <c r="AY372">
        <f t="shared" si="79"/>
        <v>0</v>
      </c>
      <c r="BB372" t="str">
        <f>IFERROR(VLOOKUP(BA372,tbFactorMes,2,FALSE),"")</f>
        <v/>
      </c>
      <c r="BC372">
        <f t="shared" si="80"/>
        <v>0</v>
      </c>
      <c r="BF372" t="str">
        <f>IFERROR(VLOOKUP(BE372,tbFactorMes,2,FALSE),"")</f>
        <v/>
      </c>
      <c r="BG372">
        <f t="shared" si="81"/>
        <v>0</v>
      </c>
      <c r="BH372">
        <f t="shared" si="82"/>
        <v>0</v>
      </c>
      <c r="BI372">
        <f t="shared" si="83"/>
        <v>0</v>
      </c>
    </row>
    <row r="373" spans="11:61" x14ac:dyDescent="0.35">
      <c r="K373" t="str">
        <f>IFERROR(VLOOKUP(F373,tbTurnos,3,FALSE),"")</f>
        <v/>
      </c>
      <c r="N373" t="str">
        <f>IFERROR(VLOOKUP(M373,tbFactorMes,2,FALSE),"")</f>
        <v/>
      </c>
      <c r="O373">
        <f t="shared" si="70"/>
        <v>0</v>
      </c>
      <c r="R373" t="str">
        <f>IFERROR(VLOOKUP(Q373,tbFactorMes,2,FALSE),"")</f>
        <v/>
      </c>
      <c r="S373">
        <f t="shared" si="71"/>
        <v>0</v>
      </c>
      <c r="V373" t="str">
        <f>IFERROR(VLOOKUP(U373,tbFactorMes,2,FALSE),"")</f>
        <v/>
      </c>
      <c r="W373">
        <f t="shared" si="72"/>
        <v>0</v>
      </c>
      <c r="Z373" t="str">
        <f>IFERROR(VLOOKUP(Y373,tbFactorMes,2,FALSE),"")</f>
        <v/>
      </c>
      <c r="AA373">
        <f t="shared" si="73"/>
        <v>0</v>
      </c>
      <c r="AD373" t="str">
        <f>IFERROR(VLOOKUP(AC373,tbFactorMes,2,FALSE),"")</f>
        <v/>
      </c>
      <c r="AE373">
        <f t="shared" si="74"/>
        <v>0</v>
      </c>
      <c r="AH373" t="str">
        <f>IFERROR(VLOOKUP(AG373,tbFactorMes,2,FALSE),"")</f>
        <v/>
      </c>
      <c r="AI373">
        <f t="shared" si="75"/>
        <v>0</v>
      </c>
      <c r="AL373" t="str">
        <f>IFERROR(VLOOKUP(AK373,tbFactorMes,2,FALSE),"")</f>
        <v/>
      </c>
      <c r="AM373">
        <f t="shared" si="76"/>
        <v>0</v>
      </c>
      <c r="AP373" t="str">
        <f>IFERROR(VLOOKUP(AO373,tbFactorMes,2,FALSE),"")</f>
        <v/>
      </c>
      <c r="AQ373">
        <f t="shared" si="77"/>
        <v>0</v>
      </c>
      <c r="AT373" t="str">
        <f>IFERROR(VLOOKUP(AS373,tbFactorMes,2,FALSE),"")</f>
        <v/>
      </c>
      <c r="AU373">
        <f t="shared" si="78"/>
        <v>0</v>
      </c>
      <c r="AX373" t="str">
        <f>IFERROR(VLOOKUP(AW373,tbFactorMes,2,FALSE),"")</f>
        <v/>
      </c>
      <c r="AY373">
        <f t="shared" si="79"/>
        <v>0</v>
      </c>
      <c r="BB373" t="str">
        <f>IFERROR(VLOOKUP(BA373,tbFactorMes,2,FALSE),"")</f>
        <v/>
      </c>
      <c r="BC373">
        <f t="shared" si="80"/>
        <v>0</v>
      </c>
      <c r="BF373" t="str">
        <f>IFERROR(VLOOKUP(BE373,tbFactorMes,2,FALSE),"")</f>
        <v/>
      </c>
      <c r="BG373">
        <f t="shared" si="81"/>
        <v>0</v>
      </c>
      <c r="BH373">
        <f t="shared" si="82"/>
        <v>0</v>
      </c>
      <c r="BI373">
        <f t="shared" si="83"/>
        <v>0</v>
      </c>
    </row>
    <row r="374" spans="11:61" x14ac:dyDescent="0.35">
      <c r="K374" t="str">
        <f>IFERROR(VLOOKUP(F374,tbTurnos,3,FALSE),"")</f>
        <v/>
      </c>
      <c r="N374" t="str">
        <f>IFERROR(VLOOKUP(M374,tbFactorMes,2,FALSE),"")</f>
        <v/>
      </c>
      <c r="O374">
        <f t="shared" si="70"/>
        <v>0</v>
      </c>
      <c r="R374" t="str">
        <f>IFERROR(VLOOKUP(Q374,tbFactorMes,2,FALSE),"")</f>
        <v/>
      </c>
      <c r="S374">
        <f t="shared" si="71"/>
        <v>0</v>
      </c>
      <c r="V374" t="str">
        <f>IFERROR(VLOOKUP(U374,tbFactorMes,2,FALSE),"")</f>
        <v/>
      </c>
      <c r="W374">
        <f t="shared" si="72"/>
        <v>0</v>
      </c>
      <c r="Z374" t="str">
        <f>IFERROR(VLOOKUP(Y374,tbFactorMes,2,FALSE),"")</f>
        <v/>
      </c>
      <c r="AA374">
        <f t="shared" si="73"/>
        <v>0</v>
      </c>
      <c r="AD374" t="str">
        <f>IFERROR(VLOOKUP(AC374,tbFactorMes,2,FALSE),"")</f>
        <v/>
      </c>
      <c r="AE374">
        <f t="shared" si="74"/>
        <v>0</v>
      </c>
      <c r="AH374" t="str">
        <f>IFERROR(VLOOKUP(AG374,tbFactorMes,2,FALSE),"")</f>
        <v/>
      </c>
      <c r="AI374">
        <f t="shared" si="75"/>
        <v>0</v>
      </c>
      <c r="AL374" t="str">
        <f>IFERROR(VLOOKUP(AK374,tbFactorMes,2,FALSE),"")</f>
        <v/>
      </c>
      <c r="AM374">
        <f t="shared" si="76"/>
        <v>0</v>
      </c>
      <c r="AP374" t="str">
        <f>IFERROR(VLOOKUP(AO374,tbFactorMes,2,FALSE),"")</f>
        <v/>
      </c>
      <c r="AQ374">
        <f t="shared" si="77"/>
        <v>0</v>
      </c>
      <c r="AT374" t="str">
        <f>IFERROR(VLOOKUP(AS374,tbFactorMes,2,FALSE),"")</f>
        <v/>
      </c>
      <c r="AU374">
        <f t="shared" si="78"/>
        <v>0</v>
      </c>
      <c r="AX374" t="str">
        <f>IFERROR(VLOOKUP(AW374,tbFactorMes,2,FALSE),"")</f>
        <v/>
      </c>
      <c r="AY374">
        <f t="shared" si="79"/>
        <v>0</v>
      </c>
      <c r="BB374" t="str">
        <f>IFERROR(VLOOKUP(BA374,tbFactorMes,2,FALSE),"")</f>
        <v/>
      </c>
      <c r="BC374">
        <f t="shared" si="80"/>
        <v>0</v>
      </c>
      <c r="BF374" t="str">
        <f>IFERROR(VLOOKUP(BE374,tbFactorMes,2,FALSE),"")</f>
        <v/>
      </c>
      <c r="BG374">
        <f t="shared" si="81"/>
        <v>0</v>
      </c>
      <c r="BH374">
        <f t="shared" si="82"/>
        <v>0</v>
      </c>
      <c r="BI374">
        <f t="shared" si="83"/>
        <v>0</v>
      </c>
    </row>
    <row r="375" spans="11:61" x14ac:dyDescent="0.35">
      <c r="K375" t="str">
        <f>IFERROR(VLOOKUP(F375,tbTurnos,3,FALSE),"")</f>
        <v/>
      </c>
      <c r="N375" t="str">
        <f>IFERROR(VLOOKUP(M375,tbFactorMes,2,FALSE),"")</f>
        <v/>
      </c>
      <c r="O375">
        <f t="shared" si="70"/>
        <v>0</v>
      </c>
      <c r="R375" t="str">
        <f>IFERROR(VLOOKUP(Q375,tbFactorMes,2,FALSE),"")</f>
        <v/>
      </c>
      <c r="S375">
        <f t="shared" si="71"/>
        <v>0</v>
      </c>
      <c r="V375" t="str">
        <f>IFERROR(VLOOKUP(U375,tbFactorMes,2,FALSE),"")</f>
        <v/>
      </c>
      <c r="W375">
        <f t="shared" si="72"/>
        <v>0</v>
      </c>
      <c r="Z375" t="str">
        <f>IFERROR(VLOOKUP(Y375,tbFactorMes,2,FALSE),"")</f>
        <v/>
      </c>
      <c r="AA375">
        <f t="shared" si="73"/>
        <v>0</v>
      </c>
      <c r="AD375" t="str">
        <f>IFERROR(VLOOKUP(AC375,tbFactorMes,2,FALSE),"")</f>
        <v/>
      </c>
      <c r="AE375">
        <f t="shared" si="74"/>
        <v>0</v>
      </c>
      <c r="AH375" t="str">
        <f>IFERROR(VLOOKUP(AG375,tbFactorMes,2,FALSE),"")</f>
        <v/>
      </c>
      <c r="AI375">
        <f t="shared" si="75"/>
        <v>0</v>
      </c>
      <c r="AL375" t="str">
        <f>IFERROR(VLOOKUP(AK375,tbFactorMes,2,FALSE),"")</f>
        <v/>
      </c>
      <c r="AM375">
        <f t="shared" si="76"/>
        <v>0</v>
      </c>
      <c r="AP375" t="str">
        <f>IFERROR(VLOOKUP(AO375,tbFactorMes,2,FALSE),"")</f>
        <v/>
      </c>
      <c r="AQ375">
        <f t="shared" si="77"/>
        <v>0</v>
      </c>
      <c r="AT375" t="str">
        <f>IFERROR(VLOOKUP(AS375,tbFactorMes,2,FALSE),"")</f>
        <v/>
      </c>
      <c r="AU375">
        <f t="shared" si="78"/>
        <v>0</v>
      </c>
      <c r="AX375" t="str">
        <f>IFERROR(VLOOKUP(AW375,tbFactorMes,2,FALSE),"")</f>
        <v/>
      </c>
      <c r="AY375">
        <f t="shared" si="79"/>
        <v>0</v>
      </c>
      <c r="BB375" t="str">
        <f>IFERROR(VLOOKUP(BA375,tbFactorMes,2,FALSE),"")</f>
        <v/>
      </c>
      <c r="BC375">
        <f t="shared" si="80"/>
        <v>0</v>
      </c>
      <c r="BF375" t="str">
        <f>IFERROR(VLOOKUP(BE375,tbFactorMes,2,FALSE),"")</f>
        <v/>
      </c>
      <c r="BG375">
        <f t="shared" si="81"/>
        <v>0</v>
      </c>
      <c r="BH375">
        <f t="shared" si="82"/>
        <v>0</v>
      </c>
      <c r="BI375">
        <f t="shared" si="83"/>
        <v>0</v>
      </c>
    </row>
    <row r="376" spans="11:61" x14ac:dyDescent="0.35">
      <c r="K376" t="str">
        <f>IFERROR(VLOOKUP(F376,tbTurnos,3,FALSE),"")</f>
        <v/>
      </c>
      <c r="N376" t="str">
        <f>IFERROR(VLOOKUP(M376,tbFactorMes,2,FALSE),"")</f>
        <v/>
      </c>
      <c r="O376">
        <f t="shared" si="70"/>
        <v>0</v>
      </c>
      <c r="R376" t="str">
        <f>IFERROR(VLOOKUP(Q376,tbFactorMes,2,FALSE),"")</f>
        <v/>
      </c>
      <c r="S376">
        <f t="shared" si="71"/>
        <v>0</v>
      </c>
      <c r="V376" t="str">
        <f>IFERROR(VLOOKUP(U376,tbFactorMes,2,FALSE),"")</f>
        <v/>
      </c>
      <c r="W376">
        <f t="shared" si="72"/>
        <v>0</v>
      </c>
      <c r="Z376" t="str">
        <f>IFERROR(VLOOKUP(Y376,tbFactorMes,2,FALSE),"")</f>
        <v/>
      </c>
      <c r="AA376">
        <f t="shared" si="73"/>
        <v>0</v>
      </c>
      <c r="AD376" t="str">
        <f>IFERROR(VLOOKUP(AC376,tbFactorMes,2,FALSE),"")</f>
        <v/>
      </c>
      <c r="AE376">
        <f t="shared" si="74"/>
        <v>0</v>
      </c>
      <c r="AH376" t="str">
        <f>IFERROR(VLOOKUP(AG376,tbFactorMes,2,FALSE),"")</f>
        <v/>
      </c>
      <c r="AI376">
        <f t="shared" si="75"/>
        <v>0</v>
      </c>
      <c r="AL376" t="str">
        <f>IFERROR(VLOOKUP(AK376,tbFactorMes,2,FALSE),"")</f>
        <v/>
      </c>
      <c r="AM376">
        <f t="shared" si="76"/>
        <v>0</v>
      </c>
      <c r="AP376" t="str">
        <f>IFERROR(VLOOKUP(AO376,tbFactorMes,2,FALSE),"")</f>
        <v/>
      </c>
      <c r="AQ376">
        <f t="shared" si="77"/>
        <v>0</v>
      </c>
      <c r="AT376" t="str">
        <f>IFERROR(VLOOKUP(AS376,tbFactorMes,2,FALSE),"")</f>
        <v/>
      </c>
      <c r="AU376">
        <f t="shared" si="78"/>
        <v>0</v>
      </c>
      <c r="AX376" t="str">
        <f>IFERROR(VLOOKUP(AW376,tbFactorMes,2,FALSE),"")</f>
        <v/>
      </c>
      <c r="AY376">
        <f t="shared" si="79"/>
        <v>0</v>
      </c>
      <c r="BB376" t="str">
        <f>IFERROR(VLOOKUP(BA376,tbFactorMes,2,FALSE),"")</f>
        <v/>
      </c>
      <c r="BC376">
        <f t="shared" si="80"/>
        <v>0</v>
      </c>
      <c r="BF376" t="str">
        <f>IFERROR(VLOOKUP(BE376,tbFactorMes,2,FALSE),"")</f>
        <v/>
      </c>
      <c r="BG376">
        <f t="shared" si="81"/>
        <v>0</v>
      </c>
      <c r="BH376">
        <f t="shared" si="82"/>
        <v>0</v>
      </c>
      <c r="BI376">
        <f t="shared" si="83"/>
        <v>0</v>
      </c>
    </row>
    <row r="377" spans="11:61" x14ac:dyDescent="0.35">
      <c r="K377" t="str">
        <f>IFERROR(VLOOKUP(F377,tbTurnos,3,FALSE),"")</f>
        <v/>
      </c>
      <c r="N377" t="str">
        <f>IFERROR(VLOOKUP(M377,tbFactorMes,2,FALSE),"")</f>
        <v/>
      </c>
      <c r="O377">
        <f t="shared" si="70"/>
        <v>0</v>
      </c>
      <c r="R377" t="str">
        <f>IFERROR(VLOOKUP(Q377,tbFactorMes,2,FALSE),"")</f>
        <v/>
      </c>
      <c r="S377">
        <f t="shared" si="71"/>
        <v>0</v>
      </c>
      <c r="V377" t="str">
        <f>IFERROR(VLOOKUP(U377,tbFactorMes,2,FALSE),"")</f>
        <v/>
      </c>
      <c r="W377">
        <f t="shared" si="72"/>
        <v>0</v>
      </c>
      <c r="Z377" t="str">
        <f>IFERROR(VLOOKUP(Y377,tbFactorMes,2,FALSE),"")</f>
        <v/>
      </c>
      <c r="AA377">
        <f t="shared" si="73"/>
        <v>0</v>
      </c>
      <c r="AD377" t="str">
        <f>IFERROR(VLOOKUP(AC377,tbFactorMes,2,FALSE),"")</f>
        <v/>
      </c>
      <c r="AE377">
        <f t="shared" si="74"/>
        <v>0</v>
      </c>
      <c r="AH377" t="str">
        <f>IFERROR(VLOOKUP(AG377,tbFactorMes,2,FALSE),"")</f>
        <v/>
      </c>
      <c r="AI377">
        <f t="shared" si="75"/>
        <v>0</v>
      </c>
      <c r="AL377" t="str">
        <f>IFERROR(VLOOKUP(AK377,tbFactorMes,2,FALSE),"")</f>
        <v/>
      </c>
      <c r="AM377">
        <f t="shared" si="76"/>
        <v>0</v>
      </c>
      <c r="AP377" t="str">
        <f>IFERROR(VLOOKUP(AO377,tbFactorMes,2,FALSE),"")</f>
        <v/>
      </c>
      <c r="AQ377">
        <f t="shared" si="77"/>
        <v>0</v>
      </c>
      <c r="AT377" t="str">
        <f>IFERROR(VLOOKUP(AS377,tbFactorMes,2,FALSE),"")</f>
        <v/>
      </c>
      <c r="AU377">
        <f t="shared" si="78"/>
        <v>0</v>
      </c>
      <c r="AX377" t="str">
        <f>IFERROR(VLOOKUP(AW377,tbFactorMes,2,FALSE),"")</f>
        <v/>
      </c>
      <c r="AY377">
        <f t="shared" si="79"/>
        <v>0</v>
      </c>
      <c r="BB377" t="str">
        <f>IFERROR(VLOOKUP(BA377,tbFactorMes,2,FALSE),"")</f>
        <v/>
      </c>
      <c r="BC377">
        <f t="shared" si="80"/>
        <v>0</v>
      </c>
      <c r="BF377" t="str">
        <f>IFERROR(VLOOKUP(BE377,tbFactorMes,2,FALSE),"")</f>
        <v/>
      </c>
      <c r="BG377">
        <f t="shared" si="81"/>
        <v>0</v>
      </c>
      <c r="BH377">
        <f t="shared" si="82"/>
        <v>0</v>
      </c>
      <c r="BI377">
        <f t="shared" si="83"/>
        <v>0</v>
      </c>
    </row>
    <row r="378" spans="11:61" x14ac:dyDescent="0.35">
      <c r="K378" t="str">
        <f>IFERROR(VLOOKUP(F378,tbTurnos,3,FALSE),"")</f>
        <v/>
      </c>
      <c r="N378" t="str">
        <f>IFERROR(VLOOKUP(M378,tbFactorMes,2,FALSE),"")</f>
        <v/>
      </c>
      <c r="O378">
        <f t="shared" si="70"/>
        <v>0</v>
      </c>
      <c r="R378" t="str">
        <f>IFERROR(VLOOKUP(Q378,tbFactorMes,2,FALSE),"")</f>
        <v/>
      </c>
      <c r="S378">
        <f t="shared" si="71"/>
        <v>0</v>
      </c>
      <c r="V378" t="str">
        <f>IFERROR(VLOOKUP(U378,tbFactorMes,2,FALSE),"")</f>
        <v/>
      </c>
      <c r="W378">
        <f t="shared" si="72"/>
        <v>0</v>
      </c>
      <c r="Z378" t="str">
        <f>IFERROR(VLOOKUP(Y378,tbFactorMes,2,FALSE),"")</f>
        <v/>
      </c>
      <c r="AA378">
        <f t="shared" si="73"/>
        <v>0</v>
      </c>
      <c r="AD378" t="str">
        <f>IFERROR(VLOOKUP(AC378,tbFactorMes,2,FALSE),"")</f>
        <v/>
      </c>
      <c r="AE378">
        <f t="shared" si="74"/>
        <v>0</v>
      </c>
      <c r="AH378" t="str">
        <f>IFERROR(VLOOKUP(AG378,tbFactorMes,2,FALSE),"")</f>
        <v/>
      </c>
      <c r="AI378">
        <f t="shared" si="75"/>
        <v>0</v>
      </c>
      <c r="AL378" t="str">
        <f>IFERROR(VLOOKUP(AK378,tbFactorMes,2,FALSE),"")</f>
        <v/>
      </c>
      <c r="AM378">
        <f t="shared" si="76"/>
        <v>0</v>
      </c>
      <c r="AP378" t="str">
        <f>IFERROR(VLOOKUP(AO378,tbFactorMes,2,FALSE),"")</f>
        <v/>
      </c>
      <c r="AQ378">
        <f t="shared" si="77"/>
        <v>0</v>
      </c>
      <c r="AT378" t="str">
        <f>IFERROR(VLOOKUP(AS378,tbFactorMes,2,FALSE),"")</f>
        <v/>
      </c>
      <c r="AU378">
        <f t="shared" si="78"/>
        <v>0</v>
      </c>
      <c r="AX378" t="str">
        <f>IFERROR(VLOOKUP(AW378,tbFactorMes,2,FALSE),"")</f>
        <v/>
      </c>
      <c r="AY378">
        <f t="shared" si="79"/>
        <v>0</v>
      </c>
      <c r="BB378" t="str">
        <f>IFERROR(VLOOKUP(BA378,tbFactorMes,2,FALSE),"")</f>
        <v/>
      </c>
      <c r="BC378">
        <f t="shared" si="80"/>
        <v>0</v>
      </c>
      <c r="BF378" t="str">
        <f>IFERROR(VLOOKUP(BE378,tbFactorMes,2,FALSE),"")</f>
        <v/>
      </c>
      <c r="BG378">
        <f t="shared" si="81"/>
        <v>0</v>
      </c>
      <c r="BH378">
        <f t="shared" si="82"/>
        <v>0</v>
      </c>
      <c r="BI378">
        <f t="shared" si="83"/>
        <v>0</v>
      </c>
    </row>
    <row r="379" spans="11:61" x14ac:dyDescent="0.35">
      <c r="K379" t="str">
        <f>IFERROR(VLOOKUP(F379,tbTurnos,3,FALSE),"")</f>
        <v/>
      </c>
      <c r="N379" t="str">
        <f>IFERROR(VLOOKUP(M379,tbFactorMes,2,FALSE),"")</f>
        <v/>
      </c>
      <c r="O379">
        <f t="shared" si="70"/>
        <v>0</v>
      </c>
      <c r="R379" t="str">
        <f>IFERROR(VLOOKUP(Q379,tbFactorMes,2,FALSE),"")</f>
        <v/>
      </c>
      <c r="S379">
        <f t="shared" si="71"/>
        <v>0</v>
      </c>
      <c r="V379" t="str">
        <f>IFERROR(VLOOKUP(U379,tbFactorMes,2,FALSE),"")</f>
        <v/>
      </c>
      <c r="W379">
        <f t="shared" si="72"/>
        <v>0</v>
      </c>
      <c r="Z379" t="str">
        <f>IFERROR(VLOOKUP(Y379,tbFactorMes,2,FALSE),"")</f>
        <v/>
      </c>
      <c r="AA379">
        <f t="shared" si="73"/>
        <v>0</v>
      </c>
      <c r="AD379" t="str">
        <f>IFERROR(VLOOKUP(AC379,tbFactorMes,2,FALSE),"")</f>
        <v/>
      </c>
      <c r="AE379">
        <f t="shared" si="74"/>
        <v>0</v>
      </c>
      <c r="AH379" t="str">
        <f>IFERROR(VLOOKUP(AG379,tbFactorMes,2,FALSE),"")</f>
        <v/>
      </c>
      <c r="AI379">
        <f t="shared" si="75"/>
        <v>0</v>
      </c>
      <c r="AL379" t="str">
        <f>IFERROR(VLOOKUP(AK379,tbFactorMes,2,FALSE),"")</f>
        <v/>
      </c>
      <c r="AM379">
        <f t="shared" si="76"/>
        <v>0</v>
      </c>
      <c r="AP379" t="str">
        <f>IFERROR(VLOOKUP(AO379,tbFactorMes,2,FALSE),"")</f>
        <v/>
      </c>
      <c r="AQ379">
        <f t="shared" si="77"/>
        <v>0</v>
      </c>
      <c r="AT379" t="str">
        <f>IFERROR(VLOOKUP(AS379,tbFactorMes,2,FALSE),"")</f>
        <v/>
      </c>
      <c r="AU379">
        <f t="shared" si="78"/>
        <v>0</v>
      </c>
      <c r="AX379" t="str">
        <f>IFERROR(VLOOKUP(AW379,tbFactorMes,2,FALSE),"")</f>
        <v/>
      </c>
      <c r="AY379">
        <f t="shared" si="79"/>
        <v>0</v>
      </c>
      <c r="BB379" t="str">
        <f>IFERROR(VLOOKUP(BA379,tbFactorMes,2,FALSE),"")</f>
        <v/>
      </c>
      <c r="BC379">
        <f t="shared" si="80"/>
        <v>0</v>
      </c>
      <c r="BF379" t="str">
        <f>IFERROR(VLOOKUP(BE379,tbFactorMes,2,FALSE),"")</f>
        <v/>
      </c>
      <c r="BG379">
        <f t="shared" si="81"/>
        <v>0</v>
      </c>
      <c r="BH379">
        <f t="shared" si="82"/>
        <v>0</v>
      </c>
      <c r="BI379">
        <f t="shared" si="83"/>
        <v>0</v>
      </c>
    </row>
    <row r="380" spans="11:61" x14ac:dyDescent="0.35">
      <c r="K380" t="str">
        <f>IFERROR(VLOOKUP(F380,tbTurnos,3,FALSE),"")</f>
        <v/>
      </c>
      <c r="N380" t="str">
        <f>IFERROR(VLOOKUP(M380,tbFactorMes,2,FALSE),"")</f>
        <v/>
      </c>
      <c r="O380">
        <f t="shared" si="70"/>
        <v>0</v>
      </c>
      <c r="R380" t="str">
        <f>IFERROR(VLOOKUP(Q380,tbFactorMes,2,FALSE),"")</f>
        <v/>
      </c>
      <c r="S380">
        <f t="shared" si="71"/>
        <v>0</v>
      </c>
      <c r="V380" t="str">
        <f>IFERROR(VLOOKUP(U380,tbFactorMes,2,FALSE),"")</f>
        <v/>
      </c>
      <c r="W380">
        <f t="shared" si="72"/>
        <v>0</v>
      </c>
      <c r="Z380" t="str">
        <f>IFERROR(VLOOKUP(Y380,tbFactorMes,2,FALSE),"")</f>
        <v/>
      </c>
      <c r="AA380">
        <f t="shared" si="73"/>
        <v>0</v>
      </c>
      <c r="AD380" t="str">
        <f>IFERROR(VLOOKUP(AC380,tbFactorMes,2,FALSE),"")</f>
        <v/>
      </c>
      <c r="AE380">
        <f t="shared" si="74"/>
        <v>0</v>
      </c>
      <c r="AH380" t="str">
        <f>IFERROR(VLOOKUP(AG380,tbFactorMes,2,FALSE),"")</f>
        <v/>
      </c>
      <c r="AI380">
        <f t="shared" si="75"/>
        <v>0</v>
      </c>
      <c r="AL380" t="str">
        <f>IFERROR(VLOOKUP(AK380,tbFactorMes,2,FALSE),"")</f>
        <v/>
      </c>
      <c r="AM380">
        <f t="shared" si="76"/>
        <v>0</v>
      </c>
      <c r="AP380" t="str">
        <f>IFERROR(VLOOKUP(AO380,tbFactorMes,2,FALSE),"")</f>
        <v/>
      </c>
      <c r="AQ380">
        <f t="shared" si="77"/>
        <v>0</v>
      </c>
      <c r="AT380" t="str">
        <f>IFERROR(VLOOKUP(AS380,tbFactorMes,2,FALSE),"")</f>
        <v/>
      </c>
      <c r="AU380">
        <f t="shared" si="78"/>
        <v>0</v>
      </c>
      <c r="AX380" t="str">
        <f>IFERROR(VLOOKUP(AW380,tbFactorMes,2,FALSE),"")</f>
        <v/>
      </c>
      <c r="AY380">
        <f t="shared" si="79"/>
        <v>0</v>
      </c>
      <c r="BB380" t="str">
        <f>IFERROR(VLOOKUP(BA380,tbFactorMes,2,FALSE),"")</f>
        <v/>
      </c>
      <c r="BC380">
        <f t="shared" si="80"/>
        <v>0</v>
      </c>
      <c r="BF380" t="str">
        <f>IFERROR(VLOOKUP(BE380,tbFactorMes,2,FALSE),"")</f>
        <v/>
      </c>
      <c r="BG380">
        <f t="shared" si="81"/>
        <v>0</v>
      </c>
      <c r="BH380">
        <f t="shared" si="82"/>
        <v>0</v>
      </c>
      <c r="BI380">
        <f t="shared" si="83"/>
        <v>0</v>
      </c>
    </row>
    <row r="381" spans="11:61" x14ac:dyDescent="0.35">
      <c r="K381" t="str">
        <f>IFERROR(VLOOKUP(F381,tbTurnos,3,FALSE),"")</f>
        <v/>
      </c>
      <c r="N381" t="str">
        <f>IFERROR(VLOOKUP(M381,tbFactorMes,2,FALSE),"")</f>
        <v/>
      </c>
      <c r="O381">
        <f t="shared" si="70"/>
        <v>0</v>
      </c>
      <c r="R381" t="str">
        <f>IFERROR(VLOOKUP(Q381,tbFactorMes,2,FALSE),"")</f>
        <v/>
      </c>
      <c r="S381">
        <f t="shared" si="71"/>
        <v>0</v>
      </c>
      <c r="V381" t="str">
        <f>IFERROR(VLOOKUP(U381,tbFactorMes,2,FALSE),"")</f>
        <v/>
      </c>
      <c r="W381">
        <f t="shared" si="72"/>
        <v>0</v>
      </c>
      <c r="Z381" t="str">
        <f>IFERROR(VLOOKUP(Y381,tbFactorMes,2,FALSE),"")</f>
        <v/>
      </c>
      <c r="AA381">
        <f t="shared" si="73"/>
        <v>0</v>
      </c>
      <c r="AD381" t="str">
        <f>IFERROR(VLOOKUP(AC381,tbFactorMes,2,FALSE),"")</f>
        <v/>
      </c>
      <c r="AE381">
        <f t="shared" si="74"/>
        <v>0</v>
      </c>
      <c r="AH381" t="str">
        <f>IFERROR(VLOOKUP(AG381,tbFactorMes,2,FALSE),"")</f>
        <v/>
      </c>
      <c r="AI381">
        <f t="shared" si="75"/>
        <v>0</v>
      </c>
      <c r="AL381" t="str">
        <f>IFERROR(VLOOKUP(AK381,tbFactorMes,2,FALSE),"")</f>
        <v/>
      </c>
      <c r="AM381">
        <f t="shared" si="76"/>
        <v>0</v>
      </c>
      <c r="AP381" t="str">
        <f>IFERROR(VLOOKUP(AO381,tbFactorMes,2,FALSE),"")</f>
        <v/>
      </c>
      <c r="AQ381">
        <f t="shared" si="77"/>
        <v>0</v>
      </c>
      <c r="AT381" t="str">
        <f>IFERROR(VLOOKUP(AS381,tbFactorMes,2,FALSE),"")</f>
        <v/>
      </c>
      <c r="AU381">
        <f t="shared" si="78"/>
        <v>0</v>
      </c>
      <c r="AX381" t="str">
        <f>IFERROR(VLOOKUP(AW381,tbFactorMes,2,FALSE),"")</f>
        <v/>
      </c>
      <c r="AY381">
        <f t="shared" si="79"/>
        <v>0</v>
      </c>
      <c r="BB381" t="str">
        <f>IFERROR(VLOOKUP(BA381,tbFactorMes,2,FALSE),"")</f>
        <v/>
      </c>
      <c r="BC381">
        <f t="shared" si="80"/>
        <v>0</v>
      </c>
      <c r="BF381" t="str">
        <f>IFERROR(VLOOKUP(BE381,tbFactorMes,2,FALSE),"")</f>
        <v/>
      </c>
      <c r="BG381">
        <f t="shared" si="81"/>
        <v>0</v>
      </c>
      <c r="BH381">
        <f t="shared" si="82"/>
        <v>0</v>
      </c>
      <c r="BI381">
        <f t="shared" si="83"/>
        <v>0</v>
      </c>
    </row>
    <row r="382" spans="11:61" x14ac:dyDescent="0.35">
      <c r="K382" t="str">
        <f>IFERROR(VLOOKUP(F382,tbTurnos,3,FALSE),"")</f>
        <v/>
      </c>
      <c r="N382" t="str">
        <f>IFERROR(VLOOKUP(M382,tbFactorMes,2,FALSE),"")</f>
        <v/>
      </c>
      <c r="O382">
        <f t="shared" si="70"/>
        <v>0</v>
      </c>
      <c r="R382" t="str">
        <f>IFERROR(VLOOKUP(Q382,tbFactorMes,2,FALSE),"")</f>
        <v/>
      </c>
      <c r="S382">
        <f t="shared" si="71"/>
        <v>0</v>
      </c>
      <c r="V382" t="str">
        <f>IFERROR(VLOOKUP(U382,tbFactorMes,2,FALSE),"")</f>
        <v/>
      </c>
      <c r="W382">
        <f t="shared" si="72"/>
        <v>0</v>
      </c>
      <c r="Z382" t="str">
        <f>IFERROR(VLOOKUP(Y382,tbFactorMes,2,FALSE),"")</f>
        <v/>
      </c>
      <c r="AA382">
        <f t="shared" si="73"/>
        <v>0</v>
      </c>
      <c r="AD382" t="str">
        <f>IFERROR(VLOOKUP(AC382,tbFactorMes,2,FALSE),"")</f>
        <v/>
      </c>
      <c r="AE382">
        <f t="shared" si="74"/>
        <v>0</v>
      </c>
      <c r="AH382" t="str">
        <f>IFERROR(VLOOKUP(AG382,tbFactorMes,2,FALSE),"")</f>
        <v/>
      </c>
      <c r="AI382">
        <f t="shared" si="75"/>
        <v>0</v>
      </c>
      <c r="AL382" t="str">
        <f>IFERROR(VLOOKUP(AK382,tbFactorMes,2,FALSE),"")</f>
        <v/>
      </c>
      <c r="AM382">
        <f t="shared" si="76"/>
        <v>0</v>
      </c>
      <c r="AP382" t="str">
        <f>IFERROR(VLOOKUP(AO382,tbFactorMes,2,FALSE),"")</f>
        <v/>
      </c>
      <c r="AQ382">
        <f t="shared" si="77"/>
        <v>0</v>
      </c>
      <c r="AT382" t="str">
        <f>IFERROR(VLOOKUP(AS382,tbFactorMes,2,FALSE),"")</f>
        <v/>
      </c>
      <c r="AU382">
        <f t="shared" si="78"/>
        <v>0</v>
      </c>
      <c r="AX382" t="str">
        <f>IFERROR(VLOOKUP(AW382,tbFactorMes,2,FALSE),"")</f>
        <v/>
      </c>
      <c r="AY382">
        <f t="shared" si="79"/>
        <v>0</v>
      </c>
      <c r="BB382" t="str">
        <f>IFERROR(VLOOKUP(BA382,tbFactorMes,2,FALSE),"")</f>
        <v/>
      </c>
      <c r="BC382">
        <f t="shared" si="80"/>
        <v>0</v>
      </c>
      <c r="BF382" t="str">
        <f>IFERROR(VLOOKUP(BE382,tbFactorMes,2,FALSE),"")</f>
        <v/>
      </c>
      <c r="BG382">
        <f t="shared" si="81"/>
        <v>0</v>
      </c>
      <c r="BH382">
        <f t="shared" si="82"/>
        <v>0</v>
      </c>
      <c r="BI382">
        <f t="shared" si="83"/>
        <v>0</v>
      </c>
    </row>
    <row r="383" spans="11:61" x14ac:dyDescent="0.35">
      <c r="K383" t="str">
        <f>IFERROR(VLOOKUP(F383,tbTurnos,3,FALSE),"")</f>
        <v/>
      </c>
      <c r="N383" t="str">
        <f>IFERROR(VLOOKUP(M383,tbFactorMes,2,FALSE),"")</f>
        <v/>
      </c>
      <c r="O383">
        <f t="shared" si="70"/>
        <v>0</v>
      </c>
      <c r="R383" t="str">
        <f>IFERROR(VLOOKUP(Q383,tbFactorMes,2,FALSE),"")</f>
        <v/>
      </c>
      <c r="S383">
        <f t="shared" si="71"/>
        <v>0</v>
      </c>
      <c r="V383" t="str">
        <f>IFERROR(VLOOKUP(U383,tbFactorMes,2,FALSE),"")</f>
        <v/>
      </c>
      <c r="W383">
        <f t="shared" si="72"/>
        <v>0</v>
      </c>
      <c r="Z383" t="str">
        <f>IFERROR(VLOOKUP(Y383,tbFactorMes,2,FALSE),"")</f>
        <v/>
      </c>
      <c r="AA383">
        <f t="shared" si="73"/>
        <v>0</v>
      </c>
      <c r="AD383" t="str">
        <f>IFERROR(VLOOKUP(AC383,tbFactorMes,2,FALSE),"")</f>
        <v/>
      </c>
      <c r="AE383">
        <f t="shared" si="74"/>
        <v>0</v>
      </c>
      <c r="AH383" t="str">
        <f>IFERROR(VLOOKUP(AG383,tbFactorMes,2,FALSE),"")</f>
        <v/>
      </c>
      <c r="AI383">
        <f t="shared" si="75"/>
        <v>0</v>
      </c>
      <c r="AL383" t="str">
        <f>IFERROR(VLOOKUP(AK383,tbFactorMes,2,FALSE),"")</f>
        <v/>
      </c>
      <c r="AM383">
        <f t="shared" si="76"/>
        <v>0</v>
      </c>
      <c r="AP383" t="str">
        <f>IFERROR(VLOOKUP(AO383,tbFactorMes,2,FALSE),"")</f>
        <v/>
      </c>
      <c r="AQ383">
        <f t="shared" si="77"/>
        <v>0</v>
      </c>
      <c r="AT383" t="str">
        <f>IFERROR(VLOOKUP(AS383,tbFactorMes,2,FALSE),"")</f>
        <v/>
      </c>
      <c r="AU383">
        <f t="shared" si="78"/>
        <v>0</v>
      </c>
      <c r="AX383" t="str">
        <f>IFERROR(VLOOKUP(AW383,tbFactorMes,2,FALSE),"")</f>
        <v/>
      </c>
      <c r="AY383">
        <f t="shared" si="79"/>
        <v>0</v>
      </c>
      <c r="BB383" t="str">
        <f>IFERROR(VLOOKUP(BA383,tbFactorMes,2,FALSE),"")</f>
        <v/>
      </c>
      <c r="BC383">
        <f t="shared" si="80"/>
        <v>0</v>
      </c>
      <c r="BF383" t="str">
        <f>IFERROR(VLOOKUP(BE383,tbFactorMes,2,FALSE),"")</f>
        <v/>
      </c>
      <c r="BG383">
        <f t="shared" si="81"/>
        <v>0</v>
      </c>
      <c r="BH383">
        <f t="shared" si="82"/>
        <v>0</v>
      </c>
      <c r="BI383">
        <f t="shared" si="83"/>
        <v>0</v>
      </c>
    </row>
    <row r="384" spans="11:61" x14ac:dyDescent="0.35">
      <c r="K384" t="str">
        <f>IFERROR(VLOOKUP(F384,tbTurnos,3,FALSE),"")</f>
        <v/>
      </c>
      <c r="N384" t="str">
        <f>IFERROR(VLOOKUP(M384,tbFactorMes,2,FALSE),"")</f>
        <v/>
      </c>
      <c r="O384">
        <f t="shared" si="70"/>
        <v>0</v>
      </c>
      <c r="R384" t="str">
        <f>IFERROR(VLOOKUP(Q384,tbFactorMes,2,FALSE),"")</f>
        <v/>
      </c>
      <c r="S384">
        <f t="shared" si="71"/>
        <v>0</v>
      </c>
      <c r="V384" t="str">
        <f>IFERROR(VLOOKUP(U384,tbFactorMes,2,FALSE),"")</f>
        <v/>
      </c>
      <c r="W384">
        <f t="shared" si="72"/>
        <v>0</v>
      </c>
      <c r="Z384" t="str">
        <f>IFERROR(VLOOKUP(Y384,tbFactorMes,2,FALSE),"")</f>
        <v/>
      </c>
      <c r="AA384">
        <f t="shared" si="73"/>
        <v>0</v>
      </c>
      <c r="AD384" t="str">
        <f>IFERROR(VLOOKUP(AC384,tbFactorMes,2,FALSE),"")</f>
        <v/>
      </c>
      <c r="AE384">
        <f t="shared" si="74"/>
        <v>0</v>
      </c>
      <c r="AH384" t="str">
        <f>IFERROR(VLOOKUP(AG384,tbFactorMes,2,FALSE),"")</f>
        <v/>
      </c>
      <c r="AI384">
        <f t="shared" si="75"/>
        <v>0</v>
      </c>
      <c r="AL384" t="str">
        <f>IFERROR(VLOOKUP(AK384,tbFactorMes,2,FALSE),"")</f>
        <v/>
      </c>
      <c r="AM384">
        <f t="shared" si="76"/>
        <v>0</v>
      </c>
      <c r="AP384" t="str">
        <f>IFERROR(VLOOKUP(AO384,tbFactorMes,2,FALSE),"")</f>
        <v/>
      </c>
      <c r="AQ384">
        <f t="shared" si="77"/>
        <v>0</v>
      </c>
      <c r="AT384" t="str">
        <f>IFERROR(VLOOKUP(AS384,tbFactorMes,2,FALSE),"")</f>
        <v/>
      </c>
      <c r="AU384">
        <f t="shared" si="78"/>
        <v>0</v>
      </c>
      <c r="AX384" t="str">
        <f>IFERROR(VLOOKUP(AW384,tbFactorMes,2,FALSE),"")</f>
        <v/>
      </c>
      <c r="AY384">
        <f t="shared" si="79"/>
        <v>0</v>
      </c>
      <c r="BB384" t="str">
        <f>IFERROR(VLOOKUP(BA384,tbFactorMes,2,FALSE),"")</f>
        <v/>
      </c>
      <c r="BC384">
        <f t="shared" si="80"/>
        <v>0</v>
      </c>
      <c r="BF384" t="str">
        <f>IFERROR(VLOOKUP(BE384,tbFactorMes,2,FALSE),"")</f>
        <v/>
      </c>
      <c r="BG384">
        <f t="shared" si="81"/>
        <v>0</v>
      </c>
      <c r="BH384">
        <f t="shared" si="82"/>
        <v>0</v>
      </c>
      <c r="BI384">
        <f t="shared" si="83"/>
        <v>0</v>
      </c>
    </row>
    <row r="385" spans="11:61" x14ac:dyDescent="0.35">
      <c r="K385" t="str">
        <f>IFERROR(VLOOKUP(F385,tbTurnos,3,FALSE),"")</f>
        <v/>
      </c>
      <c r="N385" t="str">
        <f>IFERROR(VLOOKUP(M385,tbFactorMes,2,FALSE),"")</f>
        <v/>
      </c>
      <c r="O385">
        <f t="shared" si="70"/>
        <v>0</v>
      </c>
      <c r="R385" t="str">
        <f>IFERROR(VLOOKUP(Q385,tbFactorMes,2,FALSE),"")</f>
        <v/>
      </c>
      <c r="S385">
        <f t="shared" si="71"/>
        <v>0</v>
      </c>
      <c r="V385" t="str">
        <f>IFERROR(VLOOKUP(U385,tbFactorMes,2,FALSE),"")</f>
        <v/>
      </c>
      <c r="W385">
        <f t="shared" si="72"/>
        <v>0</v>
      </c>
      <c r="Z385" t="str">
        <f>IFERROR(VLOOKUP(Y385,tbFactorMes,2,FALSE),"")</f>
        <v/>
      </c>
      <c r="AA385">
        <f t="shared" si="73"/>
        <v>0</v>
      </c>
      <c r="AD385" t="str">
        <f>IFERROR(VLOOKUP(AC385,tbFactorMes,2,FALSE),"")</f>
        <v/>
      </c>
      <c r="AE385">
        <f t="shared" si="74"/>
        <v>0</v>
      </c>
      <c r="AH385" t="str">
        <f>IFERROR(VLOOKUP(AG385,tbFactorMes,2,FALSE),"")</f>
        <v/>
      </c>
      <c r="AI385">
        <f t="shared" si="75"/>
        <v>0</v>
      </c>
      <c r="AL385" t="str">
        <f>IFERROR(VLOOKUP(AK385,tbFactorMes,2,FALSE),"")</f>
        <v/>
      </c>
      <c r="AM385">
        <f t="shared" si="76"/>
        <v>0</v>
      </c>
      <c r="AP385" t="str">
        <f>IFERROR(VLOOKUP(AO385,tbFactorMes,2,FALSE),"")</f>
        <v/>
      </c>
      <c r="AQ385">
        <f t="shared" si="77"/>
        <v>0</v>
      </c>
      <c r="AT385" t="str">
        <f>IFERROR(VLOOKUP(AS385,tbFactorMes,2,FALSE),"")</f>
        <v/>
      </c>
      <c r="AU385">
        <f t="shared" si="78"/>
        <v>0</v>
      </c>
      <c r="AX385" t="str">
        <f>IFERROR(VLOOKUP(AW385,tbFactorMes,2,FALSE),"")</f>
        <v/>
      </c>
      <c r="AY385">
        <f t="shared" si="79"/>
        <v>0</v>
      </c>
      <c r="BB385" t="str">
        <f>IFERROR(VLOOKUP(BA385,tbFactorMes,2,FALSE),"")</f>
        <v/>
      </c>
      <c r="BC385">
        <f t="shared" si="80"/>
        <v>0</v>
      </c>
      <c r="BF385" t="str">
        <f>IFERROR(VLOOKUP(BE385,tbFactorMes,2,FALSE),"")</f>
        <v/>
      </c>
      <c r="BG385">
        <f t="shared" si="81"/>
        <v>0</v>
      </c>
      <c r="BH385">
        <f t="shared" si="82"/>
        <v>0</v>
      </c>
      <c r="BI385">
        <f t="shared" si="83"/>
        <v>0</v>
      </c>
    </row>
    <row r="386" spans="11:61" x14ac:dyDescent="0.35">
      <c r="K386" t="str">
        <f>IFERROR(VLOOKUP(F386,tbTurnos,3,FALSE),"")</f>
        <v/>
      </c>
      <c r="N386" t="str">
        <f>IFERROR(VLOOKUP(M386,tbFactorMes,2,FALSE),"")</f>
        <v/>
      </c>
      <c r="O386">
        <f t="shared" ref="O386:O449" si="84">IFERROR((L386*$K386)/N386,0)*$J386</f>
        <v>0</v>
      </c>
      <c r="R386" t="str">
        <f>IFERROR(VLOOKUP(Q386,tbFactorMes,2,FALSE),"")</f>
        <v/>
      </c>
      <c r="S386">
        <f t="shared" ref="S386:S449" si="85">IFERROR((P386*$K386)/R386,0)*$J386</f>
        <v>0</v>
      </c>
      <c r="V386" t="str">
        <f>IFERROR(VLOOKUP(U386,tbFactorMes,2,FALSE),"")</f>
        <v/>
      </c>
      <c r="W386">
        <f t="shared" ref="W386:W449" si="86">IFERROR((T386*$K386)/V386,0)*$J386</f>
        <v>0</v>
      </c>
      <c r="Z386" t="str">
        <f>IFERROR(VLOOKUP(Y386,tbFactorMes,2,FALSE),"")</f>
        <v/>
      </c>
      <c r="AA386">
        <f t="shared" ref="AA386:AA449" si="87">IFERROR((X386*$K386)/Z386,0)*$J386</f>
        <v>0</v>
      </c>
      <c r="AD386" t="str">
        <f>IFERROR(VLOOKUP(AC386,tbFactorMes,2,FALSE),"")</f>
        <v/>
      </c>
      <c r="AE386">
        <f t="shared" ref="AE386:AE449" si="88">IFERROR((AB386*$K386)/AD386,0)*$J386</f>
        <v>0</v>
      </c>
      <c r="AH386" t="str">
        <f>IFERROR(VLOOKUP(AG386,tbFactorMes,2,FALSE),"")</f>
        <v/>
      </c>
      <c r="AI386">
        <f t="shared" ref="AI386:AI449" si="89">IFERROR((AF386*$K386)/AH386,0)*$J386</f>
        <v>0</v>
      </c>
      <c r="AL386" t="str">
        <f>IFERROR(VLOOKUP(AK386,tbFactorMes,2,FALSE),"")</f>
        <v/>
      </c>
      <c r="AM386">
        <f t="shared" ref="AM386:AM449" si="90">IFERROR((AJ386*$K386)/AL386,0)*$J386</f>
        <v>0</v>
      </c>
      <c r="AP386" t="str">
        <f>IFERROR(VLOOKUP(AO386,tbFactorMes,2,FALSE),"")</f>
        <v/>
      </c>
      <c r="AQ386">
        <f t="shared" ref="AQ386:AQ449" si="91">IFERROR((AN386*$K386)/AP386,0)*$J386</f>
        <v>0</v>
      </c>
      <c r="AT386" t="str">
        <f>IFERROR(VLOOKUP(AS386,tbFactorMes,2,FALSE),"")</f>
        <v/>
      </c>
      <c r="AU386">
        <f t="shared" ref="AU386:AU449" si="92">IFERROR((AR386*$K386)/AT386,0)*$J386</f>
        <v>0</v>
      </c>
      <c r="AX386" t="str">
        <f>IFERROR(VLOOKUP(AW386,tbFactorMes,2,FALSE),"")</f>
        <v/>
      </c>
      <c r="AY386">
        <f t="shared" ref="AY386:AY449" si="93">IFERROR((AV386*$K386)/AX386,0)*$J386</f>
        <v>0</v>
      </c>
      <c r="BB386" t="str">
        <f>IFERROR(VLOOKUP(BA386,tbFactorMes,2,FALSE),"")</f>
        <v/>
      </c>
      <c r="BC386">
        <f t="shared" ref="BC386:BC449" si="94">IFERROR((AZ386*$K386)/BB386,0)*$J386</f>
        <v>0</v>
      </c>
      <c r="BF386" t="str">
        <f>IFERROR(VLOOKUP(BE386,tbFactorMes,2,FALSE),"")</f>
        <v/>
      </c>
      <c r="BG386">
        <f t="shared" ref="BG386:BG449" si="95">IFERROR((BD386*$K386)/BF386,0)*$J386</f>
        <v>0</v>
      </c>
      <c r="BH386">
        <f t="shared" ref="BH386:BH449" si="96">IFERROR(SUM(O386,S386,W386,AA386,AE386,AI386,AM386,AQ386,AU386,AY386,BC386,BG386),0)</f>
        <v>0</v>
      </c>
      <c r="BI386">
        <f t="shared" ref="BI386:BI449" si="97">IFERROR(BH386*(1-$I386),0)</f>
        <v>0</v>
      </c>
    </row>
    <row r="387" spans="11:61" x14ac:dyDescent="0.35">
      <c r="K387" t="str">
        <f>IFERROR(VLOOKUP(F387,tbTurnos,3,FALSE),"")</f>
        <v/>
      </c>
      <c r="N387" t="str">
        <f>IFERROR(VLOOKUP(M387,tbFactorMes,2,FALSE),"")</f>
        <v/>
      </c>
      <c r="O387">
        <f t="shared" si="84"/>
        <v>0</v>
      </c>
      <c r="R387" t="str">
        <f>IFERROR(VLOOKUP(Q387,tbFactorMes,2,FALSE),"")</f>
        <v/>
      </c>
      <c r="S387">
        <f t="shared" si="85"/>
        <v>0</v>
      </c>
      <c r="V387" t="str">
        <f>IFERROR(VLOOKUP(U387,tbFactorMes,2,FALSE),"")</f>
        <v/>
      </c>
      <c r="W387">
        <f t="shared" si="86"/>
        <v>0</v>
      </c>
      <c r="Z387" t="str">
        <f>IFERROR(VLOOKUP(Y387,tbFactorMes,2,FALSE),"")</f>
        <v/>
      </c>
      <c r="AA387">
        <f t="shared" si="87"/>
        <v>0</v>
      </c>
      <c r="AD387" t="str">
        <f>IFERROR(VLOOKUP(AC387,tbFactorMes,2,FALSE),"")</f>
        <v/>
      </c>
      <c r="AE387">
        <f t="shared" si="88"/>
        <v>0</v>
      </c>
      <c r="AH387" t="str">
        <f>IFERROR(VLOOKUP(AG387,tbFactorMes,2,FALSE),"")</f>
        <v/>
      </c>
      <c r="AI387">
        <f t="shared" si="89"/>
        <v>0</v>
      </c>
      <c r="AL387" t="str">
        <f>IFERROR(VLOOKUP(AK387,tbFactorMes,2,FALSE),"")</f>
        <v/>
      </c>
      <c r="AM387">
        <f t="shared" si="90"/>
        <v>0</v>
      </c>
      <c r="AP387" t="str">
        <f>IFERROR(VLOOKUP(AO387,tbFactorMes,2,FALSE),"")</f>
        <v/>
      </c>
      <c r="AQ387">
        <f t="shared" si="91"/>
        <v>0</v>
      </c>
      <c r="AT387" t="str">
        <f>IFERROR(VLOOKUP(AS387,tbFactorMes,2,FALSE),"")</f>
        <v/>
      </c>
      <c r="AU387">
        <f t="shared" si="92"/>
        <v>0</v>
      </c>
      <c r="AX387" t="str">
        <f>IFERROR(VLOOKUP(AW387,tbFactorMes,2,FALSE),"")</f>
        <v/>
      </c>
      <c r="AY387">
        <f t="shared" si="93"/>
        <v>0</v>
      </c>
      <c r="BB387" t="str">
        <f>IFERROR(VLOOKUP(BA387,tbFactorMes,2,FALSE),"")</f>
        <v/>
      </c>
      <c r="BC387">
        <f t="shared" si="94"/>
        <v>0</v>
      </c>
      <c r="BF387" t="str">
        <f>IFERROR(VLOOKUP(BE387,tbFactorMes,2,FALSE),"")</f>
        <v/>
      </c>
      <c r="BG387">
        <f t="shared" si="95"/>
        <v>0</v>
      </c>
      <c r="BH387">
        <f t="shared" si="96"/>
        <v>0</v>
      </c>
      <c r="BI387">
        <f t="shared" si="97"/>
        <v>0</v>
      </c>
    </row>
    <row r="388" spans="11:61" x14ac:dyDescent="0.35">
      <c r="K388" t="str">
        <f>IFERROR(VLOOKUP(F388,tbTurnos,3,FALSE),"")</f>
        <v/>
      </c>
      <c r="N388" t="str">
        <f>IFERROR(VLOOKUP(M388,tbFactorMes,2,FALSE),"")</f>
        <v/>
      </c>
      <c r="O388">
        <f t="shared" si="84"/>
        <v>0</v>
      </c>
      <c r="R388" t="str">
        <f>IFERROR(VLOOKUP(Q388,tbFactorMes,2,FALSE),"")</f>
        <v/>
      </c>
      <c r="S388">
        <f t="shared" si="85"/>
        <v>0</v>
      </c>
      <c r="V388" t="str">
        <f>IFERROR(VLOOKUP(U388,tbFactorMes,2,FALSE),"")</f>
        <v/>
      </c>
      <c r="W388">
        <f t="shared" si="86"/>
        <v>0</v>
      </c>
      <c r="Z388" t="str">
        <f>IFERROR(VLOOKUP(Y388,tbFactorMes,2,FALSE),"")</f>
        <v/>
      </c>
      <c r="AA388">
        <f t="shared" si="87"/>
        <v>0</v>
      </c>
      <c r="AD388" t="str">
        <f>IFERROR(VLOOKUP(AC388,tbFactorMes,2,FALSE),"")</f>
        <v/>
      </c>
      <c r="AE388">
        <f t="shared" si="88"/>
        <v>0</v>
      </c>
      <c r="AH388" t="str">
        <f>IFERROR(VLOOKUP(AG388,tbFactorMes,2,FALSE),"")</f>
        <v/>
      </c>
      <c r="AI388">
        <f t="shared" si="89"/>
        <v>0</v>
      </c>
      <c r="AL388" t="str">
        <f>IFERROR(VLOOKUP(AK388,tbFactorMes,2,FALSE),"")</f>
        <v/>
      </c>
      <c r="AM388">
        <f t="shared" si="90"/>
        <v>0</v>
      </c>
      <c r="AP388" t="str">
        <f>IFERROR(VLOOKUP(AO388,tbFactorMes,2,FALSE),"")</f>
        <v/>
      </c>
      <c r="AQ388">
        <f t="shared" si="91"/>
        <v>0</v>
      </c>
      <c r="AT388" t="str">
        <f>IFERROR(VLOOKUP(AS388,tbFactorMes,2,FALSE),"")</f>
        <v/>
      </c>
      <c r="AU388">
        <f t="shared" si="92"/>
        <v>0</v>
      </c>
      <c r="AX388" t="str">
        <f>IFERROR(VLOOKUP(AW388,tbFactorMes,2,FALSE),"")</f>
        <v/>
      </c>
      <c r="AY388">
        <f t="shared" si="93"/>
        <v>0</v>
      </c>
      <c r="BB388" t="str">
        <f>IFERROR(VLOOKUP(BA388,tbFactorMes,2,FALSE),"")</f>
        <v/>
      </c>
      <c r="BC388">
        <f t="shared" si="94"/>
        <v>0</v>
      </c>
      <c r="BF388" t="str">
        <f>IFERROR(VLOOKUP(BE388,tbFactorMes,2,FALSE),"")</f>
        <v/>
      </c>
      <c r="BG388">
        <f t="shared" si="95"/>
        <v>0</v>
      </c>
      <c r="BH388">
        <f t="shared" si="96"/>
        <v>0</v>
      </c>
      <c r="BI388">
        <f t="shared" si="97"/>
        <v>0</v>
      </c>
    </row>
    <row r="389" spans="11:61" x14ac:dyDescent="0.35">
      <c r="K389" t="str">
        <f>IFERROR(VLOOKUP(F389,tbTurnos,3,FALSE),"")</f>
        <v/>
      </c>
      <c r="N389" t="str">
        <f>IFERROR(VLOOKUP(M389,tbFactorMes,2,FALSE),"")</f>
        <v/>
      </c>
      <c r="O389">
        <f t="shared" si="84"/>
        <v>0</v>
      </c>
      <c r="R389" t="str">
        <f>IFERROR(VLOOKUP(Q389,tbFactorMes,2,FALSE),"")</f>
        <v/>
      </c>
      <c r="S389">
        <f t="shared" si="85"/>
        <v>0</v>
      </c>
      <c r="V389" t="str">
        <f>IFERROR(VLOOKUP(U389,tbFactorMes,2,FALSE),"")</f>
        <v/>
      </c>
      <c r="W389">
        <f t="shared" si="86"/>
        <v>0</v>
      </c>
      <c r="Z389" t="str">
        <f>IFERROR(VLOOKUP(Y389,tbFactorMes,2,FALSE),"")</f>
        <v/>
      </c>
      <c r="AA389">
        <f t="shared" si="87"/>
        <v>0</v>
      </c>
      <c r="AD389" t="str">
        <f>IFERROR(VLOOKUP(AC389,tbFactorMes,2,FALSE),"")</f>
        <v/>
      </c>
      <c r="AE389">
        <f t="shared" si="88"/>
        <v>0</v>
      </c>
      <c r="AH389" t="str">
        <f>IFERROR(VLOOKUP(AG389,tbFactorMes,2,FALSE),"")</f>
        <v/>
      </c>
      <c r="AI389">
        <f t="shared" si="89"/>
        <v>0</v>
      </c>
      <c r="AL389" t="str">
        <f>IFERROR(VLOOKUP(AK389,tbFactorMes,2,FALSE),"")</f>
        <v/>
      </c>
      <c r="AM389">
        <f t="shared" si="90"/>
        <v>0</v>
      </c>
      <c r="AP389" t="str">
        <f>IFERROR(VLOOKUP(AO389,tbFactorMes,2,FALSE),"")</f>
        <v/>
      </c>
      <c r="AQ389">
        <f t="shared" si="91"/>
        <v>0</v>
      </c>
      <c r="AT389" t="str">
        <f>IFERROR(VLOOKUP(AS389,tbFactorMes,2,FALSE),"")</f>
        <v/>
      </c>
      <c r="AU389">
        <f t="shared" si="92"/>
        <v>0</v>
      </c>
      <c r="AX389" t="str">
        <f>IFERROR(VLOOKUP(AW389,tbFactorMes,2,FALSE),"")</f>
        <v/>
      </c>
      <c r="AY389">
        <f t="shared" si="93"/>
        <v>0</v>
      </c>
      <c r="BB389" t="str">
        <f>IFERROR(VLOOKUP(BA389,tbFactorMes,2,FALSE),"")</f>
        <v/>
      </c>
      <c r="BC389">
        <f t="shared" si="94"/>
        <v>0</v>
      </c>
      <c r="BF389" t="str">
        <f>IFERROR(VLOOKUP(BE389,tbFactorMes,2,FALSE),"")</f>
        <v/>
      </c>
      <c r="BG389">
        <f t="shared" si="95"/>
        <v>0</v>
      </c>
      <c r="BH389">
        <f t="shared" si="96"/>
        <v>0</v>
      </c>
      <c r="BI389">
        <f t="shared" si="97"/>
        <v>0</v>
      </c>
    </row>
    <row r="390" spans="11:61" x14ac:dyDescent="0.35">
      <c r="K390" t="str">
        <f>IFERROR(VLOOKUP(F390,tbTurnos,3,FALSE),"")</f>
        <v/>
      </c>
      <c r="N390" t="str">
        <f>IFERROR(VLOOKUP(M390,tbFactorMes,2,FALSE),"")</f>
        <v/>
      </c>
      <c r="O390">
        <f t="shared" si="84"/>
        <v>0</v>
      </c>
      <c r="R390" t="str">
        <f>IFERROR(VLOOKUP(Q390,tbFactorMes,2,FALSE),"")</f>
        <v/>
      </c>
      <c r="S390">
        <f t="shared" si="85"/>
        <v>0</v>
      </c>
      <c r="V390" t="str">
        <f>IFERROR(VLOOKUP(U390,tbFactorMes,2,FALSE),"")</f>
        <v/>
      </c>
      <c r="W390">
        <f t="shared" si="86"/>
        <v>0</v>
      </c>
      <c r="Z390" t="str">
        <f>IFERROR(VLOOKUP(Y390,tbFactorMes,2,FALSE),"")</f>
        <v/>
      </c>
      <c r="AA390">
        <f t="shared" si="87"/>
        <v>0</v>
      </c>
      <c r="AD390" t="str">
        <f>IFERROR(VLOOKUP(AC390,tbFactorMes,2,FALSE),"")</f>
        <v/>
      </c>
      <c r="AE390">
        <f t="shared" si="88"/>
        <v>0</v>
      </c>
      <c r="AH390" t="str">
        <f>IFERROR(VLOOKUP(AG390,tbFactorMes,2,FALSE),"")</f>
        <v/>
      </c>
      <c r="AI390">
        <f t="shared" si="89"/>
        <v>0</v>
      </c>
      <c r="AL390" t="str">
        <f>IFERROR(VLOOKUP(AK390,tbFactorMes,2,FALSE),"")</f>
        <v/>
      </c>
      <c r="AM390">
        <f t="shared" si="90"/>
        <v>0</v>
      </c>
      <c r="AP390" t="str">
        <f>IFERROR(VLOOKUP(AO390,tbFactorMes,2,FALSE),"")</f>
        <v/>
      </c>
      <c r="AQ390">
        <f t="shared" si="91"/>
        <v>0</v>
      </c>
      <c r="AT390" t="str">
        <f>IFERROR(VLOOKUP(AS390,tbFactorMes,2,FALSE),"")</f>
        <v/>
      </c>
      <c r="AU390">
        <f t="shared" si="92"/>
        <v>0</v>
      </c>
      <c r="AX390" t="str">
        <f>IFERROR(VLOOKUP(AW390,tbFactorMes,2,FALSE),"")</f>
        <v/>
      </c>
      <c r="AY390">
        <f t="shared" si="93"/>
        <v>0</v>
      </c>
      <c r="BB390" t="str">
        <f>IFERROR(VLOOKUP(BA390,tbFactorMes,2,FALSE),"")</f>
        <v/>
      </c>
      <c r="BC390">
        <f t="shared" si="94"/>
        <v>0</v>
      </c>
      <c r="BF390" t="str">
        <f>IFERROR(VLOOKUP(BE390,tbFactorMes,2,FALSE),"")</f>
        <v/>
      </c>
      <c r="BG390">
        <f t="shared" si="95"/>
        <v>0</v>
      </c>
      <c r="BH390">
        <f t="shared" si="96"/>
        <v>0</v>
      </c>
      <c r="BI390">
        <f t="shared" si="97"/>
        <v>0</v>
      </c>
    </row>
    <row r="391" spans="11:61" x14ac:dyDescent="0.35">
      <c r="K391" t="str">
        <f>IFERROR(VLOOKUP(F391,tbTurnos,3,FALSE),"")</f>
        <v/>
      </c>
      <c r="N391" t="str">
        <f>IFERROR(VLOOKUP(M391,tbFactorMes,2,FALSE),"")</f>
        <v/>
      </c>
      <c r="O391">
        <f t="shared" si="84"/>
        <v>0</v>
      </c>
      <c r="R391" t="str">
        <f>IFERROR(VLOOKUP(Q391,tbFactorMes,2,FALSE),"")</f>
        <v/>
      </c>
      <c r="S391">
        <f t="shared" si="85"/>
        <v>0</v>
      </c>
      <c r="V391" t="str">
        <f>IFERROR(VLOOKUP(U391,tbFactorMes,2,FALSE),"")</f>
        <v/>
      </c>
      <c r="W391">
        <f t="shared" si="86"/>
        <v>0</v>
      </c>
      <c r="Z391" t="str">
        <f>IFERROR(VLOOKUP(Y391,tbFactorMes,2,FALSE),"")</f>
        <v/>
      </c>
      <c r="AA391">
        <f t="shared" si="87"/>
        <v>0</v>
      </c>
      <c r="AD391" t="str">
        <f>IFERROR(VLOOKUP(AC391,tbFactorMes,2,FALSE),"")</f>
        <v/>
      </c>
      <c r="AE391">
        <f t="shared" si="88"/>
        <v>0</v>
      </c>
      <c r="AH391" t="str">
        <f>IFERROR(VLOOKUP(AG391,tbFactorMes,2,FALSE),"")</f>
        <v/>
      </c>
      <c r="AI391">
        <f t="shared" si="89"/>
        <v>0</v>
      </c>
      <c r="AL391" t="str">
        <f>IFERROR(VLOOKUP(AK391,tbFactorMes,2,FALSE),"")</f>
        <v/>
      </c>
      <c r="AM391">
        <f t="shared" si="90"/>
        <v>0</v>
      </c>
      <c r="AP391" t="str">
        <f>IFERROR(VLOOKUP(AO391,tbFactorMes,2,FALSE),"")</f>
        <v/>
      </c>
      <c r="AQ391">
        <f t="shared" si="91"/>
        <v>0</v>
      </c>
      <c r="AT391" t="str">
        <f>IFERROR(VLOOKUP(AS391,tbFactorMes,2,FALSE),"")</f>
        <v/>
      </c>
      <c r="AU391">
        <f t="shared" si="92"/>
        <v>0</v>
      </c>
      <c r="AX391" t="str">
        <f>IFERROR(VLOOKUP(AW391,tbFactorMes,2,FALSE),"")</f>
        <v/>
      </c>
      <c r="AY391">
        <f t="shared" si="93"/>
        <v>0</v>
      </c>
      <c r="BB391" t="str">
        <f>IFERROR(VLOOKUP(BA391,tbFactorMes,2,FALSE),"")</f>
        <v/>
      </c>
      <c r="BC391">
        <f t="shared" si="94"/>
        <v>0</v>
      </c>
      <c r="BF391" t="str">
        <f>IFERROR(VLOOKUP(BE391,tbFactorMes,2,FALSE),"")</f>
        <v/>
      </c>
      <c r="BG391">
        <f t="shared" si="95"/>
        <v>0</v>
      </c>
      <c r="BH391">
        <f t="shared" si="96"/>
        <v>0</v>
      </c>
      <c r="BI391">
        <f t="shared" si="97"/>
        <v>0</v>
      </c>
    </row>
    <row r="392" spans="11:61" x14ac:dyDescent="0.35">
      <c r="K392" t="str">
        <f>IFERROR(VLOOKUP(F392,tbTurnos,3,FALSE),"")</f>
        <v/>
      </c>
      <c r="N392" t="str">
        <f>IFERROR(VLOOKUP(M392,tbFactorMes,2,FALSE),"")</f>
        <v/>
      </c>
      <c r="O392">
        <f t="shared" si="84"/>
        <v>0</v>
      </c>
      <c r="R392" t="str">
        <f>IFERROR(VLOOKUP(Q392,tbFactorMes,2,FALSE),"")</f>
        <v/>
      </c>
      <c r="S392">
        <f t="shared" si="85"/>
        <v>0</v>
      </c>
      <c r="V392" t="str">
        <f>IFERROR(VLOOKUP(U392,tbFactorMes,2,FALSE),"")</f>
        <v/>
      </c>
      <c r="W392">
        <f t="shared" si="86"/>
        <v>0</v>
      </c>
      <c r="Z392" t="str">
        <f>IFERROR(VLOOKUP(Y392,tbFactorMes,2,FALSE),"")</f>
        <v/>
      </c>
      <c r="AA392">
        <f t="shared" si="87"/>
        <v>0</v>
      </c>
      <c r="AD392" t="str">
        <f>IFERROR(VLOOKUP(AC392,tbFactorMes,2,FALSE),"")</f>
        <v/>
      </c>
      <c r="AE392">
        <f t="shared" si="88"/>
        <v>0</v>
      </c>
      <c r="AH392" t="str">
        <f>IFERROR(VLOOKUP(AG392,tbFactorMes,2,FALSE),"")</f>
        <v/>
      </c>
      <c r="AI392">
        <f t="shared" si="89"/>
        <v>0</v>
      </c>
      <c r="AL392" t="str">
        <f>IFERROR(VLOOKUP(AK392,tbFactorMes,2,FALSE),"")</f>
        <v/>
      </c>
      <c r="AM392">
        <f t="shared" si="90"/>
        <v>0</v>
      </c>
      <c r="AP392" t="str">
        <f>IFERROR(VLOOKUP(AO392,tbFactorMes,2,FALSE),"")</f>
        <v/>
      </c>
      <c r="AQ392">
        <f t="shared" si="91"/>
        <v>0</v>
      </c>
      <c r="AT392" t="str">
        <f>IFERROR(VLOOKUP(AS392,tbFactorMes,2,FALSE),"")</f>
        <v/>
      </c>
      <c r="AU392">
        <f t="shared" si="92"/>
        <v>0</v>
      </c>
      <c r="AX392" t="str">
        <f>IFERROR(VLOOKUP(AW392,tbFactorMes,2,FALSE),"")</f>
        <v/>
      </c>
      <c r="AY392">
        <f t="shared" si="93"/>
        <v>0</v>
      </c>
      <c r="BB392" t="str">
        <f>IFERROR(VLOOKUP(BA392,tbFactorMes,2,FALSE),"")</f>
        <v/>
      </c>
      <c r="BC392">
        <f t="shared" si="94"/>
        <v>0</v>
      </c>
      <c r="BF392" t="str">
        <f>IFERROR(VLOOKUP(BE392,tbFactorMes,2,FALSE),"")</f>
        <v/>
      </c>
      <c r="BG392">
        <f t="shared" si="95"/>
        <v>0</v>
      </c>
      <c r="BH392">
        <f t="shared" si="96"/>
        <v>0</v>
      </c>
      <c r="BI392">
        <f t="shared" si="97"/>
        <v>0</v>
      </c>
    </row>
    <row r="393" spans="11:61" x14ac:dyDescent="0.35">
      <c r="K393" t="str">
        <f>IFERROR(VLOOKUP(F393,tbTurnos,3,FALSE),"")</f>
        <v/>
      </c>
      <c r="N393" t="str">
        <f>IFERROR(VLOOKUP(M393,tbFactorMes,2,FALSE),"")</f>
        <v/>
      </c>
      <c r="O393">
        <f t="shared" si="84"/>
        <v>0</v>
      </c>
      <c r="R393" t="str">
        <f>IFERROR(VLOOKUP(Q393,tbFactorMes,2,FALSE),"")</f>
        <v/>
      </c>
      <c r="S393">
        <f t="shared" si="85"/>
        <v>0</v>
      </c>
      <c r="V393" t="str">
        <f>IFERROR(VLOOKUP(U393,tbFactorMes,2,FALSE),"")</f>
        <v/>
      </c>
      <c r="W393">
        <f t="shared" si="86"/>
        <v>0</v>
      </c>
      <c r="Z393" t="str">
        <f>IFERROR(VLOOKUP(Y393,tbFactorMes,2,FALSE),"")</f>
        <v/>
      </c>
      <c r="AA393">
        <f t="shared" si="87"/>
        <v>0</v>
      </c>
      <c r="AD393" t="str">
        <f>IFERROR(VLOOKUP(AC393,tbFactorMes,2,FALSE),"")</f>
        <v/>
      </c>
      <c r="AE393">
        <f t="shared" si="88"/>
        <v>0</v>
      </c>
      <c r="AH393" t="str">
        <f>IFERROR(VLOOKUP(AG393,tbFactorMes,2,FALSE),"")</f>
        <v/>
      </c>
      <c r="AI393">
        <f t="shared" si="89"/>
        <v>0</v>
      </c>
      <c r="AL393" t="str">
        <f>IFERROR(VLOOKUP(AK393,tbFactorMes,2,FALSE),"")</f>
        <v/>
      </c>
      <c r="AM393">
        <f t="shared" si="90"/>
        <v>0</v>
      </c>
      <c r="AP393" t="str">
        <f>IFERROR(VLOOKUP(AO393,tbFactorMes,2,FALSE),"")</f>
        <v/>
      </c>
      <c r="AQ393">
        <f t="shared" si="91"/>
        <v>0</v>
      </c>
      <c r="AT393" t="str">
        <f>IFERROR(VLOOKUP(AS393,tbFactorMes,2,FALSE),"")</f>
        <v/>
      </c>
      <c r="AU393">
        <f t="shared" si="92"/>
        <v>0</v>
      </c>
      <c r="AX393" t="str">
        <f>IFERROR(VLOOKUP(AW393,tbFactorMes,2,FALSE),"")</f>
        <v/>
      </c>
      <c r="AY393">
        <f t="shared" si="93"/>
        <v>0</v>
      </c>
      <c r="BB393" t="str">
        <f>IFERROR(VLOOKUP(BA393,tbFactorMes,2,FALSE),"")</f>
        <v/>
      </c>
      <c r="BC393">
        <f t="shared" si="94"/>
        <v>0</v>
      </c>
      <c r="BF393" t="str">
        <f>IFERROR(VLOOKUP(BE393,tbFactorMes,2,FALSE),"")</f>
        <v/>
      </c>
      <c r="BG393">
        <f t="shared" si="95"/>
        <v>0</v>
      </c>
      <c r="BH393">
        <f t="shared" si="96"/>
        <v>0</v>
      </c>
      <c r="BI393">
        <f t="shared" si="97"/>
        <v>0</v>
      </c>
    </row>
    <row r="394" spans="11:61" x14ac:dyDescent="0.35">
      <c r="K394" t="str">
        <f>IFERROR(VLOOKUP(F394,tbTurnos,3,FALSE),"")</f>
        <v/>
      </c>
      <c r="N394" t="str">
        <f>IFERROR(VLOOKUP(M394,tbFactorMes,2,FALSE),"")</f>
        <v/>
      </c>
      <c r="O394">
        <f t="shared" si="84"/>
        <v>0</v>
      </c>
      <c r="R394" t="str">
        <f>IFERROR(VLOOKUP(Q394,tbFactorMes,2,FALSE),"")</f>
        <v/>
      </c>
      <c r="S394">
        <f t="shared" si="85"/>
        <v>0</v>
      </c>
      <c r="V394" t="str">
        <f>IFERROR(VLOOKUP(U394,tbFactorMes,2,FALSE),"")</f>
        <v/>
      </c>
      <c r="W394">
        <f t="shared" si="86"/>
        <v>0</v>
      </c>
      <c r="Z394" t="str">
        <f>IFERROR(VLOOKUP(Y394,tbFactorMes,2,FALSE),"")</f>
        <v/>
      </c>
      <c r="AA394">
        <f t="shared" si="87"/>
        <v>0</v>
      </c>
      <c r="AD394" t="str">
        <f>IFERROR(VLOOKUP(AC394,tbFactorMes,2,FALSE),"")</f>
        <v/>
      </c>
      <c r="AE394">
        <f t="shared" si="88"/>
        <v>0</v>
      </c>
      <c r="AH394" t="str">
        <f>IFERROR(VLOOKUP(AG394,tbFactorMes,2,FALSE),"")</f>
        <v/>
      </c>
      <c r="AI394">
        <f t="shared" si="89"/>
        <v>0</v>
      </c>
      <c r="AL394" t="str">
        <f>IFERROR(VLOOKUP(AK394,tbFactorMes,2,FALSE),"")</f>
        <v/>
      </c>
      <c r="AM394">
        <f t="shared" si="90"/>
        <v>0</v>
      </c>
      <c r="AP394" t="str">
        <f>IFERROR(VLOOKUP(AO394,tbFactorMes,2,FALSE),"")</f>
        <v/>
      </c>
      <c r="AQ394">
        <f t="shared" si="91"/>
        <v>0</v>
      </c>
      <c r="AT394" t="str">
        <f>IFERROR(VLOOKUP(AS394,tbFactorMes,2,FALSE),"")</f>
        <v/>
      </c>
      <c r="AU394">
        <f t="shared" si="92"/>
        <v>0</v>
      </c>
      <c r="AX394" t="str">
        <f>IFERROR(VLOOKUP(AW394,tbFactorMes,2,FALSE),"")</f>
        <v/>
      </c>
      <c r="AY394">
        <f t="shared" si="93"/>
        <v>0</v>
      </c>
      <c r="BB394" t="str">
        <f>IFERROR(VLOOKUP(BA394,tbFactorMes,2,FALSE),"")</f>
        <v/>
      </c>
      <c r="BC394">
        <f t="shared" si="94"/>
        <v>0</v>
      </c>
      <c r="BF394" t="str">
        <f>IFERROR(VLOOKUP(BE394,tbFactorMes,2,FALSE),"")</f>
        <v/>
      </c>
      <c r="BG394">
        <f t="shared" si="95"/>
        <v>0</v>
      </c>
      <c r="BH394">
        <f t="shared" si="96"/>
        <v>0</v>
      </c>
      <c r="BI394">
        <f t="shared" si="97"/>
        <v>0</v>
      </c>
    </row>
    <row r="395" spans="11:61" x14ac:dyDescent="0.35">
      <c r="K395" t="str">
        <f>IFERROR(VLOOKUP(F395,tbTurnos,3,FALSE),"")</f>
        <v/>
      </c>
      <c r="N395" t="str">
        <f>IFERROR(VLOOKUP(M395,tbFactorMes,2,FALSE),"")</f>
        <v/>
      </c>
      <c r="O395">
        <f t="shared" si="84"/>
        <v>0</v>
      </c>
      <c r="R395" t="str">
        <f>IFERROR(VLOOKUP(Q395,tbFactorMes,2,FALSE),"")</f>
        <v/>
      </c>
      <c r="S395">
        <f t="shared" si="85"/>
        <v>0</v>
      </c>
      <c r="V395" t="str">
        <f>IFERROR(VLOOKUP(U395,tbFactorMes,2,FALSE),"")</f>
        <v/>
      </c>
      <c r="W395">
        <f t="shared" si="86"/>
        <v>0</v>
      </c>
      <c r="Z395" t="str">
        <f>IFERROR(VLOOKUP(Y395,tbFactorMes,2,FALSE),"")</f>
        <v/>
      </c>
      <c r="AA395">
        <f t="shared" si="87"/>
        <v>0</v>
      </c>
      <c r="AD395" t="str">
        <f>IFERROR(VLOOKUP(AC395,tbFactorMes,2,FALSE),"")</f>
        <v/>
      </c>
      <c r="AE395">
        <f t="shared" si="88"/>
        <v>0</v>
      </c>
      <c r="AH395" t="str">
        <f>IFERROR(VLOOKUP(AG395,tbFactorMes,2,FALSE),"")</f>
        <v/>
      </c>
      <c r="AI395">
        <f t="shared" si="89"/>
        <v>0</v>
      </c>
      <c r="AL395" t="str">
        <f>IFERROR(VLOOKUP(AK395,tbFactorMes,2,FALSE),"")</f>
        <v/>
      </c>
      <c r="AM395">
        <f t="shared" si="90"/>
        <v>0</v>
      </c>
      <c r="AP395" t="str">
        <f>IFERROR(VLOOKUP(AO395,tbFactorMes,2,FALSE),"")</f>
        <v/>
      </c>
      <c r="AQ395">
        <f t="shared" si="91"/>
        <v>0</v>
      </c>
      <c r="AT395" t="str">
        <f>IFERROR(VLOOKUP(AS395,tbFactorMes,2,FALSE),"")</f>
        <v/>
      </c>
      <c r="AU395">
        <f t="shared" si="92"/>
        <v>0</v>
      </c>
      <c r="AX395" t="str">
        <f>IFERROR(VLOOKUP(AW395,tbFactorMes,2,FALSE),"")</f>
        <v/>
      </c>
      <c r="AY395">
        <f t="shared" si="93"/>
        <v>0</v>
      </c>
      <c r="BB395" t="str">
        <f>IFERROR(VLOOKUP(BA395,tbFactorMes,2,FALSE),"")</f>
        <v/>
      </c>
      <c r="BC395">
        <f t="shared" si="94"/>
        <v>0</v>
      </c>
      <c r="BF395" t="str">
        <f>IFERROR(VLOOKUP(BE395,tbFactorMes,2,FALSE),"")</f>
        <v/>
      </c>
      <c r="BG395">
        <f t="shared" si="95"/>
        <v>0</v>
      </c>
      <c r="BH395">
        <f t="shared" si="96"/>
        <v>0</v>
      </c>
      <c r="BI395">
        <f t="shared" si="97"/>
        <v>0</v>
      </c>
    </row>
    <row r="396" spans="11:61" x14ac:dyDescent="0.35">
      <c r="K396" t="str">
        <f>IFERROR(VLOOKUP(F396,tbTurnos,3,FALSE),"")</f>
        <v/>
      </c>
      <c r="N396" t="str">
        <f>IFERROR(VLOOKUP(M396,tbFactorMes,2,FALSE),"")</f>
        <v/>
      </c>
      <c r="O396">
        <f t="shared" si="84"/>
        <v>0</v>
      </c>
      <c r="R396" t="str">
        <f>IFERROR(VLOOKUP(Q396,tbFactorMes,2,FALSE),"")</f>
        <v/>
      </c>
      <c r="S396">
        <f t="shared" si="85"/>
        <v>0</v>
      </c>
      <c r="V396" t="str">
        <f>IFERROR(VLOOKUP(U396,tbFactorMes,2,FALSE),"")</f>
        <v/>
      </c>
      <c r="W396">
        <f t="shared" si="86"/>
        <v>0</v>
      </c>
      <c r="Z396" t="str">
        <f>IFERROR(VLOOKUP(Y396,tbFactorMes,2,FALSE),"")</f>
        <v/>
      </c>
      <c r="AA396">
        <f t="shared" si="87"/>
        <v>0</v>
      </c>
      <c r="AD396" t="str">
        <f>IFERROR(VLOOKUP(AC396,tbFactorMes,2,FALSE),"")</f>
        <v/>
      </c>
      <c r="AE396">
        <f t="shared" si="88"/>
        <v>0</v>
      </c>
      <c r="AH396" t="str">
        <f>IFERROR(VLOOKUP(AG396,tbFactorMes,2,FALSE),"")</f>
        <v/>
      </c>
      <c r="AI396">
        <f t="shared" si="89"/>
        <v>0</v>
      </c>
      <c r="AL396" t="str">
        <f>IFERROR(VLOOKUP(AK396,tbFactorMes,2,FALSE),"")</f>
        <v/>
      </c>
      <c r="AM396">
        <f t="shared" si="90"/>
        <v>0</v>
      </c>
      <c r="AP396" t="str">
        <f>IFERROR(VLOOKUP(AO396,tbFactorMes,2,FALSE),"")</f>
        <v/>
      </c>
      <c r="AQ396">
        <f t="shared" si="91"/>
        <v>0</v>
      </c>
      <c r="AT396" t="str">
        <f>IFERROR(VLOOKUP(AS396,tbFactorMes,2,FALSE),"")</f>
        <v/>
      </c>
      <c r="AU396">
        <f t="shared" si="92"/>
        <v>0</v>
      </c>
      <c r="AX396" t="str">
        <f>IFERROR(VLOOKUP(AW396,tbFactorMes,2,FALSE),"")</f>
        <v/>
      </c>
      <c r="AY396">
        <f t="shared" si="93"/>
        <v>0</v>
      </c>
      <c r="BB396" t="str">
        <f>IFERROR(VLOOKUP(BA396,tbFactorMes,2,FALSE),"")</f>
        <v/>
      </c>
      <c r="BC396">
        <f t="shared" si="94"/>
        <v>0</v>
      </c>
      <c r="BF396" t="str">
        <f>IFERROR(VLOOKUP(BE396,tbFactorMes,2,FALSE),"")</f>
        <v/>
      </c>
      <c r="BG396">
        <f t="shared" si="95"/>
        <v>0</v>
      </c>
      <c r="BH396">
        <f t="shared" si="96"/>
        <v>0</v>
      </c>
      <c r="BI396">
        <f t="shared" si="97"/>
        <v>0</v>
      </c>
    </row>
    <row r="397" spans="11:61" x14ac:dyDescent="0.35">
      <c r="K397" t="str">
        <f>IFERROR(VLOOKUP(F397,tbTurnos,3,FALSE),"")</f>
        <v/>
      </c>
      <c r="N397" t="str">
        <f>IFERROR(VLOOKUP(M397,tbFactorMes,2,FALSE),"")</f>
        <v/>
      </c>
      <c r="O397">
        <f t="shared" si="84"/>
        <v>0</v>
      </c>
      <c r="R397" t="str">
        <f>IFERROR(VLOOKUP(Q397,tbFactorMes,2,FALSE),"")</f>
        <v/>
      </c>
      <c r="S397">
        <f t="shared" si="85"/>
        <v>0</v>
      </c>
      <c r="V397" t="str">
        <f>IFERROR(VLOOKUP(U397,tbFactorMes,2,FALSE),"")</f>
        <v/>
      </c>
      <c r="W397">
        <f t="shared" si="86"/>
        <v>0</v>
      </c>
      <c r="Z397" t="str">
        <f>IFERROR(VLOOKUP(Y397,tbFactorMes,2,FALSE),"")</f>
        <v/>
      </c>
      <c r="AA397">
        <f t="shared" si="87"/>
        <v>0</v>
      </c>
      <c r="AD397" t="str">
        <f>IFERROR(VLOOKUP(AC397,tbFactorMes,2,FALSE),"")</f>
        <v/>
      </c>
      <c r="AE397">
        <f t="shared" si="88"/>
        <v>0</v>
      </c>
      <c r="AH397" t="str">
        <f>IFERROR(VLOOKUP(AG397,tbFactorMes,2,FALSE),"")</f>
        <v/>
      </c>
      <c r="AI397">
        <f t="shared" si="89"/>
        <v>0</v>
      </c>
      <c r="AL397" t="str">
        <f>IFERROR(VLOOKUP(AK397,tbFactorMes,2,FALSE),"")</f>
        <v/>
      </c>
      <c r="AM397">
        <f t="shared" si="90"/>
        <v>0</v>
      </c>
      <c r="AP397" t="str">
        <f>IFERROR(VLOOKUP(AO397,tbFactorMes,2,FALSE),"")</f>
        <v/>
      </c>
      <c r="AQ397">
        <f t="shared" si="91"/>
        <v>0</v>
      </c>
      <c r="AT397" t="str">
        <f>IFERROR(VLOOKUP(AS397,tbFactorMes,2,FALSE),"")</f>
        <v/>
      </c>
      <c r="AU397">
        <f t="shared" si="92"/>
        <v>0</v>
      </c>
      <c r="AX397" t="str">
        <f>IFERROR(VLOOKUP(AW397,tbFactorMes,2,FALSE),"")</f>
        <v/>
      </c>
      <c r="AY397">
        <f t="shared" si="93"/>
        <v>0</v>
      </c>
      <c r="BB397" t="str">
        <f>IFERROR(VLOOKUP(BA397,tbFactorMes,2,FALSE),"")</f>
        <v/>
      </c>
      <c r="BC397">
        <f t="shared" si="94"/>
        <v>0</v>
      </c>
      <c r="BF397" t="str">
        <f>IFERROR(VLOOKUP(BE397,tbFactorMes,2,FALSE),"")</f>
        <v/>
      </c>
      <c r="BG397">
        <f t="shared" si="95"/>
        <v>0</v>
      </c>
      <c r="BH397">
        <f t="shared" si="96"/>
        <v>0</v>
      </c>
      <c r="BI397">
        <f t="shared" si="97"/>
        <v>0</v>
      </c>
    </row>
    <row r="398" spans="11:61" x14ac:dyDescent="0.35">
      <c r="K398" t="str">
        <f>IFERROR(VLOOKUP(F398,tbTurnos,3,FALSE),"")</f>
        <v/>
      </c>
      <c r="N398" t="str">
        <f>IFERROR(VLOOKUP(M398,tbFactorMes,2,FALSE),"")</f>
        <v/>
      </c>
      <c r="O398">
        <f t="shared" si="84"/>
        <v>0</v>
      </c>
      <c r="R398" t="str">
        <f>IFERROR(VLOOKUP(Q398,tbFactorMes,2,FALSE),"")</f>
        <v/>
      </c>
      <c r="S398">
        <f t="shared" si="85"/>
        <v>0</v>
      </c>
      <c r="V398" t="str">
        <f>IFERROR(VLOOKUP(U398,tbFactorMes,2,FALSE),"")</f>
        <v/>
      </c>
      <c r="W398">
        <f t="shared" si="86"/>
        <v>0</v>
      </c>
      <c r="Z398" t="str">
        <f>IFERROR(VLOOKUP(Y398,tbFactorMes,2,FALSE),"")</f>
        <v/>
      </c>
      <c r="AA398">
        <f t="shared" si="87"/>
        <v>0</v>
      </c>
      <c r="AD398" t="str">
        <f>IFERROR(VLOOKUP(AC398,tbFactorMes,2,FALSE),"")</f>
        <v/>
      </c>
      <c r="AE398">
        <f t="shared" si="88"/>
        <v>0</v>
      </c>
      <c r="AH398" t="str">
        <f>IFERROR(VLOOKUP(AG398,tbFactorMes,2,FALSE),"")</f>
        <v/>
      </c>
      <c r="AI398">
        <f t="shared" si="89"/>
        <v>0</v>
      </c>
      <c r="AL398" t="str">
        <f>IFERROR(VLOOKUP(AK398,tbFactorMes,2,FALSE),"")</f>
        <v/>
      </c>
      <c r="AM398">
        <f t="shared" si="90"/>
        <v>0</v>
      </c>
      <c r="AP398" t="str">
        <f>IFERROR(VLOOKUP(AO398,tbFactorMes,2,FALSE),"")</f>
        <v/>
      </c>
      <c r="AQ398">
        <f t="shared" si="91"/>
        <v>0</v>
      </c>
      <c r="AT398" t="str">
        <f>IFERROR(VLOOKUP(AS398,tbFactorMes,2,FALSE),"")</f>
        <v/>
      </c>
      <c r="AU398">
        <f t="shared" si="92"/>
        <v>0</v>
      </c>
      <c r="AX398" t="str">
        <f>IFERROR(VLOOKUP(AW398,tbFactorMes,2,FALSE),"")</f>
        <v/>
      </c>
      <c r="AY398">
        <f t="shared" si="93"/>
        <v>0</v>
      </c>
      <c r="BB398" t="str">
        <f>IFERROR(VLOOKUP(BA398,tbFactorMes,2,FALSE),"")</f>
        <v/>
      </c>
      <c r="BC398">
        <f t="shared" si="94"/>
        <v>0</v>
      </c>
      <c r="BF398" t="str">
        <f>IFERROR(VLOOKUP(BE398,tbFactorMes,2,FALSE),"")</f>
        <v/>
      </c>
      <c r="BG398">
        <f t="shared" si="95"/>
        <v>0</v>
      </c>
      <c r="BH398">
        <f t="shared" si="96"/>
        <v>0</v>
      </c>
      <c r="BI398">
        <f t="shared" si="97"/>
        <v>0</v>
      </c>
    </row>
    <row r="399" spans="11:61" x14ac:dyDescent="0.35">
      <c r="K399" t="str">
        <f>IFERROR(VLOOKUP(F399,tbTurnos,3,FALSE),"")</f>
        <v/>
      </c>
      <c r="N399" t="str">
        <f>IFERROR(VLOOKUP(M399,tbFactorMes,2,FALSE),"")</f>
        <v/>
      </c>
      <c r="O399">
        <f t="shared" si="84"/>
        <v>0</v>
      </c>
      <c r="R399" t="str">
        <f>IFERROR(VLOOKUP(Q399,tbFactorMes,2,FALSE),"")</f>
        <v/>
      </c>
      <c r="S399">
        <f t="shared" si="85"/>
        <v>0</v>
      </c>
      <c r="V399" t="str">
        <f>IFERROR(VLOOKUP(U399,tbFactorMes,2,FALSE),"")</f>
        <v/>
      </c>
      <c r="W399">
        <f t="shared" si="86"/>
        <v>0</v>
      </c>
      <c r="Z399" t="str">
        <f>IFERROR(VLOOKUP(Y399,tbFactorMes,2,FALSE),"")</f>
        <v/>
      </c>
      <c r="AA399">
        <f t="shared" si="87"/>
        <v>0</v>
      </c>
      <c r="AD399" t="str">
        <f>IFERROR(VLOOKUP(AC399,tbFactorMes,2,FALSE),"")</f>
        <v/>
      </c>
      <c r="AE399">
        <f t="shared" si="88"/>
        <v>0</v>
      </c>
      <c r="AH399" t="str">
        <f>IFERROR(VLOOKUP(AG399,tbFactorMes,2,FALSE),"")</f>
        <v/>
      </c>
      <c r="AI399">
        <f t="shared" si="89"/>
        <v>0</v>
      </c>
      <c r="AL399" t="str">
        <f>IFERROR(VLOOKUP(AK399,tbFactorMes,2,FALSE),"")</f>
        <v/>
      </c>
      <c r="AM399">
        <f t="shared" si="90"/>
        <v>0</v>
      </c>
      <c r="AP399" t="str">
        <f>IFERROR(VLOOKUP(AO399,tbFactorMes,2,FALSE),"")</f>
        <v/>
      </c>
      <c r="AQ399">
        <f t="shared" si="91"/>
        <v>0</v>
      </c>
      <c r="AT399" t="str">
        <f>IFERROR(VLOOKUP(AS399,tbFactorMes,2,FALSE),"")</f>
        <v/>
      </c>
      <c r="AU399">
        <f t="shared" si="92"/>
        <v>0</v>
      </c>
      <c r="AX399" t="str">
        <f>IFERROR(VLOOKUP(AW399,tbFactorMes,2,FALSE),"")</f>
        <v/>
      </c>
      <c r="AY399">
        <f t="shared" si="93"/>
        <v>0</v>
      </c>
      <c r="BB399" t="str">
        <f>IFERROR(VLOOKUP(BA399,tbFactorMes,2,FALSE),"")</f>
        <v/>
      </c>
      <c r="BC399">
        <f t="shared" si="94"/>
        <v>0</v>
      </c>
      <c r="BF399" t="str">
        <f>IFERROR(VLOOKUP(BE399,tbFactorMes,2,FALSE),"")</f>
        <v/>
      </c>
      <c r="BG399">
        <f t="shared" si="95"/>
        <v>0</v>
      </c>
      <c r="BH399">
        <f t="shared" si="96"/>
        <v>0</v>
      </c>
      <c r="BI399">
        <f t="shared" si="97"/>
        <v>0</v>
      </c>
    </row>
    <row r="400" spans="11:61" x14ac:dyDescent="0.35">
      <c r="K400" t="str">
        <f>IFERROR(VLOOKUP(F400,tbTurnos,3,FALSE),"")</f>
        <v/>
      </c>
      <c r="N400" t="str">
        <f>IFERROR(VLOOKUP(M400,tbFactorMes,2,FALSE),"")</f>
        <v/>
      </c>
      <c r="O400">
        <f t="shared" si="84"/>
        <v>0</v>
      </c>
      <c r="R400" t="str">
        <f>IFERROR(VLOOKUP(Q400,tbFactorMes,2,FALSE),"")</f>
        <v/>
      </c>
      <c r="S400">
        <f t="shared" si="85"/>
        <v>0</v>
      </c>
      <c r="V400" t="str">
        <f>IFERROR(VLOOKUP(U400,tbFactorMes,2,FALSE),"")</f>
        <v/>
      </c>
      <c r="W400">
        <f t="shared" si="86"/>
        <v>0</v>
      </c>
      <c r="Z400" t="str">
        <f>IFERROR(VLOOKUP(Y400,tbFactorMes,2,FALSE),"")</f>
        <v/>
      </c>
      <c r="AA400">
        <f t="shared" si="87"/>
        <v>0</v>
      </c>
      <c r="AD400" t="str">
        <f>IFERROR(VLOOKUP(AC400,tbFactorMes,2,FALSE),"")</f>
        <v/>
      </c>
      <c r="AE400">
        <f t="shared" si="88"/>
        <v>0</v>
      </c>
      <c r="AH400" t="str">
        <f>IFERROR(VLOOKUP(AG400,tbFactorMes,2,FALSE),"")</f>
        <v/>
      </c>
      <c r="AI400">
        <f t="shared" si="89"/>
        <v>0</v>
      </c>
      <c r="AL400" t="str">
        <f>IFERROR(VLOOKUP(AK400,tbFactorMes,2,FALSE),"")</f>
        <v/>
      </c>
      <c r="AM400">
        <f t="shared" si="90"/>
        <v>0</v>
      </c>
      <c r="AP400" t="str">
        <f>IFERROR(VLOOKUP(AO400,tbFactorMes,2,FALSE),"")</f>
        <v/>
      </c>
      <c r="AQ400">
        <f t="shared" si="91"/>
        <v>0</v>
      </c>
      <c r="AT400" t="str">
        <f>IFERROR(VLOOKUP(AS400,tbFactorMes,2,FALSE),"")</f>
        <v/>
      </c>
      <c r="AU400">
        <f t="shared" si="92"/>
        <v>0</v>
      </c>
      <c r="AX400" t="str">
        <f>IFERROR(VLOOKUP(AW400,tbFactorMes,2,FALSE),"")</f>
        <v/>
      </c>
      <c r="AY400">
        <f t="shared" si="93"/>
        <v>0</v>
      </c>
      <c r="BB400" t="str">
        <f>IFERROR(VLOOKUP(BA400,tbFactorMes,2,FALSE),"")</f>
        <v/>
      </c>
      <c r="BC400">
        <f t="shared" si="94"/>
        <v>0</v>
      </c>
      <c r="BF400" t="str">
        <f>IFERROR(VLOOKUP(BE400,tbFactorMes,2,FALSE),"")</f>
        <v/>
      </c>
      <c r="BG400">
        <f t="shared" si="95"/>
        <v>0</v>
      </c>
      <c r="BH400">
        <f t="shared" si="96"/>
        <v>0</v>
      </c>
      <c r="BI400">
        <f t="shared" si="97"/>
        <v>0</v>
      </c>
    </row>
    <row r="401" spans="11:61" x14ac:dyDescent="0.35">
      <c r="K401" t="str">
        <f>IFERROR(VLOOKUP(F401,tbTurnos,3,FALSE),"")</f>
        <v/>
      </c>
      <c r="N401" t="str">
        <f>IFERROR(VLOOKUP(M401,tbFactorMes,2,FALSE),"")</f>
        <v/>
      </c>
      <c r="O401">
        <f t="shared" si="84"/>
        <v>0</v>
      </c>
      <c r="R401" t="str">
        <f>IFERROR(VLOOKUP(Q401,tbFactorMes,2,FALSE),"")</f>
        <v/>
      </c>
      <c r="S401">
        <f t="shared" si="85"/>
        <v>0</v>
      </c>
      <c r="V401" t="str">
        <f>IFERROR(VLOOKUP(U401,tbFactorMes,2,FALSE),"")</f>
        <v/>
      </c>
      <c r="W401">
        <f t="shared" si="86"/>
        <v>0</v>
      </c>
      <c r="Z401" t="str">
        <f>IFERROR(VLOOKUP(Y401,tbFactorMes,2,FALSE),"")</f>
        <v/>
      </c>
      <c r="AA401">
        <f t="shared" si="87"/>
        <v>0</v>
      </c>
      <c r="AD401" t="str">
        <f>IFERROR(VLOOKUP(AC401,tbFactorMes,2,FALSE),"")</f>
        <v/>
      </c>
      <c r="AE401">
        <f t="shared" si="88"/>
        <v>0</v>
      </c>
      <c r="AH401" t="str">
        <f>IFERROR(VLOOKUP(AG401,tbFactorMes,2,FALSE),"")</f>
        <v/>
      </c>
      <c r="AI401">
        <f t="shared" si="89"/>
        <v>0</v>
      </c>
      <c r="AL401" t="str">
        <f>IFERROR(VLOOKUP(AK401,tbFactorMes,2,FALSE),"")</f>
        <v/>
      </c>
      <c r="AM401">
        <f t="shared" si="90"/>
        <v>0</v>
      </c>
      <c r="AP401" t="str">
        <f>IFERROR(VLOOKUP(AO401,tbFactorMes,2,FALSE),"")</f>
        <v/>
      </c>
      <c r="AQ401">
        <f t="shared" si="91"/>
        <v>0</v>
      </c>
      <c r="AT401" t="str">
        <f>IFERROR(VLOOKUP(AS401,tbFactorMes,2,FALSE),"")</f>
        <v/>
      </c>
      <c r="AU401">
        <f t="shared" si="92"/>
        <v>0</v>
      </c>
      <c r="AX401" t="str">
        <f>IFERROR(VLOOKUP(AW401,tbFactorMes,2,FALSE),"")</f>
        <v/>
      </c>
      <c r="AY401">
        <f t="shared" si="93"/>
        <v>0</v>
      </c>
      <c r="BB401" t="str">
        <f>IFERROR(VLOOKUP(BA401,tbFactorMes,2,FALSE),"")</f>
        <v/>
      </c>
      <c r="BC401">
        <f t="shared" si="94"/>
        <v>0</v>
      </c>
      <c r="BF401" t="str">
        <f>IFERROR(VLOOKUP(BE401,tbFactorMes,2,FALSE),"")</f>
        <v/>
      </c>
      <c r="BG401">
        <f t="shared" si="95"/>
        <v>0</v>
      </c>
      <c r="BH401">
        <f t="shared" si="96"/>
        <v>0</v>
      </c>
      <c r="BI401">
        <f t="shared" si="97"/>
        <v>0</v>
      </c>
    </row>
    <row r="402" spans="11:61" x14ac:dyDescent="0.35">
      <c r="K402" t="str">
        <f>IFERROR(VLOOKUP(F402,tbTurnos,3,FALSE),"")</f>
        <v/>
      </c>
      <c r="N402" t="str">
        <f>IFERROR(VLOOKUP(M402,tbFactorMes,2,FALSE),"")</f>
        <v/>
      </c>
      <c r="O402">
        <f t="shared" si="84"/>
        <v>0</v>
      </c>
      <c r="R402" t="str">
        <f>IFERROR(VLOOKUP(Q402,tbFactorMes,2,FALSE),"")</f>
        <v/>
      </c>
      <c r="S402">
        <f t="shared" si="85"/>
        <v>0</v>
      </c>
      <c r="V402" t="str">
        <f>IFERROR(VLOOKUP(U402,tbFactorMes,2,FALSE),"")</f>
        <v/>
      </c>
      <c r="W402">
        <f t="shared" si="86"/>
        <v>0</v>
      </c>
      <c r="Z402" t="str">
        <f>IFERROR(VLOOKUP(Y402,tbFactorMes,2,FALSE),"")</f>
        <v/>
      </c>
      <c r="AA402">
        <f t="shared" si="87"/>
        <v>0</v>
      </c>
      <c r="AD402" t="str">
        <f>IFERROR(VLOOKUP(AC402,tbFactorMes,2,FALSE),"")</f>
        <v/>
      </c>
      <c r="AE402">
        <f t="shared" si="88"/>
        <v>0</v>
      </c>
      <c r="AH402" t="str">
        <f>IFERROR(VLOOKUP(AG402,tbFactorMes,2,FALSE),"")</f>
        <v/>
      </c>
      <c r="AI402">
        <f t="shared" si="89"/>
        <v>0</v>
      </c>
      <c r="AL402" t="str">
        <f>IFERROR(VLOOKUP(AK402,tbFactorMes,2,FALSE),"")</f>
        <v/>
      </c>
      <c r="AM402">
        <f t="shared" si="90"/>
        <v>0</v>
      </c>
      <c r="AP402" t="str">
        <f>IFERROR(VLOOKUP(AO402,tbFactorMes,2,FALSE),"")</f>
        <v/>
      </c>
      <c r="AQ402">
        <f t="shared" si="91"/>
        <v>0</v>
      </c>
      <c r="AT402" t="str">
        <f>IFERROR(VLOOKUP(AS402,tbFactorMes,2,FALSE),"")</f>
        <v/>
      </c>
      <c r="AU402">
        <f t="shared" si="92"/>
        <v>0</v>
      </c>
      <c r="AX402" t="str">
        <f>IFERROR(VLOOKUP(AW402,tbFactorMes,2,FALSE),"")</f>
        <v/>
      </c>
      <c r="AY402">
        <f t="shared" si="93"/>
        <v>0</v>
      </c>
      <c r="BB402" t="str">
        <f>IFERROR(VLOOKUP(BA402,tbFactorMes,2,FALSE),"")</f>
        <v/>
      </c>
      <c r="BC402">
        <f t="shared" si="94"/>
        <v>0</v>
      </c>
      <c r="BF402" t="str">
        <f>IFERROR(VLOOKUP(BE402,tbFactorMes,2,FALSE),"")</f>
        <v/>
      </c>
      <c r="BG402">
        <f t="shared" si="95"/>
        <v>0</v>
      </c>
      <c r="BH402">
        <f t="shared" si="96"/>
        <v>0</v>
      </c>
      <c r="BI402">
        <f t="shared" si="97"/>
        <v>0</v>
      </c>
    </row>
    <row r="403" spans="11:61" x14ac:dyDescent="0.35">
      <c r="K403" t="str">
        <f>IFERROR(VLOOKUP(F403,tbTurnos,3,FALSE),"")</f>
        <v/>
      </c>
      <c r="N403" t="str">
        <f>IFERROR(VLOOKUP(M403,tbFactorMes,2,FALSE),"")</f>
        <v/>
      </c>
      <c r="O403">
        <f t="shared" si="84"/>
        <v>0</v>
      </c>
      <c r="R403" t="str">
        <f>IFERROR(VLOOKUP(Q403,tbFactorMes,2,FALSE),"")</f>
        <v/>
      </c>
      <c r="S403">
        <f t="shared" si="85"/>
        <v>0</v>
      </c>
      <c r="V403" t="str">
        <f>IFERROR(VLOOKUP(U403,tbFactorMes,2,FALSE),"")</f>
        <v/>
      </c>
      <c r="W403">
        <f t="shared" si="86"/>
        <v>0</v>
      </c>
      <c r="Z403" t="str">
        <f>IFERROR(VLOOKUP(Y403,tbFactorMes,2,FALSE),"")</f>
        <v/>
      </c>
      <c r="AA403">
        <f t="shared" si="87"/>
        <v>0</v>
      </c>
      <c r="AD403" t="str">
        <f>IFERROR(VLOOKUP(AC403,tbFactorMes,2,FALSE),"")</f>
        <v/>
      </c>
      <c r="AE403">
        <f t="shared" si="88"/>
        <v>0</v>
      </c>
      <c r="AH403" t="str">
        <f>IFERROR(VLOOKUP(AG403,tbFactorMes,2,FALSE),"")</f>
        <v/>
      </c>
      <c r="AI403">
        <f t="shared" si="89"/>
        <v>0</v>
      </c>
      <c r="AL403" t="str">
        <f>IFERROR(VLOOKUP(AK403,tbFactorMes,2,FALSE),"")</f>
        <v/>
      </c>
      <c r="AM403">
        <f t="shared" si="90"/>
        <v>0</v>
      </c>
      <c r="AP403" t="str">
        <f>IFERROR(VLOOKUP(AO403,tbFactorMes,2,FALSE),"")</f>
        <v/>
      </c>
      <c r="AQ403">
        <f t="shared" si="91"/>
        <v>0</v>
      </c>
      <c r="AT403" t="str">
        <f>IFERROR(VLOOKUP(AS403,tbFactorMes,2,FALSE),"")</f>
        <v/>
      </c>
      <c r="AU403">
        <f t="shared" si="92"/>
        <v>0</v>
      </c>
      <c r="AX403" t="str">
        <f>IFERROR(VLOOKUP(AW403,tbFactorMes,2,FALSE),"")</f>
        <v/>
      </c>
      <c r="AY403">
        <f t="shared" si="93"/>
        <v>0</v>
      </c>
      <c r="BB403" t="str">
        <f>IFERROR(VLOOKUP(BA403,tbFactorMes,2,FALSE),"")</f>
        <v/>
      </c>
      <c r="BC403">
        <f t="shared" si="94"/>
        <v>0</v>
      </c>
      <c r="BF403" t="str">
        <f>IFERROR(VLOOKUP(BE403,tbFactorMes,2,FALSE),"")</f>
        <v/>
      </c>
      <c r="BG403">
        <f t="shared" si="95"/>
        <v>0</v>
      </c>
      <c r="BH403">
        <f t="shared" si="96"/>
        <v>0</v>
      </c>
      <c r="BI403">
        <f t="shared" si="97"/>
        <v>0</v>
      </c>
    </row>
    <row r="404" spans="11:61" x14ac:dyDescent="0.35">
      <c r="K404" t="str">
        <f>IFERROR(VLOOKUP(F404,tbTurnos,3,FALSE),"")</f>
        <v/>
      </c>
      <c r="N404" t="str">
        <f>IFERROR(VLOOKUP(M404,tbFactorMes,2,FALSE),"")</f>
        <v/>
      </c>
      <c r="O404">
        <f t="shared" si="84"/>
        <v>0</v>
      </c>
      <c r="R404" t="str">
        <f>IFERROR(VLOOKUP(Q404,tbFactorMes,2,FALSE),"")</f>
        <v/>
      </c>
      <c r="S404">
        <f t="shared" si="85"/>
        <v>0</v>
      </c>
      <c r="V404" t="str">
        <f>IFERROR(VLOOKUP(U404,tbFactorMes,2,FALSE),"")</f>
        <v/>
      </c>
      <c r="W404">
        <f t="shared" si="86"/>
        <v>0</v>
      </c>
      <c r="Z404" t="str">
        <f>IFERROR(VLOOKUP(Y404,tbFactorMes,2,FALSE),"")</f>
        <v/>
      </c>
      <c r="AA404">
        <f t="shared" si="87"/>
        <v>0</v>
      </c>
      <c r="AD404" t="str">
        <f>IFERROR(VLOOKUP(AC404,tbFactorMes,2,FALSE),"")</f>
        <v/>
      </c>
      <c r="AE404">
        <f t="shared" si="88"/>
        <v>0</v>
      </c>
      <c r="AH404" t="str">
        <f>IFERROR(VLOOKUP(AG404,tbFactorMes,2,FALSE),"")</f>
        <v/>
      </c>
      <c r="AI404">
        <f t="shared" si="89"/>
        <v>0</v>
      </c>
      <c r="AL404" t="str">
        <f>IFERROR(VLOOKUP(AK404,tbFactorMes,2,FALSE),"")</f>
        <v/>
      </c>
      <c r="AM404">
        <f t="shared" si="90"/>
        <v>0</v>
      </c>
      <c r="AP404" t="str">
        <f>IFERROR(VLOOKUP(AO404,tbFactorMes,2,FALSE),"")</f>
        <v/>
      </c>
      <c r="AQ404">
        <f t="shared" si="91"/>
        <v>0</v>
      </c>
      <c r="AT404" t="str">
        <f>IFERROR(VLOOKUP(AS404,tbFactorMes,2,FALSE),"")</f>
        <v/>
      </c>
      <c r="AU404">
        <f t="shared" si="92"/>
        <v>0</v>
      </c>
      <c r="AX404" t="str">
        <f>IFERROR(VLOOKUP(AW404,tbFactorMes,2,FALSE),"")</f>
        <v/>
      </c>
      <c r="AY404">
        <f t="shared" si="93"/>
        <v>0</v>
      </c>
      <c r="BB404" t="str">
        <f>IFERROR(VLOOKUP(BA404,tbFactorMes,2,FALSE),"")</f>
        <v/>
      </c>
      <c r="BC404">
        <f t="shared" si="94"/>
        <v>0</v>
      </c>
      <c r="BF404" t="str">
        <f>IFERROR(VLOOKUP(BE404,tbFactorMes,2,FALSE),"")</f>
        <v/>
      </c>
      <c r="BG404">
        <f t="shared" si="95"/>
        <v>0</v>
      </c>
      <c r="BH404">
        <f t="shared" si="96"/>
        <v>0</v>
      </c>
      <c r="BI404">
        <f t="shared" si="97"/>
        <v>0</v>
      </c>
    </row>
    <row r="405" spans="11:61" x14ac:dyDescent="0.35">
      <c r="K405" t="str">
        <f>IFERROR(VLOOKUP(F405,tbTurnos,3,FALSE),"")</f>
        <v/>
      </c>
      <c r="N405" t="str">
        <f>IFERROR(VLOOKUP(M405,tbFactorMes,2,FALSE),"")</f>
        <v/>
      </c>
      <c r="O405">
        <f t="shared" si="84"/>
        <v>0</v>
      </c>
      <c r="R405" t="str">
        <f>IFERROR(VLOOKUP(Q405,tbFactorMes,2,FALSE),"")</f>
        <v/>
      </c>
      <c r="S405">
        <f t="shared" si="85"/>
        <v>0</v>
      </c>
      <c r="V405" t="str">
        <f>IFERROR(VLOOKUP(U405,tbFactorMes,2,FALSE),"")</f>
        <v/>
      </c>
      <c r="W405">
        <f t="shared" si="86"/>
        <v>0</v>
      </c>
      <c r="Z405" t="str">
        <f>IFERROR(VLOOKUP(Y405,tbFactorMes,2,FALSE),"")</f>
        <v/>
      </c>
      <c r="AA405">
        <f t="shared" si="87"/>
        <v>0</v>
      </c>
      <c r="AD405" t="str">
        <f>IFERROR(VLOOKUP(AC405,tbFactorMes,2,FALSE),"")</f>
        <v/>
      </c>
      <c r="AE405">
        <f t="shared" si="88"/>
        <v>0</v>
      </c>
      <c r="AH405" t="str">
        <f>IFERROR(VLOOKUP(AG405,tbFactorMes,2,FALSE),"")</f>
        <v/>
      </c>
      <c r="AI405">
        <f t="shared" si="89"/>
        <v>0</v>
      </c>
      <c r="AL405" t="str">
        <f>IFERROR(VLOOKUP(AK405,tbFactorMes,2,FALSE),"")</f>
        <v/>
      </c>
      <c r="AM405">
        <f t="shared" si="90"/>
        <v>0</v>
      </c>
      <c r="AP405" t="str">
        <f>IFERROR(VLOOKUP(AO405,tbFactorMes,2,FALSE),"")</f>
        <v/>
      </c>
      <c r="AQ405">
        <f t="shared" si="91"/>
        <v>0</v>
      </c>
      <c r="AT405" t="str">
        <f>IFERROR(VLOOKUP(AS405,tbFactorMes,2,FALSE),"")</f>
        <v/>
      </c>
      <c r="AU405">
        <f t="shared" si="92"/>
        <v>0</v>
      </c>
      <c r="AX405" t="str">
        <f>IFERROR(VLOOKUP(AW405,tbFactorMes,2,FALSE),"")</f>
        <v/>
      </c>
      <c r="AY405">
        <f t="shared" si="93"/>
        <v>0</v>
      </c>
      <c r="BB405" t="str">
        <f>IFERROR(VLOOKUP(BA405,tbFactorMes,2,FALSE),"")</f>
        <v/>
      </c>
      <c r="BC405">
        <f t="shared" si="94"/>
        <v>0</v>
      </c>
      <c r="BF405" t="str">
        <f>IFERROR(VLOOKUP(BE405,tbFactorMes,2,FALSE),"")</f>
        <v/>
      </c>
      <c r="BG405">
        <f t="shared" si="95"/>
        <v>0</v>
      </c>
      <c r="BH405">
        <f t="shared" si="96"/>
        <v>0</v>
      </c>
      <c r="BI405">
        <f t="shared" si="97"/>
        <v>0</v>
      </c>
    </row>
    <row r="406" spans="11:61" x14ac:dyDescent="0.35">
      <c r="K406" t="str">
        <f>IFERROR(VLOOKUP(F406,tbTurnos,3,FALSE),"")</f>
        <v/>
      </c>
      <c r="N406" t="str">
        <f>IFERROR(VLOOKUP(M406,tbFactorMes,2,FALSE),"")</f>
        <v/>
      </c>
      <c r="O406">
        <f t="shared" si="84"/>
        <v>0</v>
      </c>
      <c r="R406" t="str">
        <f>IFERROR(VLOOKUP(Q406,tbFactorMes,2,FALSE),"")</f>
        <v/>
      </c>
      <c r="S406">
        <f t="shared" si="85"/>
        <v>0</v>
      </c>
      <c r="V406" t="str">
        <f>IFERROR(VLOOKUP(U406,tbFactorMes,2,FALSE),"")</f>
        <v/>
      </c>
      <c r="W406">
        <f t="shared" si="86"/>
        <v>0</v>
      </c>
      <c r="Z406" t="str">
        <f>IFERROR(VLOOKUP(Y406,tbFactorMes,2,FALSE),"")</f>
        <v/>
      </c>
      <c r="AA406">
        <f t="shared" si="87"/>
        <v>0</v>
      </c>
      <c r="AD406" t="str">
        <f>IFERROR(VLOOKUP(AC406,tbFactorMes,2,FALSE),"")</f>
        <v/>
      </c>
      <c r="AE406">
        <f t="shared" si="88"/>
        <v>0</v>
      </c>
      <c r="AH406" t="str">
        <f>IFERROR(VLOOKUP(AG406,tbFactorMes,2,FALSE),"")</f>
        <v/>
      </c>
      <c r="AI406">
        <f t="shared" si="89"/>
        <v>0</v>
      </c>
      <c r="AL406" t="str">
        <f>IFERROR(VLOOKUP(AK406,tbFactorMes,2,FALSE),"")</f>
        <v/>
      </c>
      <c r="AM406">
        <f t="shared" si="90"/>
        <v>0</v>
      </c>
      <c r="AP406" t="str">
        <f>IFERROR(VLOOKUP(AO406,tbFactorMes,2,FALSE),"")</f>
        <v/>
      </c>
      <c r="AQ406">
        <f t="shared" si="91"/>
        <v>0</v>
      </c>
      <c r="AT406" t="str">
        <f>IFERROR(VLOOKUP(AS406,tbFactorMes,2,FALSE),"")</f>
        <v/>
      </c>
      <c r="AU406">
        <f t="shared" si="92"/>
        <v>0</v>
      </c>
      <c r="AX406" t="str">
        <f>IFERROR(VLOOKUP(AW406,tbFactorMes,2,FALSE),"")</f>
        <v/>
      </c>
      <c r="AY406">
        <f t="shared" si="93"/>
        <v>0</v>
      </c>
      <c r="BB406" t="str">
        <f>IFERROR(VLOOKUP(BA406,tbFactorMes,2,FALSE),"")</f>
        <v/>
      </c>
      <c r="BC406">
        <f t="shared" si="94"/>
        <v>0</v>
      </c>
      <c r="BF406" t="str">
        <f>IFERROR(VLOOKUP(BE406,tbFactorMes,2,FALSE),"")</f>
        <v/>
      </c>
      <c r="BG406">
        <f t="shared" si="95"/>
        <v>0</v>
      </c>
      <c r="BH406">
        <f t="shared" si="96"/>
        <v>0</v>
      </c>
      <c r="BI406">
        <f t="shared" si="97"/>
        <v>0</v>
      </c>
    </row>
    <row r="407" spans="11:61" x14ac:dyDescent="0.35">
      <c r="K407" t="str">
        <f>IFERROR(VLOOKUP(F407,tbTurnos,3,FALSE),"")</f>
        <v/>
      </c>
      <c r="N407" t="str">
        <f>IFERROR(VLOOKUP(M407,tbFactorMes,2,FALSE),"")</f>
        <v/>
      </c>
      <c r="O407">
        <f t="shared" si="84"/>
        <v>0</v>
      </c>
      <c r="R407" t="str">
        <f>IFERROR(VLOOKUP(Q407,tbFactorMes,2,FALSE),"")</f>
        <v/>
      </c>
      <c r="S407">
        <f t="shared" si="85"/>
        <v>0</v>
      </c>
      <c r="V407" t="str">
        <f>IFERROR(VLOOKUP(U407,tbFactorMes,2,FALSE),"")</f>
        <v/>
      </c>
      <c r="W407">
        <f t="shared" si="86"/>
        <v>0</v>
      </c>
      <c r="Z407" t="str">
        <f>IFERROR(VLOOKUP(Y407,tbFactorMes,2,FALSE),"")</f>
        <v/>
      </c>
      <c r="AA407">
        <f t="shared" si="87"/>
        <v>0</v>
      </c>
      <c r="AD407" t="str">
        <f>IFERROR(VLOOKUP(AC407,tbFactorMes,2,FALSE),"")</f>
        <v/>
      </c>
      <c r="AE407">
        <f t="shared" si="88"/>
        <v>0</v>
      </c>
      <c r="AH407" t="str">
        <f>IFERROR(VLOOKUP(AG407,tbFactorMes,2,FALSE),"")</f>
        <v/>
      </c>
      <c r="AI407">
        <f t="shared" si="89"/>
        <v>0</v>
      </c>
      <c r="AL407" t="str">
        <f>IFERROR(VLOOKUP(AK407,tbFactorMes,2,FALSE),"")</f>
        <v/>
      </c>
      <c r="AM407">
        <f t="shared" si="90"/>
        <v>0</v>
      </c>
      <c r="AP407" t="str">
        <f>IFERROR(VLOOKUP(AO407,tbFactorMes,2,FALSE),"")</f>
        <v/>
      </c>
      <c r="AQ407">
        <f t="shared" si="91"/>
        <v>0</v>
      </c>
      <c r="AT407" t="str">
        <f>IFERROR(VLOOKUP(AS407,tbFactorMes,2,FALSE),"")</f>
        <v/>
      </c>
      <c r="AU407">
        <f t="shared" si="92"/>
        <v>0</v>
      </c>
      <c r="AX407" t="str">
        <f>IFERROR(VLOOKUP(AW407,tbFactorMes,2,FALSE),"")</f>
        <v/>
      </c>
      <c r="AY407">
        <f t="shared" si="93"/>
        <v>0</v>
      </c>
      <c r="BB407" t="str">
        <f>IFERROR(VLOOKUP(BA407,tbFactorMes,2,FALSE),"")</f>
        <v/>
      </c>
      <c r="BC407">
        <f t="shared" si="94"/>
        <v>0</v>
      </c>
      <c r="BF407" t="str">
        <f>IFERROR(VLOOKUP(BE407,tbFactorMes,2,FALSE),"")</f>
        <v/>
      </c>
      <c r="BG407">
        <f t="shared" si="95"/>
        <v>0</v>
      </c>
      <c r="BH407">
        <f t="shared" si="96"/>
        <v>0</v>
      </c>
      <c r="BI407">
        <f t="shared" si="97"/>
        <v>0</v>
      </c>
    </row>
    <row r="408" spans="11:61" x14ac:dyDescent="0.35">
      <c r="K408" t="str">
        <f>IFERROR(VLOOKUP(F408,tbTurnos,3,FALSE),"")</f>
        <v/>
      </c>
      <c r="N408" t="str">
        <f>IFERROR(VLOOKUP(M408,tbFactorMes,2,FALSE),"")</f>
        <v/>
      </c>
      <c r="O408">
        <f t="shared" si="84"/>
        <v>0</v>
      </c>
      <c r="R408" t="str">
        <f>IFERROR(VLOOKUP(Q408,tbFactorMes,2,FALSE),"")</f>
        <v/>
      </c>
      <c r="S408">
        <f t="shared" si="85"/>
        <v>0</v>
      </c>
      <c r="V408" t="str">
        <f>IFERROR(VLOOKUP(U408,tbFactorMes,2,FALSE),"")</f>
        <v/>
      </c>
      <c r="W408">
        <f t="shared" si="86"/>
        <v>0</v>
      </c>
      <c r="Z408" t="str">
        <f>IFERROR(VLOOKUP(Y408,tbFactorMes,2,FALSE),"")</f>
        <v/>
      </c>
      <c r="AA408">
        <f t="shared" si="87"/>
        <v>0</v>
      </c>
      <c r="AD408" t="str">
        <f>IFERROR(VLOOKUP(AC408,tbFactorMes,2,FALSE),"")</f>
        <v/>
      </c>
      <c r="AE408">
        <f t="shared" si="88"/>
        <v>0</v>
      </c>
      <c r="AH408" t="str">
        <f>IFERROR(VLOOKUP(AG408,tbFactorMes,2,FALSE),"")</f>
        <v/>
      </c>
      <c r="AI408">
        <f t="shared" si="89"/>
        <v>0</v>
      </c>
      <c r="AL408" t="str">
        <f>IFERROR(VLOOKUP(AK408,tbFactorMes,2,FALSE),"")</f>
        <v/>
      </c>
      <c r="AM408">
        <f t="shared" si="90"/>
        <v>0</v>
      </c>
      <c r="AP408" t="str">
        <f>IFERROR(VLOOKUP(AO408,tbFactorMes,2,FALSE),"")</f>
        <v/>
      </c>
      <c r="AQ408">
        <f t="shared" si="91"/>
        <v>0</v>
      </c>
      <c r="AT408" t="str">
        <f>IFERROR(VLOOKUP(AS408,tbFactorMes,2,FALSE),"")</f>
        <v/>
      </c>
      <c r="AU408">
        <f t="shared" si="92"/>
        <v>0</v>
      </c>
      <c r="AX408" t="str">
        <f>IFERROR(VLOOKUP(AW408,tbFactorMes,2,FALSE),"")</f>
        <v/>
      </c>
      <c r="AY408">
        <f t="shared" si="93"/>
        <v>0</v>
      </c>
      <c r="BB408" t="str">
        <f>IFERROR(VLOOKUP(BA408,tbFactorMes,2,FALSE),"")</f>
        <v/>
      </c>
      <c r="BC408">
        <f t="shared" si="94"/>
        <v>0</v>
      </c>
      <c r="BF408" t="str">
        <f>IFERROR(VLOOKUP(BE408,tbFactorMes,2,FALSE),"")</f>
        <v/>
      </c>
      <c r="BG408">
        <f t="shared" si="95"/>
        <v>0</v>
      </c>
      <c r="BH408">
        <f t="shared" si="96"/>
        <v>0</v>
      </c>
      <c r="BI408">
        <f t="shared" si="97"/>
        <v>0</v>
      </c>
    </row>
    <row r="409" spans="11:61" x14ac:dyDescent="0.35">
      <c r="K409" t="str">
        <f>IFERROR(VLOOKUP(F409,tbTurnos,3,FALSE),"")</f>
        <v/>
      </c>
      <c r="N409" t="str">
        <f>IFERROR(VLOOKUP(M409,tbFactorMes,2,FALSE),"")</f>
        <v/>
      </c>
      <c r="O409">
        <f t="shared" si="84"/>
        <v>0</v>
      </c>
      <c r="R409" t="str">
        <f>IFERROR(VLOOKUP(Q409,tbFactorMes,2,FALSE),"")</f>
        <v/>
      </c>
      <c r="S409">
        <f t="shared" si="85"/>
        <v>0</v>
      </c>
      <c r="V409" t="str">
        <f>IFERROR(VLOOKUP(U409,tbFactorMes,2,FALSE),"")</f>
        <v/>
      </c>
      <c r="W409">
        <f t="shared" si="86"/>
        <v>0</v>
      </c>
      <c r="Z409" t="str">
        <f>IFERROR(VLOOKUP(Y409,tbFactorMes,2,FALSE),"")</f>
        <v/>
      </c>
      <c r="AA409">
        <f t="shared" si="87"/>
        <v>0</v>
      </c>
      <c r="AD409" t="str">
        <f>IFERROR(VLOOKUP(AC409,tbFactorMes,2,FALSE),"")</f>
        <v/>
      </c>
      <c r="AE409">
        <f t="shared" si="88"/>
        <v>0</v>
      </c>
      <c r="AH409" t="str">
        <f>IFERROR(VLOOKUP(AG409,tbFactorMes,2,FALSE),"")</f>
        <v/>
      </c>
      <c r="AI409">
        <f t="shared" si="89"/>
        <v>0</v>
      </c>
      <c r="AL409" t="str">
        <f>IFERROR(VLOOKUP(AK409,tbFactorMes,2,FALSE),"")</f>
        <v/>
      </c>
      <c r="AM409">
        <f t="shared" si="90"/>
        <v>0</v>
      </c>
      <c r="AP409" t="str">
        <f>IFERROR(VLOOKUP(AO409,tbFactorMes,2,FALSE),"")</f>
        <v/>
      </c>
      <c r="AQ409">
        <f t="shared" si="91"/>
        <v>0</v>
      </c>
      <c r="AT409" t="str">
        <f>IFERROR(VLOOKUP(AS409,tbFactorMes,2,FALSE),"")</f>
        <v/>
      </c>
      <c r="AU409">
        <f t="shared" si="92"/>
        <v>0</v>
      </c>
      <c r="AX409" t="str">
        <f>IFERROR(VLOOKUP(AW409,tbFactorMes,2,FALSE),"")</f>
        <v/>
      </c>
      <c r="AY409">
        <f t="shared" si="93"/>
        <v>0</v>
      </c>
      <c r="BB409" t="str">
        <f>IFERROR(VLOOKUP(BA409,tbFactorMes,2,FALSE),"")</f>
        <v/>
      </c>
      <c r="BC409">
        <f t="shared" si="94"/>
        <v>0</v>
      </c>
      <c r="BF409" t="str">
        <f>IFERROR(VLOOKUP(BE409,tbFactorMes,2,FALSE),"")</f>
        <v/>
      </c>
      <c r="BG409">
        <f t="shared" si="95"/>
        <v>0</v>
      </c>
      <c r="BH409">
        <f t="shared" si="96"/>
        <v>0</v>
      </c>
      <c r="BI409">
        <f t="shared" si="97"/>
        <v>0</v>
      </c>
    </row>
    <row r="410" spans="11:61" x14ac:dyDescent="0.35">
      <c r="K410" t="str">
        <f>IFERROR(VLOOKUP(F410,tbTurnos,3,FALSE),"")</f>
        <v/>
      </c>
      <c r="N410" t="str">
        <f>IFERROR(VLOOKUP(M410,tbFactorMes,2,FALSE),"")</f>
        <v/>
      </c>
      <c r="O410">
        <f t="shared" si="84"/>
        <v>0</v>
      </c>
      <c r="R410" t="str">
        <f>IFERROR(VLOOKUP(Q410,tbFactorMes,2,FALSE),"")</f>
        <v/>
      </c>
      <c r="S410">
        <f t="shared" si="85"/>
        <v>0</v>
      </c>
      <c r="V410" t="str">
        <f>IFERROR(VLOOKUP(U410,tbFactorMes,2,FALSE),"")</f>
        <v/>
      </c>
      <c r="W410">
        <f t="shared" si="86"/>
        <v>0</v>
      </c>
      <c r="Z410" t="str">
        <f>IFERROR(VLOOKUP(Y410,tbFactorMes,2,FALSE),"")</f>
        <v/>
      </c>
      <c r="AA410">
        <f t="shared" si="87"/>
        <v>0</v>
      </c>
      <c r="AD410" t="str">
        <f>IFERROR(VLOOKUP(AC410,tbFactorMes,2,FALSE),"")</f>
        <v/>
      </c>
      <c r="AE410">
        <f t="shared" si="88"/>
        <v>0</v>
      </c>
      <c r="AH410" t="str">
        <f>IFERROR(VLOOKUP(AG410,tbFactorMes,2,FALSE),"")</f>
        <v/>
      </c>
      <c r="AI410">
        <f t="shared" si="89"/>
        <v>0</v>
      </c>
      <c r="AL410" t="str">
        <f>IFERROR(VLOOKUP(AK410,tbFactorMes,2,FALSE),"")</f>
        <v/>
      </c>
      <c r="AM410">
        <f t="shared" si="90"/>
        <v>0</v>
      </c>
      <c r="AP410" t="str">
        <f>IFERROR(VLOOKUP(AO410,tbFactorMes,2,FALSE),"")</f>
        <v/>
      </c>
      <c r="AQ410">
        <f t="shared" si="91"/>
        <v>0</v>
      </c>
      <c r="AT410" t="str">
        <f>IFERROR(VLOOKUP(AS410,tbFactorMes,2,FALSE),"")</f>
        <v/>
      </c>
      <c r="AU410">
        <f t="shared" si="92"/>
        <v>0</v>
      </c>
      <c r="AX410" t="str">
        <f>IFERROR(VLOOKUP(AW410,tbFactorMes,2,FALSE),"")</f>
        <v/>
      </c>
      <c r="AY410">
        <f t="shared" si="93"/>
        <v>0</v>
      </c>
      <c r="BB410" t="str">
        <f>IFERROR(VLOOKUP(BA410,tbFactorMes,2,FALSE),"")</f>
        <v/>
      </c>
      <c r="BC410">
        <f t="shared" si="94"/>
        <v>0</v>
      </c>
      <c r="BF410" t="str">
        <f>IFERROR(VLOOKUP(BE410,tbFactorMes,2,FALSE),"")</f>
        <v/>
      </c>
      <c r="BG410">
        <f t="shared" si="95"/>
        <v>0</v>
      </c>
      <c r="BH410">
        <f t="shared" si="96"/>
        <v>0</v>
      </c>
      <c r="BI410">
        <f t="shared" si="97"/>
        <v>0</v>
      </c>
    </row>
    <row r="411" spans="11:61" x14ac:dyDescent="0.35">
      <c r="K411" t="str">
        <f>IFERROR(VLOOKUP(F411,tbTurnos,3,FALSE),"")</f>
        <v/>
      </c>
      <c r="N411" t="str">
        <f>IFERROR(VLOOKUP(M411,tbFactorMes,2,FALSE),"")</f>
        <v/>
      </c>
      <c r="O411">
        <f t="shared" si="84"/>
        <v>0</v>
      </c>
      <c r="R411" t="str">
        <f>IFERROR(VLOOKUP(Q411,tbFactorMes,2,FALSE),"")</f>
        <v/>
      </c>
      <c r="S411">
        <f t="shared" si="85"/>
        <v>0</v>
      </c>
      <c r="V411" t="str">
        <f>IFERROR(VLOOKUP(U411,tbFactorMes,2,FALSE),"")</f>
        <v/>
      </c>
      <c r="W411">
        <f t="shared" si="86"/>
        <v>0</v>
      </c>
      <c r="Z411" t="str">
        <f>IFERROR(VLOOKUP(Y411,tbFactorMes,2,FALSE),"")</f>
        <v/>
      </c>
      <c r="AA411">
        <f t="shared" si="87"/>
        <v>0</v>
      </c>
      <c r="AD411" t="str">
        <f>IFERROR(VLOOKUP(AC411,tbFactorMes,2,FALSE),"")</f>
        <v/>
      </c>
      <c r="AE411">
        <f t="shared" si="88"/>
        <v>0</v>
      </c>
      <c r="AH411" t="str">
        <f>IFERROR(VLOOKUP(AG411,tbFactorMes,2,FALSE),"")</f>
        <v/>
      </c>
      <c r="AI411">
        <f t="shared" si="89"/>
        <v>0</v>
      </c>
      <c r="AL411" t="str">
        <f>IFERROR(VLOOKUP(AK411,tbFactorMes,2,FALSE),"")</f>
        <v/>
      </c>
      <c r="AM411">
        <f t="shared" si="90"/>
        <v>0</v>
      </c>
      <c r="AP411" t="str">
        <f>IFERROR(VLOOKUP(AO411,tbFactorMes,2,FALSE),"")</f>
        <v/>
      </c>
      <c r="AQ411">
        <f t="shared" si="91"/>
        <v>0</v>
      </c>
      <c r="AT411" t="str">
        <f>IFERROR(VLOOKUP(AS411,tbFactorMes,2,FALSE),"")</f>
        <v/>
      </c>
      <c r="AU411">
        <f t="shared" si="92"/>
        <v>0</v>
      </c>
      <c r="AX411" t="str">
        <f>IFERROR(VLOOKUP(AW411,tbFactorMes,2,FALSE),"")</f>
        <v/>
      </c>
      <c r="AY411">
        <f t="shared" si="93"/>
        <v>0</v>
      </c>
      <c r="BB411" t="str">
        <f>IFERROR(VLOOKUP(BA411,tbFactorMes,2,FALSE),"")</f>
        <v/>
      </c>
      <c r="BC411">
        <f t="shared" si="94"/>
        <v>0</v>
      </c>
      <c r="BF411" t="str">
        <f>IFERROR(VLOOKUP(BE411,tbFactorMes,2,FALSE),"")</f>
        <v/>
      </c>
      <c r="BG411">
        <f t="shared" si="95"/>
        <v>0</v>
      </c>
      <c r="BH411">
        <f t="shared" si="96"/>
        <v>0</v>
      </c>
      <c r="BI411">
        <f t="shared" si="97"/>
        <v>0</v>
      </c>
    </row>
    <row r="412" spans="11:61" x14ac:dyDescent="0.35">
      <c r="K412" t="str">
        <f>IFERROR(VLOOKUP(F412,tbTurnos,3,FALSE),"")</f>
        <v/>
      </c>
      <c r="N412" t="str">
        <f>IFERROR(VLOOKUP(M412,tbFactorMes,2,FALSE),"")</f>
        <v/>
      </c>
      <c r="O412">
        <f t="shared" si="84"/>
        <v>0</v>
      </c>
      <c r="R412" t="str">
        <f>IFERROR(VLOOKUP(Q412,tbFactorMes,2,FALSE),"")</f>
        <v/>
      </c>
      <c r="S412">
        <f t="shared" si="85"/>
        <v>0</v>
      </c>
      <c r="V412" t="str">
        <f>IFERROR(VLOOKUP(U412,tbFactorMes,2,FALSE),"")</f>
        <v/>
      </c>
      <c r="W412">
        <f t="shared" si="86"/>
        <v>0</v>
      </c>
      <c r="Z412" t="str">
        <f>IFERROR(VLOOKUP(Y412,tbFactorMes,2,FALSE),"")</f>
        <v/>
      </c>
      <c r="AA412">
        <f t="shared" si="87"/>
        <v>0</v>
      </c>
      <c r="AD412" t="str">
        <f>IFERROR(VLOOKUP(AC412,tbFactorMes,2,FALSE),"")</f>
        <v/>
      </c>
      <c r="AE412">
        <f t="shared" si="88"/>
        <v>0</v>
      </c>
      <c r="AH412" t="str">
        <f>IFERROR(VLOOKUP(AG412,tbFactorMes,2,FALSE),"")</f>
        <v/>
      </c>
      <c r="AI412">
        <f t="shared" si="89"/>
        <v>0</v>
      </c>
      <c r="AL412" t="str">
        <f>IFERROR(VLOOKUP(AK412,tbFactorMes,2,FALSE),"")</f>
        <v/>
      </c>
      <c r="AM412">
        <f t="shared" si="90"/>
        <v>0</v>
      </c>
      <c r="AP412" t="str">
        <f>IFERROR(VLOOKUP(AO412,tbFactorMes,2,FALSE),"")</f>
        <v/>
      </c>
      <c r="AQ412">
        <f t="shared" si="91"/>
        <v>0</v>
      </c>
      <c r="AT412" t="str">
        <f>IFERROR(VLOOKUP(AS412,tbFactorMes,2,FALSE),"")</f>
        <v/>
      </c>
      <c r="AU412">
        <f t="shared" si="92"/>
        <v>0</v>
      </c>
      <c r="AX412" t="str">
        <f>IFERROR(VLOOKUP(AW412,tbFactorMes,2,FALSE),"")</f>
        <v/>
      </c>
      <c r="AY412">
        <f t="shared" si="93"/>
        <v>0</v>
      </c>
      <c r="BB412" t="str">
        <f>IFERROR(VLOOKUP(BA412,tbFactorMes,2,FALSE),"")</f>
        <v/>
      </c>
      <c r="BC412">
        <f t="shared" si="94"/>
        <v>0</v>
      </c>
      <c r="BF412" t="str">
        <f>IFERROR(VLOOKUP(BE412,tbFactorMes,2,FALSE),"")</f>
        <v/>
      </c>
      <c r="BG412">
        <f t="shared" si="95"/>
        <v>0</v>
      </c>
      <c r="BH412">
        <f t="shared" si="96"/>
        <v>0</v>
      </c>
      <c r="BI412">
        <f t="shared" si="97"/>
        <v>0</v>
      </c>
    </row>
    <row r="413" spans="11:61" x14ac:dyDescent="0.35">
      <c r="K413" t="str">
        <f>IFERROR(VLOOKUP(F413,tbTurnos,3,FALSE),"")</f>
        <v/>
      </c>
      <c r="N413" t="str">
        <f>IFERROR(VLOOKUP(M413,tbFactorMes,2,FALSE),"")</f>
        <v/>
      </c>
      <c r="O413">
        <f t="shared" si="84"/>
        <v>0</v>
      </c>
      <c r="R413" t="str">
        <f>IFERROR(VLOOKUP(Q413,tbFactorMes,2,FALSE),"")</f>
        <v/>
      </c>
      <c r="S413">
        <f t="shared" si="85"/>
        <v>0</v>
      </c>
      <c r="V413" t="str">
        <f>IFERROR(VLOOKUP(U413,tbFactorMes,2,FALSE),"")</f>
        <v/>
      </c>
      <c r="W413">
        <f t="shared" si="86"/>
        <v>0</v>
      </c>
      <c r="Z413" t="str">
        <f>IFERROR(VLOOKUP(Y413,tbFactorMes,2,FALSE),"")</f>
        <v/>
      </c>
      <c r="AA413">
        <f t="shared" si="87"/>
        <v>0</v>
      </c>
      <c r="AD413" t="str">
        <f>IFERROR(VLOOKUP(AC413,tbFactorMes,2,FALSE),"")</f>
        <v/>
      </c>
      <c r="AE413">
        <f t="shared" si="88"/>
        <v>0</v>
      </c>
      <c r="AH413" t="str">
        <f>IFERROR(VLOOKUP(AG413,tbFactorMes,2,FALSE),"")</f>
        <v/>
      </c>
      <c r="AI413">
        <f t="shared" si="89"/>
        <v>0</v>
      </c>
      <c r="AL413" t="str">
        <f>IFERROR(VLOOKUP(AK413,tbFactorMes,2,FALSE),"")</f>
        <v/>
      </c>
      <c r="AM413">
        <f t="shared" si="90"/>
        <v>0</v>
      </c>
      <c r="AP413" t="str">
        <f>IFERROR(VLOOKUP(AO413,tbFactorMes,2,FALSE),"")</f>
        <v/>
      </c>
      <c r="AQ413">
        <f t="shared" si="91"/>
        <v>0</v>
      </c>
      <c r="AT413" t="str">
        <f>IFERROR(VLOOKUP(AS413,tbFactorMes,2,FALSE),"")</f>
        <v/>
      </c>
      <c r="AU413">
        <f t="shared" si="92"/>
        <v>0</v>
      </c>
      <c r="AX413" t="str">
        <f>IFERROR(VLOOKUP(AW413,tbFactorMes,2,FALSE),"")</f>
        <v/>
      </c>
      <c r="AY413">
        <f t="shared" si="93"/>
        <v>0</v>
      </c>
      <c r="BB413" t="str">
        <f>IFERROR(VLOOKUP(BA413,tbFactorMes,2,FALSE),"")</f>
        <v/>
      </c>
      <c r="BC413">
        <f t="shared" si="94"/>
        <v>0</v>
      </c>
      <c r="BF413" t="str">
        <f>IFERROR(VLOOKUP(BE413,tbFactorMes,2,FALSE),"")</f>
        <v/>
      </c>
      <c r="BG413">
        <f t="shared" si="95"/>
        <v>0</v>
      </c>
      <c r="BH413">
        <f t="shared" si="96"/>
        <v>0</v>
      </c>
      <c r="BI413">
        <f t="shared" si="97"/>
        <v>0</v>
      </c>
    </row>
    <row r="414" spans="11:61" x14ac:dyDescent="0.35">
      <c r="K414" t="str">
        <f>IFERROR(VLOOKUP(F414,tbTurnos,3,FALSE),"")</f>
        <v/>
      </c>
      <c r="N414" t="str">
        <f>IFERROR(VLOOKUP(M414,tbFactorMes,2,FALSE),"")</f>
        <v/>
      </c>
      <c r="O414">
        <f t="shared" si="84"/>
        <v>0</v>
      </c>
      <c r="R414" t="str">
        <f>IFERROR(VLOOKUP(Q414,tbFactorMes,2,FALSE),"")</f>
        <v/>
      </c>
      <c r="S414">
        <f t="shared" si="85"/>
        <v>0</v>
      </c>
      <c r="V414" t="str">
        <f>IFERROR(VLOOKUP(U414,tbFactorMes,2,FALSE),"")</f>
        <v/>
      </c>
      <c r="W414">
        <f t="shared" si="86"/>
        <v>0</v>
      </c>
      <c r="Z414" t="str">
        <f>IFERROR(VLOOKUP(Y414,tbFactorMes,2,FALSE),"")</f>
        <v/>
      </c>
      <c r="AA414">
        <f t="shared" si="87"/>
        <v>0</v>
      </c>
      <c r="AD414" t="str">
        <f>IFERROR(VLOOKUP(AC414,tbFactorMes,2,FALSE),"")</f>
        <v/>
      </c>
      <c r="AE414">
        <f t="shared" si="88"/>
        <v>0</v>
      </c>
      <c r="AH414" t="str">
        <f>IFERROR(VLOOKUP(AG414,tbFactorMes,2,FALSE),"")</f>
        <v/>
      </c>
      <c r="AI414">
        <f t="shared" si="89"/>
        <v>0</v>
      </c>
      <c r="AL414" t="str">
        <f>IFERROR(VLOOKUP(AK414,tbFactorMes,2,FALSE),"")</f>
        <v/>
      </c>
      <c r="AM414">
        <f t="shared" si="90"/>
        <v>0</v>
      </c>
      <c r="AP414" t="str">
        <f>IFERROR(VLOOKUP(AO414,tbFactorMes,2,FALSE),"")</f>
        <v/>
      </c>
      <c r="AQ414">
        <f t="shared" si="91"/>
        <v>0</v>
      </c>
      <c r="AT414" t="str">
        <f>IFERROR(VLOOKUP(AS414,tbFactorMes,2,FALSE),"")</f>
        <v/>
      </c>
      <c r="AU414">
        <f t="shared" si="92"/>
        <v>0</v>
      </c>
      <c r="AX414" t="str">
        <f>IFERROR(VLOOKUP(AW414,tbFactorMes,2,FALSE),"")</f>
        <v/>
      </c>
      <c r="AY414">
        <f t="shared" si="93"/>
        <v>0</v>
      </c>
      <c r="BB414" t="str">
        <f>IFERROR(VLOOKUP(BA414,tbFactorMes,2,FALSE),"")</f>
        <v/>
      </c>
      <c r="BC414">
        <f t="shared" si="94"/>
        <v>0</v>
      </c>
      <c r="BF414" t="str">
        <f>IFERROR(VLOOKUP(BE414,tbFactorMes,2,FALSE),"")</f>
        <v/>
      </c>
      <c r="BG414">
        <f t="shared" si="95"/>
        <v>0</v>
      </c>
      <c r="BH414">
        <f t="shared" si="96"/>
        <v>0</v>
      </c>
      <c r="BI414">
        <f t="shared" si="97"/>
        <v>0</v>
      </c>
    </row>
    <row r="415" spans="11:61" x14ac:dyDescent="0.35">
      <c r="K415" t="str">
        <f>IFERROR(VLOOKUP(F415,tbTurnos,3,FALSE),"")</f>
        <v/>
      </c>
      <c r="N415" t="str">
        <f>IFERROR(VLOOKUP(M415,tbFactorMes,2,FALSE),"")</f>
        <v/>
      </c>
      <c r="O415">
        <f t="shared" si="84"/>
        <v>0</v>
      </c>
      <c r="R415" t="str">
        <f>IFERROR(VLOOKUP(Q415,tbFactorMes,2,FALSE),"")</f>
        <v/>
      </c>
      <c r="S415">
        <f t="shared" si="85"/>
        <v>0</v>
      </c>
      <c r="V415" t="str">
        <f>IFERROR(VLOOKUP(U415,tbFactorMes,2,FALSE),"")</f>
        <v/>
      </c>
      <c r="W415">
        <f t="shared" si="86"/>
        <v>0</v>
      </c>
      <c r="Z415" t="str">
        <f>IFERROR(VLOOKUP(Y415,tbFactorMes,2,FALSE),"")</f>
        <v/>
      </c>
      <c r="AA415">
        <f t="shared" si="87"/>
        <v>0</v>
      </c>
      <c r="AD415" t="str">
        <f>IFERROR(VLOOKUP(AC415,tbFactorMes,2,FALSE),"")</f>
        <v/>
      </c>
      <c r="AE415">
        <f t="shared" si="88"/>
        <v>0</v>
      </c>
      <c r="AH415" t="str">
        <f>IFERROR(VLOOKUP(AG415,tbFactorMes,2,FALSE),"")</f>
        <v/>
      </c>
      <c r="AI415">
        <f t="shared" si="89"/>
        <v>0</v>
      </c>
      <c r="AL415" t="str">
        <f>IFERROR(VLOOKUP(AK415,tbFactorMes,2,FALSE),"")</f>
        <v/>
      </c>
      <c r="AM415">
        <f t="shared" si="90"/>
        <v>0</v>
      </c>
      <c r="AP415" t="str">
        <f>IFERROR(VLOOKUP(AO415,tbFactorMes,2,FALSE),"")</f>
        <v/>
      </c>
      <c r="AQ415">
        <f t="shared" si="91"/>
        <v>0</v>
      </c>
      <c r="AT415" t="str">
        <f>IFERROR(VLOOKUP(AS415,tbFactorMes,2,FALSE),"")</f>
        <v/>
      </c>
      <c r="AU415">
        <f t="shared" si="92"/>
        <v>0</v>
      </c>
      <c r="AX415" t="str">
        <f>IFERROR(VLOOKUP(AW415,tbFactorMes,2,FALSE),"")</f>
        <v/>
      </c>
      <c r="AY415">
        <f t="shared" si="93"/>
        <v>0</v>
      </c>
      <c r="BB415" t="str">
        <f>IFERROR(VLOOKUP(BA415,tbFactorMes,2,FALSE),"")</f>
        <v/>
      </c>
      <c r="BC415">
        <f t="shared" si="94"/>
        <v>0</v>
      </c>
      <c r="BF415" t="str">
        <f>IFERROR(VLOOKUP(BE415,tbFactorMes,2,FALSE),"")</f>
        <v/>
      </c>
      <c r="BG415">
        <f t="shared" si="95"/>
        <v>0</v>
      </c>
      <c r="BH415">
        <f t="shared" si="96"/>
        <v>0</v>
      </c>
      <c r="BI415">
        <f t="shared" si="97"/>
        <v>0</v>
      </c>
    </row>
    <row r="416" spans="11:61" x14ac:dyDescent="0.35">
      <c r="K416" t="str">
        <f>IFERROR(VLOOKUP(F416,tbTurnos,3,FALSE),"")</f>
        <v/>
      </c>
      <c r="N416" t="str">
        <f>IFERROR(VLOOKUP(M416,tbFactorMes,2,FALSE),"")</f>
        <v/>
      </c>
      <c r="O416">
        <f t="shared" si="84"/>
        <v>0</v>
      </c>
      <c r="R416" t="str">
        <f>IFERROR(VLOOKUP(Q416,tbFactorMes,2,FALSE),"")</f>
        <v/>
      </c>
      <c r="S416">
        <f t="shared" si="85"/>
        <v>0</v>
      </c>
      <c r="V416" t="str">
        <f>IFERROR(VLOOKUP(U416,tbFactorMes,2,FALSE),"")</f>
        <v/>
      </c>
      <c r="W416">
        <f t="shared" si="86"/>
        <v>0</v>
      </c>
      <c r="Z416" t="str">
        <f>IFERROR(VLOOKUP(Y416,tbFactorMes,2,FALSE),"")</f>
        <v/>
      </c>
      <c r="AA416">
        <f t="shared" si="87"/>
        <v>0</v>
      </c>
      <c r="AD416" t="str">
        <f>IFERROR(VLOOKUP(AC416,tbFactorMes,2,FALSE),"")</f>
        <v/>
      </c>
      <c r="AE416">
        <f t="shared" si="88"/>
        <v>0</v>
      </c>
      <c r="AH416" t="str">
        <f>IFERROR(VLOOKUP(AG416,tbFactorMes,2,FALSE),"")</f>
        <v/>
      </c>
      <c r="AI416">
        <f t="shared" si="89"/>
        <v>0</v>
      </c>
      <c r="AL416" t="str">
        <f>IFERROR(VLOOKUP(AK416,tbFactorMes,2,FALSE),"")</f>
        <v/>
      </c>
      <c r="AM416">
        <f t="shared" si="90"/>
        <v>0</v>
      </c>
      <c r="AP416" t="str">
        <f>IFERROR(VLOOKUP(AO416,tbFactorMes,2,FALSE),"")</f>
        <v/>
      </c>
      <c r="AQ416">
        <f t="shared" si="91"/>
        <v>0</v>
      </c>
      <c r="AT416" t="str">
        <f>IFERROR(VLOOKUP(AS416,tbFactorMes,2,FALSE),"")</f>
        <v/>
      </c>
      <c r="AU416">
        <f t="shared" si="92"/>
        <v>0</v>
      </c>
      <c r="AX416" t="str">
        <f>IFERROR(VLOOKUP(AW416,tbFactorMes,2,FALSE),"")</f>
        <v/>
      </c>
      <c r="AY416">
        <f t="shared" si="93"/>
        <v>0</v>
      </c>
      <c r="BB416" t="str">
        <f>IFERROR(VLOOKUP(BA416,tbFactorMes,2,FALSE),"")</f>
        <v/>
      </c>
      <c r="BC416">
        <f t="shared" si="94"/>
        <v>0</v>
      </c>
      <c r="BF416" t="str">
        <f>IFERROR(VLOOKUP(BE416,tbFactorMes,2,FALSE),"")</f>
        <v/>
      </c>
      <c r="BG416">
        <f t="shared" si="95"/>
        <v>0</v>
      </c>
      <c r="BH416">
        <f t="shared" si="96"/>
        <v>0</v>
      </c>
      <c r="BI416">
        <f t="shared" si="97"/>
        <v>0</v>
      </c>
    </row>
    <row r="417" spans="11:61" x14ac:dyDescent="0.35">
      <c r="K417" t="str">
        <f>IFERROR(VLOOKUP(F417,tbTurnos,3,FALSE),"")</f>
        <v/>
      </c>
      <c r="N417" t="str">
        <f>IFERROR(VLOOKUP(M417,tbFactorMes,2,FALSE),"")</f>
        <v/>
      </c>
      <c r="O417">
        <f t="shared" si="84"/>
        <v>0</v>
      </c>
      <c r="R417" t="str">
        <f>IFERROR(VLOOKUP(Q417,tbFactorMes,2,FALSE),"")</f>
        <v/>
      </c>
      <c r="S417">
        <f t="shared" si="85"/>
        <v>0</v>
      </c>
      <c r="V417" t="str">
        <f>IFERROR(VLOOKUP(U417,tbFactorMes,2,FALSE),"")</f>
        <v/>
      </c>
      <c r="W417">
        <f t="shared" si="86"/>
        <v>0</v>
      </c>
      <c r="Z417" t="str">
        <f>IFERROR(VLOOKUP(Y417,tbFactorMes,2,FALSE),"")</f>
        <v/>
      </c>
      <c r="AA417">
        <f t="shared" si="87"/>
        <v>0</v>
      </c>
      <c r="AD417" t="str">
        <f>IFERROR(VLOOKUP(AC417,tbFactorMes,2,FALSE),"")</f>
        <v/>
      </c>
      <c r="AE417">
        <f t="shared" si="88"/>
        <v>0</v>
      </c>
      <c r="AH417" t="str">
        <f>IFERROR(VLOOKUP(AG417,tbFactorMes,2,FALSE),"")</f>
        <v/>
      </c>
      <c r="AI417">
        <f t="shared" si="89"/>
        <v>0</v>
      </c>
      <c r="AL417" t="str">
        <f>IFERROR(VLOOKUP(AK417,tbFactorMes,2,FALSE),"")</f>
        <v/>
      </c>
      <c r="AM417">
        <f t="shared" si="90"/>
        <v>0</v>
      </c>
      <c r="AP417" t="str">
        <f>IFERROR(VLOOKUP(AO417,tbFactorMes,2,FALSE),"")</f>
        <v/>
      </c>
      <c r="AQ417">
        <f t="shared" si="91"/>
        <v>0</v>
      </c>
      <c r="AT417" t="str">
        <f>IFERROR(VLOOKUP(AS417,tbFactorMes,2,FALSE),"")</f>
        <v/>
      </c>
      <c r="AU417">
        <f t="shared" si="92"/>
        <v>0</v>
      </c>
      <c r="AX417" t="str">
        <f>IFERROR(VLOOKUP(AW417,tbFactorMes,2,FALSE),"")</f>
        <v/>
      </c>
      <c r="AY417">
        <f t="shared" si="93"/>
        <v>0</v>
      </c>
      <c r="BB417" t="str">
        <f>IFERROR(VLOOKUP(BA417,tbFactorMes,2,FALSE),"")</f>
        <v/>
      </c>
      <c r="BC417">
        <f t="shared" si="94"/>
        <v>0</v>
      </c>
      <c r="BF417" t="str">
        <f>IFERROR(VLOOKUP(BE417,tbFactorMes,2,FALSE),"")</f>
        <v/>
      </c>
      <c r="BG417">
        <f t="shared" si="95"/>
        <v>0</v>
      </c>
      <c r="BH417">
        <f t="shared" si="96"/>
        <v>0</v>
      </c>
      <c r="BI417">
        <f t="shared" si="97"/>
        <v>0</v>
      </c>
    </row>
    <row r="418" spans="11:61" x14ac:dyDescent="0.35">
      <c r="K418" t="str">
        <f>IFERROR(VLOOKUP(F418,tbTurnos,3,FALSE),"")</f>
        <v/>
      </c>
      <c r="N418" t="str">
        <f>IFERROR(VLOOKUP(M418,tbFactorMes,2,FALSE),"")</f>
        <v/>
      </c>
      <c r="O418">
        <f t="shared" si="84"/>
        <v>0</v>
      </c>
      <c r="R418" t="str">
        <f>IFERROR(VLOOKUP(Q418,tbFactorMes,2,FALSE),"")</f>
        <v/>
      </c>
      <c r="S418">
        <f t="shared" si="85"/>
        <v>0</v>
      </c>
      <c r="V418" t="str">
        <f>IFERROR(VLOOKUP(U418,tbFactorMes,2,FALSE),"")</f>
        <v/>
      </c>
      <c r="W418">
        <f t="shared" si="86"/>
        <v>0</v>
      </c>
      <c r="Z418" t="str">
        <f>IFERROR(VLOOKUP(Y418,tbFactorMes,2,FALSE),"")</f>
        <v/>
      </c>
      <c r="AA418">
        <f t="shared" si="87"/>
        <v>0</v>
      </c>
      <c r="AD418" t="str">
        <f>IFERROR(VLOOKUP(AC418,tbFactorMes,2,FALSE),"")</f>
        <v/>
      </c>
      <c r="AE418">
        <f t="shared" si="88"/>
        <v>0</v>
      </c>
      <c r="AH418" t="str">
        <f>IFERROR(VLOOKUP(AG418,tbFactorMes,2,FALSE),"")</f>
        <v/>
      </c>
      <c r="AI418">
        <f t="shared" si="89"/>
        <v>0</v>
      </c>
      <c r="AL418" t="str">
        <f>IFERROR(VLOOKUP(AK418,tbFactorMes,2,FALSE),"")</f>
        <v/>
      </c>
      <c r="AM418">
        <f t="shared" si="90"/>
        <v>0</v>
      </c>
      <c r="AP418" t="str">
        <f>IFERROR(VLOOKUP(AO418,tbFactorMes,2,FALSE),"")</f>
        <v/>
      </c>
      <c r="AQ418">
        <f t="shared" si="91"/>
        <v>0</v>
      </c>
      <c r="AT418" t="str">
        <f>IFERROR(VLOOKUP(AS418,tbFactorMes,2,FALSE),"")</f>
        <v/>
      </c>
      <c r="AU418">
        <f t="shared" si="92"/>
        <v>0</v>
      </c>
      <c r="AX418" t="str">
        <f>IFERROR(VLOOKUP(AW418,tbFactorMes,2,FALSE),"")</f>
        <v/>
      </c>
      <c r="AY418">
        <f t="shared" si="93"/>
        <v>0</v>
      </c>
      <c r="BB418" t="str">
        <f>IFERROR(VLOOKUP(BA418,tbFactorMes,2,FALSE),"")</f>
        <v/>
      </c>
      <c r="BC418">
        <f t="shared" si="94"/>
        <v>0</v>
      </c>
      <c r="BF418" t="str">
        <f>IFERROR(VLOOKUP(BE418,tbFactorMes,2,FALSE),"")</f>
        <v/>
      </c>
      <c r="BG418">
        <f t="shared" si="95"/>
        <v>0</v>
      </c>
      <c r="BH418">
        <f t="shared" si="96"/>
        <v>0</v>
      </c>
      <c r="BI418">
        <f t="shared" si="97"/>
        <v>0</v>
      </c>
    </row>
    <row r="419" spans="11:61" x14ac:dyDescent="0.35">
      <c r="K419" t="str">
        <f>IFERROR(VLOOKUP(F419,tbTurnos,3,FALSE),"")</f>
        <v/>
      </c>
      <c r="N419" t="str">
        <f>IFERROR(VLOOKUP(M419,tbFactorMes,2,FALSE),"")</f>
        <v/>
      </c>
      <c r="O419">
        <f t="shared" si="84"/>
        <v>0</v>
      </c>
      <c r="R419" t="str">
        <f>IFERROR(VLOOKUP(Q419,tbFactorMes,2,FALSE),"")</f>
        <v/>
      </c>
      <c r="S419">
        <f t="shared" si="85"/>
        <v>0</v>
      </c>
      <c r="V419" t="str">
        <f>IFERROR(VLOOKUP(U419,tbFactorMes,2,FALSE),"")</f>
        <v/>
      </c>
      <c r="W419">
        <f t="shared" si="86"/>
        <v>0</v>
      </c>
      <c r="Z419" t="str">
        <f>IFERROR(VLOOKUP(Y419,tbFactorMes,2,FALSE),"")</f>
        <v/>
      </c>
      <c r="AA419">
        <f t="shared" si="87"/>
        <v>0</v>
      </c>
      <c r="AD419" t="str">
        <f>IFERROR(VLOOKUP(AC419,tbFactorMes,2,FALSE),"")</f>
        <v/>
      </c>
      <c r="AE419">
        <f t="shared" si="88"/>
        <v>0</v>
      </c>
      <c r="AH419" t="str">
        <f>IFERROR(VLOOKUP(AG419,tbFactorMes,2,FALSE),"")</f>
        <v/>
      </c>
      <c r="AI419">
        <f t="shared" si="89"/>
        <v>0</v>
      </c>
      <c r="AL419" t="str">
        <f>IFERROR(VLOOKUP(AK419,tbFactorMes,2,FALSE),"")</f>
        <v/>
      </c>
      <c r="AM419">
        <f t="shared" si="90"/>
        <v>0</v>
      </c>
      <c r="AP419" t="str">
        <f>IFERROR(VLOOKUP(AO419,tbFactorMes,2,FALSE),"")</f>
        <v/>
      </c>
      <c r="AQ419">
        <f t="shared" si="91"/>
        <v>0</v>
      </c>
      <c r="AT419" t="str">
        <f>IFERROR(VLOOKUP(AS419,tbFactorMes,2,FALSE),"")</f>
        <v/>
      </c>
      <c r="AU419">
        <f t="shared" si="92"/>
        <v>0</v>
      </c>
      <c r="AX419" t="str">
        <f>IFERROR(VLOOKUP(AW419,tbFactorMes,2,FALSE),"")</f>
        <v/>
      </c>
      <c r="AY419">
        <f t="shared" si="93"/>
        <v>0</v>
      </c>
      <c r="BB419" t="str">
        <f>IFERROR(VLOOKUP(BA419,tbFactorMes,2,FALSE),"")</f>
        <v/>
      </c>
      <c r="BC419">
        <f t="shared" si="94"/>
        <v>0</v>
      </c>
      <c r="BF419" t="str">
        <f>IFERROR(VLOOKUP(BE419,tbFactorMes,2,FALSE),"")</f>
        <v/>
      </c>
      <c r="BG419">
        <f t="shared" si="95"/>
        <v>0</v>
      </c>
      <c r="BH419">
        <f t="shared" si="96"/>
        <v>0</v>
      </c>
      <c r="BI419">
        <f t="shared" si="97"/>
        <v>0</v>
      </c>
    </row>
    <row r="420" spans="11:61" x14ac:dyDescent="0.35">
      <c r="K420" t="str">
        <f>IFERROR(VLOOKUP(F420,tbTurnos,3,FALSE),"")</f>
        <v/>
      </c>
      <c r="N420" t="str">
        <f>IFERROR(VLOOKUP(M420,tbFactorMes,2,FALSE),"")</f>
        <v/>
      </c>
      <c r="O420">
        <f t="shared" si="84"/>
        <v>0</v>
      </c>
      <c r="R420" t="str">
        <f>IFERROR(VLOOKUP(Q420,tbFactorMes,2,FALSE),"")</f>
        <v/>
      </c>
      <c r="S420">
        <f t="shared" si="85"/>
        <v>0</v>
      </c>
      <c r="V420" t="str">
        <f>IFERROR(VLOOKUP(U420,tbFactorMes,2,FALSE),"")</f>
        <v/>
      </c>
      <c r="W420">
        <f t="shared" si="86"/>
        <v>0</v>
      </c>
      <c r="Z420" t="str">
        <f>IFERROR(VLOOKUP(Y420,tbFactorMes,2,FALSE),"")</f>
        <v/>
      </c>
      <c r="AA420">
        <f t="shared" si="87"/>
        <v>0</v>
      </c>
      <c r="AD420" t="str">
        <f>IFERROR(VLOOKUP(AC420,tbFactorMes,2,FALSE),"")</f>
        <v/>
      </c>
      <c r="AE420">
        <f t="shared" si="88"/>
        <v>0</v>
      </c>
      <c r="AH420" t="str">
        <f>IFERROR(VLOOKUP(AG420,tbFactorMes,2,FALSE),"")</f>
        <v/>
      </c>
      <c r="AI420">
        <f t="shared" si="89"/>
        <v>0</v>
      </c>
      <c r="AL420" t="str">
        <f>IFERROR(VLOOKUP(AK420,tbFactorMes,2,FALSE),"")</f>
        <v/>
      </c>
      <c r="AM420">
        <f t="shared" si="90"/>
        <v>0</v>
      </c>
      <c r="AP420" t="str">
        <f>IFERROR(VLOOKUP(AO420,tbFactorMes,2,FALSE),"")</f>
        <v/>
      </c>
      <c r="AQ420">
        <f t="shared" si="91"/>
        <v>0</v>
      </c>
      <c r="AT420" t="str">
        <f>IFERROR(VLOOKUP(AS420,tbFactorMes,2,FALSE),"")</f>
        <v/>
      </c>
      <c r="AU420">
        <f t="shared" si="92"/>
        <v>0</v>
      </c>
      <c r="AX420" t="str">
        <f>IFERROR(VLOOKUP(AW420,tbFactorMes,2,FALSE),"")</f>
        <v/>
      </c>
      <c r="AY420">
        <f t="shared" si="93"/>
        <v>0</v>
      </c>
      <c r="BB420" t="str">
        <f>IFERROR(VLOOKUP(BA420,tbFactorMes,2,FALSE),"")</f>
        <v/>
      </c>
      <c r="BC420">
        <f t="shared" si="94"/>
        <v>0</v>
      </c>
      <c r="BF420" t="str">
        <f>IFERROR(VLOOKUP(BE420,tbFactorMes,2,FALSE),"")</f>
        <v/>
      </c>
      <c r="BG420">
        <f t="shared" si="95"/>
        <v>0</v>
      </c>
      <c r="BH420">
        <f t="shared" si="96"/>
        <v>0</v>
      </c>
      <c r="BI420">
        <f t="shared" si="97"/>
        <v>0</v>
      </c>
    </row>
    <row r="421" spans="11:61" x14ac:dyDescent="0.35">
      <c r="K421" t="str">
        <f>IFERROR(VLOOKUP(F421,tbTurnos,3,FALSE),"")</f>
        <v/>
      </c>
      <c r="N421" t="str">
        <f>IFERROR(VLOOKUP(M421,tbFactorMes,2,FALSE),"")</f>
        <v/>
      </c>
      <c r="O421">
        <f t="shared" si="84"/>
        <v>0</v>
      </c>
      <c r="R421" t="str">
        <f>IFERROR(VLOOKUP(Q421,tbFactorMes,2,FALSE),"")</f>
        <v/>
      </c>
      <c r="S421">
        <f t="shared" si="85"/>
        <v>0</v>
      </c>
      <c r="V421" t="str">
        <f>IFERROR(VLOOKUP(U421,tbFactorMes,2,FALSE),"")</f>
        <v/>
      </c>
      <c r="W421">
        <f t="shared" si="86"/>
        <v>0</v>
      </c>
      <c r="Z421" t="str">
        <f>IFERROR(VLOOKUP(Y421,tbFactorMes,2,FALSE),"")</f>
        <v/>
      </c>
      <c r="AA421">
        <f t="shared" si="87"/>
        <v>0</v>
      </c>
      <c r="AD421" t="str">
        <f>IFERROR(VLOOKUP(AC421,tbFactorMes,2,FALSE),"")</f>
        <v/>
      </c>
      <c r="AE421">
        <f t="shared" si="88"/>
        <v>0</v>
      </c>
      <c r="AH421" t="str">
        <f>IFERROR(VLOOKUP(AG421,tbFactorMes,2,FALSE),"")</f>
        <v/>
      </c>
      <c r="AI421">
        <f t="shared" si="89"/>
        <v>0</v>
      </c>
      <c r="AL421" t="str">
        <f>IFERROR(VLOOKUP(AK421,tbFactorMes,2,FALSE),"")</f>
        <v/>
      </c>
      <c r="AM421">
        <f t="shared" si="90"/>
        <v>0</v>
      </c>
      <c r="AP421" t="str">
        <f>IFERROR(VLOOKUP(AO421,tbFactorMes,2,FALSE),"")</f>
        <v/>
      </c>
      <c r="AQ421">
        <f t="shared" si="91"/>
        <v>0</v>
      </c>
      <c r="AT421" t="str">
        <f>IFERROR(VLOOKUP(AS421,tbFactorMes,2,FALSE),"")</f>
        <v/>
      </c>
      <c r="AU421">
        <f t="shared" si="92"/>
        <v>0</v>
      </c>
      <c r="AX421" t="str">
        <f>IFERROR(VLOOKUP(AW421,tbFactorMes,2,FALSE),"")</f>
        <v/>
      </c>
      <c r="AY421">
        <f t="shared" si="93"/>
        <v>0</v>
      </c>
      <c r="BB421" t="str">
        <f>IFERROR(VLOOKUP(BA421,tbFactorMes,2,FALSE),"")</f>
        <v/>
      </c>
      <c r="BC421">
        <f t="shared" si="94"/>
        <v>0</v>
      </c>
      <c r="BF421" t="str">
        <f>IFERROR(VLOOKUP(BE421,tbFactorMes,2,FALSE),"")</f>
        <v/>
      </c>
      <c r="BG421">
        <f t="shared" si="95"/>
        <v>0</v>
      </c>
      <c r="BH421">
        <f t="shared" si="96"/>
        <v>0</v>
      </c>
      <c r="BI421">
        <f t="shared" si="97"/>
        <v>0</v>
      </c>
    </row>
    <row r="422" spans="11:61" x14ac:dyDescent="0.35">
      <c r="K422" t="str">
        <f>IFERROR(VLOOKUP(F422,tbTurnos,3,FALSE),"")</f>
        <v/>
      </c>
      <c r="N422" t="str">
        <f>IFERROR(VLOOKUP(M422,tbFactorMes,2,FALSE),"")</f>
        <v/>
      </c>
      <c r="O422">
        <f t="shared" si="84"/>
        <v>0</v>
      </c>
      <c r="R422" t="str">
        <f>IFERROR(VLOOKUP(Q422,tbFactorMes,2,FALSE),"")</f>
        <v/>
      </c>
      <c r="S422">
        <f t="shared" si="85"/>
        <v>0</v>
      </c>
      <c r="V422" t="str">
        <f>IFERROR(VLOOKUP(U422,tbFactorMes,2,FALSE),"")</f>
        <v/>
      </c>
      <c r="W422">
        <f t="shared" si="86"/>
        <v>0</v>
      </c>
      <c r="Z422" t="str">
        <f>IFERROR(VLOOKUP(Y422,tbFactorMes,2,FALSE),"")</f>
        <v/>
      </c>
      <c r="AA422">
        <f t="shared" si="87"/>
        <v>0</v>
      </c>
      <c r="AD422" t="str">
        <f>IFERROR(VLOOKUP(AC422,tbFactorMes,2,FALSE),"")</f>
        <v/>
      </c>
      <c r="AE422">
        <f t="shared" si="88"/>
        <v>0</v>
      </c>
      <c r="AH422" t="str">
        <f>IFERROR(VLOOKUP(AG422,tbFactorMes,2,FALSE),"")</f>
        <v/>
      </c>
      <c r="AI422">
        <f t="shared" si="89"/>
        <v>0</v>
      </c>
      <c r="AL422" t="str">
        <f>IFERROR(VLOOKUP(AK422,tbFactorMes,2,FALSE),"")</f>
        <v/>
      </c>
      <c r="AM422">
        <f t="shared" si="90"/>
        <v>0</v>
      </c>
      <c r="AP422" t="str">
        <f>IFERROR(VLOOKUP(AO422,tbFactorMes,2,FALSE),"")</f>
        <v/>
      </c>
      <c r="AQ422">
        <f t="shared" si="91"/>
        <v>0</v>
      </c>
      <c r="AT422" t="str">
        <f>IFERROR(VLOOKUP(AS422,tbFactorMes,2,FALSE),"")</f>
        <v/>
      </c>
      <c r="AU422">
        <f t="shared" si="92"/>
        <v>0</v>
      </c>
      <c r="AX422" t="str">
        <f>IFERROR(VLOOKUP(AW422,tbFactorMes,2,FALSE),"")</f>
        <v/>
      </c>
      <c r="AY422">
        <f t="shared" si="93"/>
        <v>0</v>
      </c>
      <c r="BB422" t="str">
        <f>IFERROR(VLOOKUP(BA422,tbFactorMes,2,FALSE),"")</f>
        <v/>
      </c>
      <c r="BC422">
        <f t="shared" si="94"/>
        <v>0</v>
      </c>
      <c r="BF422" t="str">
        <f>IFERROR(VLOOKUP(BE422,tbFactorMes,2,FALSE),"")</f>
        <v/>
      </c>
      <c r="BG422">
        <f t="shared" si="95"/>
        <v>0</v>
      </c>
      <c r="BH422">
        <f t="shared" si="96"/>
        <v>0</v>
      </c>
      <c r="BI422">
        <f t="shared" si="97"/>
        <v>0</v>
      </c>
    </row>
    <row r="423" spans="11:61" x14ac:dyDescent="0.35">
      <c r="K423" t="str">
        <f>IFERROR(VLOOKUP(F423,tbTurnos,3,FALSE),"")</f>
        <v/>
      </c>
      <c r="N423" t="str">
        <f>IFERROR(VLOOKUP(M423,tbFactorMes,2,FALSE),"")</f>
        <v/>
      </c>
      <c r="O423">
        <f t="shared" si="84"/>
        <v>0</v>
      </c>
      <c r="R423" t="str">
        <f>IFERROR(VLOOKUP(Q423,tbFactorMes,2,FALSE),"")</f>
        <v/>
      </c>
      <c r="S423">
        <f t="shared" si="85"/>
        <v>0</v>
      </c>
      <c r="V423" t="str">
        <f>IFERROR(VLOOKUP(U423,tbFactorMes,2,FALSE),"")</f>
        <v/>
      </c>
      <c r="W423">
        <f t="shared" si="86"/>
        <v>0</v>
      </c>
      <c r="Z423" t="str">
        <f>IFERROR(VLOOKUP(Y423,tbFactorMes,2,FALSE),"")</f>
        <v/>
      </c>
      <c r="AA423">
        <f t="shared" si="87"/>
        <v>0</v>
      </c>
      <c r="AD423" t="str">
        <f>IFERROR(VLOOKUP(AC423,tbFactorMes,2,FALSE),"")</f>
        <v/>
      </c>
      <c r="AE423">
        <f t="shared" si="88"/>
        <v>0</v>
      </c>
      <c r="AH423" t="str">
        <f>IFERROR(VLOOKUP(AG423,tbFactorMes,2,FALSE),"")</f>
        <v/>
      </c>
      <c r="AI423">
        <f t="shared" si="89"/>
        <v>0</v>
      </c>
      <c r="AL423" t="str">
        <f>IFERROR(VLOOKUP(AK423,tbFactorMes,2,FALSE),"")</f>
        <v/>
      </c>
      <c r="AM423">
        <f t="shared" si="90"/>
        <v>0</v>
      </c>
      <c r="AP423" t="str">
        <f>IFERROR(VLOOKUP(AO423,tbFactorMes,2,FALSE),"")</f>
        <v/>
      </c>
      <c r="AQ423">
        <f t="shared" si="91"/>
        <v>0</v>
      </c>
      <c r="AT423" t="str">
        <f>IFERROR(VLOOKUP(AS423,tbFactorMes,2,FALSE),"")</f>
        <v/>
      </c>
      <c r="AU423">
        <f t="shared" si="92"/>
        <v>0</v>
      </c>
      <c r="AX423" t="str">
        <f>IFERROR(VLOOKUP(AW423,tbFactorMes,2,FALSE),"")</f>
        <v/>
      </c>
      <c r="AY423">
        <f t="shared" si="93"/>
        <v>0</v>
      </c>
      <c r="BB423" t="str">
        <f>IFERROR(VLOOKUP(BA423,tbFactorMes,2,FALSE),"")</f>
        <v/>
      </c>
      <c r="BC423">
        <f t="shared" si="94"/>
        <v>0</v>
      </c>
      <c r="BF423" t="str">
        <f>IFERROR(VLOOKUP(BE423,tbFactorMes,2,FALSE),"")</f>
        <v/>
      </c>
      <c r="BG423">
        <f t="shared" si="95"/>
        <v>0</v>
      </c>
      <c r="BH423">
        <f t="shared" si="96"/>
        <v>0</v>
      </c>
      <c r="BI423">
        <f t="shared" si="97"/>
        <v>0</v>
      </c>
    </row>
    <row r="424" spans="11:61" x14ac:dyDescent="0.35">
      <c r="K424" t="str">
        <f>IFERROR(VLOOKUP(F424,tbTurnos,3,FALSE),"")</f>
        <v/>
      </c>
      <c r="N424" t="str">
        <f>IFERROR(VLOOKUP(M424,tbFactorMes,2,FALSE),"")</f>
        <v/>
      </c>
      <c r="O424">
        <f t="shared" si="84"/>
        <v>0</v>
      </c>
      <c r="R424" t="str">
        <f>IFERROR(VLOOKUP(Q424,tbFactorMes,2,FALSE),"")</f>
        <v/>
      </c>
      <c r="S424">
        <f t="shared" si="85"/>
        <v>0</v>
      </c>
      <c r="V424" t="str">
        <f>IFERROR(VLOOKUP(U424,tbFactorMes,2,FALSE),"")</f>
        <v/>
      </c>
      <c r="W424">
        <f t="shared" si="86"/>
        <v>0</v>
      </c>
      <c r="Z424" t="str">
        <f>IFERROR(VLOOKUP(Y424,tbFactorMes,2,FALSE),"")</f>
        <v/>
      </c>
      <c r="AA424">
        <f t="shared" si="87"/>
        <v>0</v>
      </c>
      <c r="AD424" t="str">
        <f>IFERROR(VLOOKUP(AC424,tbFactorMes,2,FALSE),"")</f>
        <v/>
      </c>
      <c r="AE424">
        <f t="shared" si="88"/>
        <v>0</v>
      </c>
      <c r="AH424" t="str">
        <f>IFERROR(VLOOKUP(AG424,tbFactorMes,2,FALSE),"")</f>
        <v/>
      </c>
      <c r="AI424">
        <f t="shared" si="89"/>
        <v>0</v>
      </c>
      <c r="AL424" t="str">
        <f>IFERROR(VLOOKUP(AK424,tbFactorMes,2,FALSE),"")</f>
        <v/>
      </c>
      <c r="AM424">
        <f t="shared" si="90"/>
        <v>0</v>
      </c>
      <c r="AP424" t="str">
        <f>IFERROR(VLOOKUP(AO424,tbFactorMes,2,FALSE),"")</f>
        <v/>
      </c>
      <c r="AQ424">
        <f t="shared" si="91"/>
        <v>0</v>
      </c>
      <c r="AT424" t="str">
        <f>IFERROR(VLOOKUP(AS424,tbFactorMes,2,FALSE),"")</f>
        <v/>
      </c>
      <c r="AU424">
        <f t="shared" si="92"/>
        <v>0</v>
      </c>
      <c r="AX424" t="str">
        <f>IFERROR(VLOOKUP(AW424,tbFactorMes,2,FALSE),"")</f>
        <v/>
      </c>
      <c r="AY424">
        <f t="shared" si="93"/>
        <v>0</v>
      </c>
      <c r="BB424" t="str">
        <f>IFERROR(VLOOKUP(BA424,tbFactorMes,2,FALSE),"")</f>
        <v/>
      </c>
      <c r="BC424">
        <f t="shared" si="94"/>
        <v>0</v>
      </c>
      <c r="BF424" t="str">
        <f>IFERROR(VLOOKUP(BE424,tbFactorMes,2,FALSE),"")</f>
        <v/>
      </c>
      <c r="BG424">
        <f t="shared" si="95"/>
        <v>0</v>
      </c>
      <c r="BH424">
        <f t="shared" si="96"/>
        <v>0</v>
      </c>
      <c r="BI424">
        <f t="shared" si="97"/>
        <v>0</v>
      </c>
    </row>
    <row r="425" spans="11:61" x14ac:dyDescent="0.35">
      <c r="K425" t="str">
        <f>IFERROR(VLOOKUP(F425,tbTurnos,3,FALSE),"")</f>
        <v/>
      </c>
      <c r="N425" t="str">
        <f>IFERROR(VLOOKUP(M425,tbFactorMes,2,FALSE),"")</f>
        <v/>
      </c>
      <c r="O425">
        <f t="shared" si="84"/>
        <v>0</v>
      </c>
      <c r="R425" t="str">
        <f>IFERROR(VLOOKUP(Q425,tbFactorMes,2,FALSE),"")</f>
        <v/>
      </c>
      <c r="S425">
        <f t="shared" si="85"/>
        <v>0</v>
      </c>
      <c r="V425" t="str">
        <f>IFERROR(VLOOKUP(U425,tbFactorMes,2,FALSE),"")</f>
        <v/>
      </c>
      <c r="W425">
        <f t="shared" si="86"/>
        <v>0</v>
      </c>
      <c r="Z425" t="str">
        <f>IFERROR(VLOOKUP(Y425,tbFactorMes,2,FALSE),"")</f>
        <v/>
      </c>
      <c r="AA425">
        <f t="shared" si="87"/>
        <v>0</v>
      </c>
      <c r="AD425" t="str">
        <f>IFERROR(VLOOKUP(AC425,tbFactorMes,2,FALSE),"")</f>
        <v/>
      </c>
      <c r="AE425">
        <f t="shared" si="88"/>
        <v>0</v>
      </c>
      <c r="AH425" t="str">
        <f>IFERROR(VLOOKUP(AG425,tbFactorMes,2,FALSE),"")</f>
        <v/>
      </c>
      <c r="AI425">
        <f t="shared" si="89"/>
        <v>0</v>
      </c>
      <c r="AL425" t="str">
        <f>IFERROR(VLOOKUP(AK425,tbFactorMes,2,FALSE),"")</f>
        <v/>
      </c>
      <c r="AM425">
        <f t="shared" si="90"/>
        <v>0</v>
      </c>
      <c r="AP425" t="str">
        <f>IFERROR(VLOOKUP(AO425,tbFactorMes,2,FALSE),"")</f>
        <v/>
      </c>
      <c r="AQ425">
        <f t="shared" si="91"/>
        <v>0</v>
      </c>
      <c r="AT425" t="str">
        <f>IFERROR(VLOOKUP(AS425,tbFactorMes,2,FALSE),"")</f>
        <v/>
      </c>
      <c r="AU425">
        <f t="shared" si="92"/>
        <v>0</v>
      </c>
      <c r="AX425" t="str">
        <f>IFERROR(VLOOKUP(AW425,tbFactorMes,2,FALSE),"")</f>
        <v/>
      </c>
      <c r="AY425">
        <f t="shared" si="93"/>
        <v>0</v>
      </c>
      <c r="BB425" t="str">
        <f>IFERROR(VLOOKUP(BA425,tbFactorMes,2,FALSE),"")</f>
        <v/>
      </c>
      <c r="BC425">
        <f t="shared" si="94"/>
        <v>0</v>
      </c>
      <c r="BF425" t="str">
        <f>IFERROR(VLOOKUP(BE425,tbFactorMes,2,FALSE),"")</f>
        <v/>
      </c>
      <c r="BG425">
        <f t="shared" si="95"/>
        <v>0</v>
      </c>
      <c r="BH425">
        <f t="shared" si="96"/>
        <v>0</v>
      </c>
      <c r="BI425">
        <f t="shared" si="97"/>
        <v>0</v>
      </c>
    </row>
    <row r="426" spans="11:61" x14ac:dyDescent="0.35">
      <c r="K426" t="str">
        <f>IFERROR(VLOOKUP(F426,tbTurnos,3,FALSE),"")</f>
        <v/>
      </c>
      <c r="N426" t="str">
        <f>IFERROR(VLOOKUP(M426,tbFactorMes,2,FALSE),"")</f>
        <v/>
      </c>
      <c r="O426">
        <f t="shared" si="84"/>
        <v>0</v>
      </c>
      <c r="R426" t="str">
        <f>IFERROR(VLOOKUP(Q426,tbFactorMes,2,FALSE),"")</f>
        <v/>
      </c>
      <c r="S426">
        <f t="shared" si="85"/>
        <v>0</v>
      </c>
      <c r="V426" t="str">
        <f>IFERROR(VLOOKUP(U426,tbFactorMes,2,FALSE),"")</f>
        <v/>
      </c>
      <c r="W426">
        <f t="shared" si="86"/>
        <v>0</v>
      </c>
      <c r="Z426" t="str">
        <f>IFERROR(VLOOKUP(Y426,tbFactorMes,2,FALSE),"")</f>
        <v/>
      </c>
      <c r="AA426">
        <f t="shared" si="87"/>
        <v>0</v>
      </c>
      <c r="AD426" t="str">
        <f>IFERROR(VLOOKUP(AC426,tbFactorMes,2,FALSE),"")</f>
        <v/>
      </c>
      <c r="AE426">
        <f t="shared" si="88"/>
        <v>0</v>
      </c>
      <c r="AH426" t="str">
        <f>IFERROR(VLOOKUP(AG426,tbFactorMes,2,FALSE),"")</f>
        <v/>
      </c>
      <c r="AI426">
        <f t="shared" si="89"/>
        <v>0</v>
      </c>
      <c r="AL426" t="str">
        <f>IFERROR(VLOOKUP(AK426,tbFactorMes,2,FALSE),"")</f>
        <v/>
      </c>
      <c r="AM426">
        <f t="shared" si="90"/>
        <v>0</v>
      </c>
      <c r="AP426" t="str">
        <f>IFERROR(VLOOKUP(AO426,tbFactorMes,2,FALSE),"")</f>
        <v/>
      </c>
      <c r="AQ426">
        <f t="shared" si="91"/>
        <v>0</v>
      </c>
      <c r="AT426" t="str">
        <f>IFERROR(VLOOKUP(AS426,tbFactorMes,2,FALSE),"")</f>
        <v/>
      </c>
      <c r="AU426">
        <f t="shared" si="92"/>
        <v>0</v>
      </c>
      <c r="AX426" t="str">
        <f>IFERROR(VLOOKUP(AW426,tbFactorMes,2,FALSE),"")</f>
        <v/>
      </c>
      <c r="AY426">
        <f t="shared" si="93"/>
        <v>0</v>
      </c>
      <c r="BB426" t="str">
        <f>IFERROR(VLOOKUP(BA426,tbFactorMes,2,FALSE),"")</f>
        <v/>
      </c>
      <c r="BC426">
        <f t="shared" si="94"/>
        <v>0</v>
      </c>
      <c r="BF426" t="str">
        <f>IFERROR(VLOOKUP(BE426,tbFactorMes,2,FALSE),"")</f>
        <v/>
      </c>
      <c r="BG426">
        <f t="shared" si="95"/>
        <v>0</v>
      </c>
      <c r="BH426">
        <f t="shared" si="96"/>
        <v>0</v>
      </c>
      <c r="BI426">
        <f t="shared" si="97"/>
        <v>0</v>
      </c>
    </row>
    <row r="427" spans="11:61" x14ac:dyDescent="0.35">
      <c r="K427" t="str">
        <f>IFERROR(VLOOKUP(F427,tbTurnos,3,FALSE),"")</f>
        <v/>
      </c>
      <c r="N427" t="str">
        <f>IFERROR(VLOOKUP(M427,tbFactorMes,2,FALSE),"")</f>
        <v/>
      </c>
      <c r="O427">
        <f t="shared" si="84"/>
        <v>0</v>
      </c>
      <c r="R427" t="str">
        <f>IFERROR(VLOOKUP(Q427,tbFactorMes,2,FALSE),"")</f>
        <v/>
      </c>
      <c r="S427">
        <f t="shared" si="85"/>
        <v>0</v>
      </c>
      <c r="V427" t="str">
        <f>IFERROR(VLOOKUP(U427,tbFactorMes,2,FALSE),"")</f>
        <v/>
      </c>
      <c r="W427">
        <f t="shared" si="86"/>
        <v>0</v>
      </c>
      <c r="Z427" t="str">
        <f>IFERROR(VLOOKUP(Y427,tbFactorMes,2,FALSE),"")</f>
        <v/>
      </c>
      <c r="AA427">
        <f t="shared" si="87"/>
        <v>0</v>
      </c>
      <c r="AD427" t="str">
        <f>IFERROR(VLOOKUP(AC427,tbFactorMes,2,FALSE),"")</f>
        <v/>
      </c>
      <c r="AE427">
        <f t="shared" si="88"/>
        <v>0</v>
      </c>
      <c r="AH427" t="str">
        <f>IFERROR(VLOOKUP(AG427,tbFactorMes,2,FALSE),"")</f>
        <v/>
      </c>
      <c r="AI427">
        <f t="shared" si="89"/>
        <v>0</v>
      </c>
      <c r="AL427" t="str">
        <f>IFERROR(VLOOKUP(AK427,tbFactorMes,2,FALSE),"")</f>
        <v/>
      </c>
      <c r="AM427">
        <f t="shared" si="90"/>
        <v>0</v>
      </c>
      <c r="AP427" t="str">
        <f>IFERROR(VLOOKUP(AO427,tbFactorMes,2,FALSE),"")</f>
        <v/>
      </c>
      <c r="AQ427">
        <f t="shared" si="91"/>
        <v>0</v>
      </c>
      <c r="AT427" t="str">
        <f>IFERROR(VLOOKUP(AS427,tbFactorMes,2,FALSE),"")</f>
        <v/>
      </c>
      <c r="AU427">
        <f t="shared" si="92"/>
        <v>0</v>
      </c>
      <c r="AX427" t="str">
        <f>IFERROR(VLOOKUP(AW427,tbFactorMes,2,FALSE),"")</f>
        <v/>
      </c>
      <c r="AY427">
        <f t="shared" si="93"/>
        <v>0</v>
      </c>
      <c r="BB427" t="str">
        <f>IFERROR(VLOOKUP(BA427,tbFactorMes,2,FALSE),"")</f>
        <v/>
      </c>
      <c r="BC427">
        <f t="shared" si="94"/>
        <v>0</v>
      </c>
      <c r="BF427" t="str">
        <f>IFERROR(VLOOKUP(BE427,tbFactorMes,2,FALSE),"")</f>
        <v/>
      </c>
      <c r="BG427">
        <f t="shared" si="95"/>
        <v>0</v>
      </c>
      <c r="BH427">
        <f t="shared" si="96"/>
        <v>0</v>
      </c>
      <c r="BI427">
        <f t="shared" si="97"/>
        <v>0</v>
      </c>
    </row>
    <row r="428" spans="11:61" x14ac:dyDescent="0.35">
      <c r="K428" t="str">
        <f>IFERROR(VLOOKUP(F428,tbTurnos,3,FALSE),"")</f>
        <v/>
      </c>
      <c r="N428" t="str">
        <f>IFERROR(VLOOKUP(M428,tbFactorMes,2,FALSE),"")</f>
        <v/>
      </c>
      <c r="O428">
        <f t="shared" si="84"/>
        <v>0</v>
      </c>
      <c r="R428" t="str">
        <f>IFERROR(VLOOKUP(Q428,tbFactorMes,2,FALSE),"")</f>
        <v/>
      </c>
      <c r="S428">
        <f t="shared" si="85"/>
        <v>0</v>
      </c>
      <c r="V428" t="str">
        <f>IFERROR(VLOOKUP(U428,tbFactorMes,2,FALSE),"")</f>
        <v/>
      </c>
      <c r="W428">
        <f t="shared" si="86"/>
        <v>0</v>
      </c>
      <c r="Z428" t="str">
        <f>IFERROR(VLOOKUP(Y428,tbFactorMes,2,FALSE),"")</f>
        <v/>
      </c>
      <c r="AA428">
        <f t="shared" si="87"/>
        <v>0</v>
      </c>
      <c r="AD428" t="str">
        <f>IFERROR(VLOOKUP(AC428,tbFactorMes,2,FALSE),"")</f>
        <v/>
      </c>
      <c r="AE428">
        <f t="shared" si="88"/>
        <v>0</v>
      </c>
      <c r="AH428" t="str">
        <f>IFERROR(VLOOKUP(AG428,tbFactorMes,2,FALSE),"")</f>
        <v/>
      </c>
      <c r="AI428">
        <f t="shared" si="89"/>
        <v>0</v>
      </c>
      <c r="AL428" t="str">
        <f>IFERROR(VLOOKUP(AK428,tbFactorMes,2,FALSE),"")</f>
        <v/>
      </c>
      <c r="AM428">
        <f t="shared" si="90"/>
        <v>0</v>
      </c>
      <c r="AP428" t="str">
        <f>IFERROR(VLOOKUP(AO428,tbFactorMes,2,FALSE),"")</f>
        <v/>
      </c>
      <c r="AQ428">
        <f t="shared" si="91"/>
        <v>0</v>
      </c>
      <c r="AT428" t="str">
        <f>IFERROR(VLOOKUP(AS428,tbFactorMes,2,FALSE),"")</f>
        <v/>
      </c>
      <c r="AU428">
        <f t="shared" si="92"/>
        <v>0</v>
      </c>
      <c r="AX428" t="str">
        <f>IFERROR(VLOOKUP(AW428,tbFactorMes,2,FALSE),"")</f>
        <v/>
      </c>
      <c r="AY428">
        <f t="shared" si="93"/>
        <v>0</v>
      </c>
      <c r="BB428" t="str">
        <f>IFERROR(VLOOKUP(BA428,tbFactorMes,2,FALSE),"")</f>
        <v/>
      </c>
      <c r="BC428">
        <f t="shared" si="94"/>
        <v>0</v>
      </c>
      <c r="BF428" t="str">
        <f>IFERROR(VLOOKUP(BE428,tbFactorMes,2,FALSE),"")</f>
        <v/>
      </c>
      <c r="BG428">
        <f t="shared" si="95"/>
        <v>0</v>
      </c>
      <c r="BH428">
        <f t="shared" si="96"/>
        <v>0</v>
      </c>
      <c r="BI428">
        <f t="shared" si="97"/>
        <v>0</v>
      </c>
    </row>
    <row r="429" spans="11:61" x14ac:dyDescent="0.35">
      <c r="K429" t="str">
        <f>IFERROR(VLOOKUP(F429,tbTurnos,3,FALSE),"")</f>
        <v/>
      </c>
      <c r="N429" t="str">
        <f>IFERROR(VLOOKUP(M429,tbFactorMes,2,FALSE),"")</f>
        <v/>
      </c>
      <c r="O429">
        <f t="shared" si="84"/>
        <v>0</v>
      </c>
      <c r="R429" t="str">
        <f>IFERROR(VLOOKUP(Q429,tbFactorMes,2,FALSE),"")</f>
        <v/>
      </c>
      <c r="S429">
        <f t="shared" si="85"/>
        <v>0</v>
      </c>
      <c r="V429" t="str">
        <f>IFERROR(VLOOKUP(U429,tbFactorMes,2,FALSE),"")</f>
        <v/>
      </c>
      <c r="W429">
        <f t="shared" si="86"/>
        <v>0</v>
      </c>
      <c r="Z429" t="str">
        <f>IFERROR(VLOOKUP(Y429,tbFactorMes,2,FALSE),"")</f>
        <v/>
      </c>
      <c r="AA429">
        <f t="shared" si="87"/>
        <v>0</v>
      </c>
      <c r="AD429" t="str">
        <f>IFERROR(VLOOKUP(AC429,tbFactorMes,2,FALSE),"")</f>
        <v/>
      </c>
      <c r="AE429">
        <f t="shared" si="88"/>
        <v>0</v>
      </c>
      <c r="AH429" t="str">
        <f>IFERROR(VLOOKUP(AG429,tbFactorMes,2,FALSE),"")</f>
        <v/>
      </c>
      <c r="AI429">
        <f t="shared" si="89"/>
        <v>0</v>
      </c>
      <c r="AL429" t="str">
        <f>IFERROR(VLOOKUP(AK429,tbFactorMes,2,FALSE),"")</f>
        <v/>
      </c>
      <c r="AM429">
        <f t="shared" si="90"/>
        <v>0</v>
      </c>
      <c r="AP429" t="str">
        <f>IFERROR(VLOOKUP(AO429,tbFactorMes,2,FALSE),"")</f>
        <v/>
      </c>
      <c r="AQ429">
        <f t="shared" si="91"/>
        <v>0</v>
      </c>
      <c r="AT429" t="str">
        <f>IFERROR(VLOOKUP(AS429,tbFactorMes,2,FALSE),"")</f>
        <v/>
      </c>
      <c r="AU429">
        <f t="shared" si="92"/>
        <v>0</v>
      </c>
      <c r="AX429" t="str">
        <f>IFERROR(VLOOKUP(AW429,tbFactorMes,2,FALSE),"")</f>
        <v/>
      </c>
      <c r="AY429">
        <f t="shared" si="93"/>
        <v>0</v>
      </c>
      <c r="BB429" t="str">
        <f>IFERROR(VLOOKUP(BA429,tbFactorMes,2,FALSE),"")</f>
        <v/>
      </c>
      <c r="BC429">
        <f t="shared" si="94"/>
        <v>0</v>
      </c>
      <c r="BF429" t="str">
        <f>IFERROR(VLOOKUP(BE429,tbFactorMes,2,FALSE),"")</f>
        <v/>
      </c>
      <c r="BG429">
        <f t="shared" si="95"/>
        <v>0</v>
      </c>
      <c r="BH429">
        <f t="shared" si="96"/>
        <v>0</v>
      </c>
      <c r="BI429">
        <f t="shared" si="97"/>
        <v>0</v>
      </c>
    </row>
    <row r="430" spans="11:61" x14ac:dyDescent="0.35">
      <c r="K430" t="str">
        <f>IFERROR(VLOOKUP(F430,tbTurnos,3,FALSE),"")</f>
        <v/>
      </c>
      <c r="N430" t="str">
        <f>IFERROR(VLOOKUP(M430,tbFactorMes,2,FALSE),"")</f>
        <v/>
      </c>
      <c r="O430">
        <f t="shared" si="84"/>
        <v>0</v>
      </c>
      <c r="R430" t="str">
        <f>IFERROR(VLOOKUP(Q430,tbFactorMes,2,FALSE),"")</f>
        <v/>
      </c>
      <c r="S430">
        <f t="shared" si="85"/>
        <v>0</v>
      </c>
      <c r="V430" t="str">
        <f>IFERROR(VLOOKUP(U430,tbFactorMes,2,FALSE),"")</f>
        <v/>
      </c>
      <c r="W430">
        <f t="shared" si="86"/>
        <v>0</v>
      </c>
      <c r="Z430" t="str">
        <f>IFERROR(VLOOKUP(Y430,tbFactorMes,2,FALSE),"")</f>
        <v/>
      </c>
      <c r="AA430">
        <f t="shared" si="87"/>
        <v>0</v>
      </c>
      <c r="AD430" t="str">
        <f>IFERROR(VLOOKUP(AC430,tbFactorMes,2,FALSE),"")</f>
        <v/>
      </c>
      <c r="AE430">
        <f t="shared" si="88"/>
        <v>0</v>
      </c>
      <c r="AH430" t="str">
        <f>IFERROR(VLOOKUP(AG430,tbFactorMes,2,FALSE),"")</f>
        <v/>
      </c>
      <c r="AI430">
        <f t="shared" si="89"/>
        <v>0</v>
      </c>
      <c r="AL430" t="str">
        <f>IFERROR(VLOOKUP(AK430,tbFactorMes,2,FALSE),"")</f>
        <v/>
      </c>
      <c r="AM430">
        <f t="shared" si="90"/>
        <v>0</v>
      </c>
      <c r="AP430" t="str">
        <f>IFERROR(VLOOKUP(AO430,tbFactorMes,2,FALSE),"")</f>
        <v/>
      </c>
      <c r="AQ430">
        <f t="shared" si="91"/>
        <v>0</v>
      </c>
      <c r="AT430" t="str">
        <f>IFERROR(VLOOKUP(AS430,tbFactorMes,2,FALSE),"")</f>
        <v/>
      </c>
      <c r="AU430">
        <f t="shared" si="92"/>
        <v>0</v>
      </c>
      <c r="AX430" t="str">
        <f>IFERROR(VLOOKUP(AW430,tbFactorMes,2,FALSE),"")</f>
        <v/>
      </c>
      <c r="AY430">
        <f t="shared" si="93"/>
        <v>0</v>
      </c>
      <c r="BB430" t="str">
        <f>IFERROR(VLOOKUP(BA430,tbFactorMes,2,FALSE),"")</f>
        <v/>
      </c>
      <c r="BC430">
        <f t="shared" si="94"/>
        <v>0</v>
      </c>
      <c r="BF430" t="str">
        <f>IFERROR(VLOOKUP(BE430,tbFactorMes,2,FALSE),"")</f>
        <v/>
      </c>
      <c r="BG430">
        <f t="shared" si="95"/>
        <v>0</v>
      </c>
      <c r="BH430">
        <f t="shared" si="96"/>
        <v>0</v>
      </c>
      <c r="BI430">
        <f t="shared" si="97"/>
        <v>0</v>
      </c>
    </row>
    <row r="431" spans="11:61" x14ac:dyDescent="0.35">
      <c r="K431" t="str">
        <f>IFERROR(VLOOKUP(F431,tbTurnos,3,FALSE),"")</f>
        <v/>
      </c>
      <c r="N431" t="str">
        <f>IFERROR(VLOOKUP(M431,tbFactorMes,2,FALSE),"")</f>
        <v/>
      </c>
      <c r="O431">
        <f t="shared" si="84"/>
        <v>0</v>
      </c>
      <c r="R431" t="str">
        <f>IFERROR(VLOOKUP(Q431,tbFactorMes,2,FALSE),"")</f>
        <v/>
      </c>
      <c r="S431">
        <f t="shared" si="85"/>
        <v>0</v>
      </c>
      <c r="V431" t="str">
        <f>IFERROR(VLOOKUP(U431,tbFactorMes,2,FALSE),"")</f>
        <v/>
      </c>
      <c r="W431">
        <f t="shared" si="86"/>
        <v>0</v>
      </c>
      <c r="Z431" t="str">
        <f>IFERROR(VLOOKUP(Y431,tbFactorMes,2,FALSE),"")</f>
        <v/>
      </c>
      <c r="AA431">
        <f t="shared" si="87"/>
        <v>0</v>
      </c>
      <c r="AD431" t="str">
        <f>IFERROR(VLOOKUP(AC431,tbFactorMes,2,FALSE),"")</f>
        <v/>
      </c>
      <c r="AE431">
        <f t="shared" si="88"/>
        <v>0</v>
      </c>
      <c r="AH431" t="str">
        <f>IFERROR(VLOOKUP(AG431,tbFactorMes,2,FALSE),"")</f>
        <v/>
      </c>
      <c r="AI431">
        <f t="shared" si="89"/>
        <v>0</v>
      </c>
      <c r="AL431" t="str">
        <f>IFERROR(VLOOKUP(AK431,tbFactorMes,2,FALSE),"")</f>
        <v/>
      </c>
      <c r="AM431">
        <f t="shared" si="90"/>
        <v>0</v>
      </c>
      <c r="AP431" t="str">
        <f>IFERROR(VLOOKUP(AO431,tbFactorMes,2,FALSE),"")</f>
        <v/>
      </c>
      <c r="AQ431">
        <f t="shared" si="91"/>
        <v>0</v>
      </c>
      <c r="AT431" t="str">
        <f>IFERROR(VLOOKUP(AS431,tbFactorMes,2,FALSE),"")</f>
        <v/>
      </c>
      <c r="AU431">
        <f t="shared" si="92"/>
        <v>0</v>
      </c>
      <c r="AX431" t="str">
        <f>IFERROR(VLOOKUP(AW431,tbFactorMes,2,FALSE),"")</f>
        <v/>
      </c>
      <c r="AY431">
        <f t="shared" si="93"/>
        <v>0</v>
      </c>
      <c r="BB431" t="str">
        <f>IFERROR(VLOOKUP(BA431,tbFactorMes,2,FALSE),"")</f>
        <v/>
      </c>
      <c r="BC431">
        <f t="shared" si="94"/>
        <v>0</v>
      </c>
      <c r="BF431" t="str">
        <f>IFERROR(VLOOKUP(BE431,tbFactorMes,2,FALSE),"")</f>
        <v/>
      </c>
      <c r="BG431">
        <f t="shared" si="95"/>
        <v>0</v>
      </c>
      <c r="BH431">
        <f t="shared" si="96"/>
        <v>0</v>
      </c>
      <c r="BI431">
        <f t="shared" si="97"/>
        <v>0</v>
      </c>
    </row>
    <row r="432" spans="11:61" x14ac:dyDescent="0.35">
      <c r="K432" t="str">
        <f>IFERROR(VLOOKUP(F432,tbTurnos,3,FALSE),"")</f>
        <v/>
      </c>
      <c r="N432" t="str">
        <f>IFERROR(VLOOKUP(M432,tbFactorMes,2,FALSE),"")</f>
        <v/>
      </c>
      <c r="O432">
        <f t="shared" si="84"/>
        <v>0</v>
      </c>
      <c r="R432" t="str">
        <f>IFERROR(VLOOKUP(Q432,tbFactorMes,2,FALSE),"")</f>
        <v/>
      </c>
      <c r="S432">
        <f t="shared" si="85"/>
        <v>0</v>
      </c>
      <c r="V432" t="str">
        <f>IFERROR(VLOOKUP(U432,tbFactorMes,2,FALSE),"")</f>
        <v/>
      </c>
      <c r="W432">
        <f t="shared" si="86"/>
        <v>0</v>
      </c>
      <c r="Z432" t="str">
        <f>IFERROR(VLOOKUP(Y432,tbFactorMes,2,FALSE),"")</f>
        <v/>
      </c>
      <c r="AA432">
        <f t="shared" si="87"/>
        <v>0</v>
      </c>
      <c r="AD432" t="str">
        <f>IFERROR(VLOOKUP(AC432,tbFactorMes,2,FALSE),"")</f>
        <v/>
      </c>
      <c r="AE432">
        <f t="shared" si="88"/>
        <v>0</v>
      </c>
      <c r="AH432" t="str">
        <f>IFERROR(VLOOKUP(AG432,tbFactorMes,2,FALSE),"")</f>
        <v/>
      </c>
      <c r="AI432">
        <f t="shared" si="89"/>
        <v>0</v>
      </c>
      <c r="AL432" t="str">
        <f>IFERROR(VLOOKUP(AK432,tbFactorMes,2,FALSE),"")</f>
        <v/>
      </c>
      <c r="AM432">
        <f t="shared" si="90"/>
        <v>0</v>
      </c>
      <c r="AP432" t="str">
        <f>IFERROR(VLOOKUP(AO432,tbFactorMes,2,FALSE),"")</f>
        <v/>
      </c>
      <c r="AQ432">
        <f t="shared" si="91"/>
        <v>0</v>
      </c>
      <c r="AT432" t="str">
        <f>IFERROR(VLOOKUP(AS432,tbFactorMes,2,FALSE),"")</f>
        <v/>
      </c>
      <c r="AU432">
        <f t="shared" si="92"/>
        <v>0</v>
      </c>
      <c r="AX432" t="str">
        <f>IFERROR(VLOOKUP(AW432,tbFactorMes,2,FALSE),"")</f>
        <v/>
      </c>
      <c r="AY432">
        <f t="shared" si="93"/>
        <v>0</v>
      </c>
      <c r="BB432" t="str">
        <f>IFERROR(VLOOKUP(BA432,tbFactorMes,2,FALSE),"")</f>
        <v/>
      </c>
      <c r="BC432">
        <f t="shared" si="94"/>
        <v>0</v>
      </c>
      <c r="BF432" t="str">
        <f>IFERROR(VLOOKUP(BE432,tbFactorMes,2,FALSE),"")</f>
        <v/>
      </c>
      <c r="BG432">
        <f t="shared" si="95"/>
        <v>0</v>
      </c>
      <c r="BH432">
        <f t="shared" si="96"/>
        <v>0</v>
      </c>
      <c r="BI432">
        <f t="shared" si="97"/>
        <v>0</v>
      </c>
    </row>
    <row r="433" spans="11:61" x14ac:dyDescent="0.35">
      <c r="K433" t="str">
        <f>IFERROR(VLOOKUP(F433,tbTurnos,3,FALSE),"")</f>
        <v/>
      </c>
      <c r="N433" t="str">
        <f>IFERROR(VLOOKUP(M433,tbFactorMes,2,FALSE),"")</f>
        <v/>
      </c>
      <c r="O433">
        <f t="shared" si="84"/>
        <v>0</v>
      </c>
      <c r="R433" t="str">
        <f>IFERROR(VLOOKUP(Q433,tbFactorMes,2,FALSE),"")</f>
        <v/>
      </c>
      <c r="S433">
        <f t="shared" si="85"/>
        <v>0</v>
      </c>
      <c r="V433" t="str">
        <f>IFERROR(VLOOKUP(U433,tbFactorMes,2,FALSE),"")</f>
        <v/>
      </c>
      <c r="W433">
        <f t="shared" si="86"/>
        <v>0</v>
      </c>
      <c r="Z433" t="str">
        <f>IFERROR(VLOOKUP(Y433,tbFactorMes,2,FALSE),"")</f>
        <v/>
      </c>
      <c r="AA433">
        <f t="shared" si="87"/>
        <v>0</v>
      </c>
      <c r="AD433" t="str">
        <f>IFERROR(VLOOKUP(AC433,tbFactorMes,2,FALSE),"")</f>
        <v/>
      </c>
      <c r="AE433">
        <f t="shared" si="88"/>
        <v>0</v>
      </c>
      <c r="AH433" t="str">
        <f>IFERROR(VLOOKUP(AG433,tbFactorMes,2,FALSE),"")</f>
        <v/>
      </c>
      <c r="AI433">
        <f t="shared" si="89"/>
        <v>0</v>
      </c>
      <c r="AL433" t="str">
        <f>IFERROR(VLOOKUP(AK433,tbFactorMes,2,FALSE),"")</f>
        <v/>
      </c>
      <c r="AM433">
        <f t="shared" si="90"/>
        <v>0</v>
      </c>
      <c r="AP433" t="str">
        <f>IFERROR(VLOOKUP(AO433,tbFactorMes,2,FALSE),"")</f>
        <v/>
      </c>
      <c r="AQ433">
        <f t="shared" si="91"/>
        <v>0</v>
      </c>
      <c r="AT433" t="str">
        <f>IFERROR(VLOOKUP(AS433,tbFactorMes,2,FALSE),"")</f>
        <v/>
      </c>
      <c r="AU433">
        <f t="shared" si="92"/>
        <v>0</v>
      </c>
      <c r="AX433" t="str">
        <f>IFERROR(VLOOKUP(AW433,tbFactorMes,2,FALSE),"")</f>
        <v/>
      </c>
      <c r="AY433">
        <f t="shared" si="93"/>
        <v>0</v>
      </c>
      <c r="BB433" t="str">
        <f>IFERROR(VLOOKUP(BA433,tbFactorMes,2,FALSE),"")</f>
        <v/>
      </c>
      <c r="BC433">
        <f t="shared" si="94"/>
        <v>0</v>
      </c>
      <c r="BF433" t="str">
        <f>IFERROR(VLOOKUP(BE433,tbFactorMes,2,FALSE),"")</f>
        <v/>
      </c>
      <c r="BG433">
        <f t="shared" si="95"/>
        <v>0</v>
      </c>
      <c r="BH433">
        <f t="shared" si="96"/>
        <v>0</v>
      </c>
      <c r="BI433">
        <f t="shared" si="97"/>
        <v>0</v>
      </c>
    </row>
    <row r="434" spans="11:61" x14ac:dyDescent="0.35">
      <c r="K434" t="str">
        <f>IFERROR(VLOOKUP(F434,tbTurnos,3,FALSE),"")</f>
        <v/>
      </c>
      <c r="N434" t="str">
        <f>IFERROR(VLOOKUP(M434,tbFactorMes,2,FALSE),"")</f>
        <v/>
      </c>
      <c r="O434">
        <f t="shared" si="84"/>
        <v>0</v>
      </c>
      <c r="R434" t="str">
        <f>IFERROR(VLOOKUP(Q434,tbFactorMes,2,FALSE),"")</f>
        <v/>
      </c>
      <c r="S434">
        <f t="shared" si="85"/>
        <v>0</v>
      </c>
      <c r="V434" t="str">
        <f>IFERROR(VLOOKUP(U434,tbFactorMes,2,FALSE),"")</f>
        <v/>
      </c>
      <c r="W434">
        <f t="shared" si="86"/>
        <v>0</v>
      </c>
      <c r="Z434" t="str">
        <f>IFERROR(VLOOKUP(Y434,tbFactorMes,2,FALSE),"")</f>
        <v/>
      </c>
      <c r="AA434">
        <f t="shared" si="87"/>
        <v>0</v>
      </c>
      <c r="AD434" t="str">
        <f>IFERROR(VLOOKUP(AC434,tbFactorMes,2,FALSE),"")</f>
        <v/>
      </c>
      <c r="AE434">
        <f t="shared" si="88"/>
        <v>0</v>
      </c>
      <c r="AH434" t="str">
        <f>IFERROR(VLOOKUP(AG434,tbFactorMes,2,FALSE),"")</f>
        <v/>
      </c>
      <c r="AI434">
        <f t="shared" si="89"/>
        <v>0</v>
      </c>
      <c r="AL434" t="str">
        <f>IFERROR(VLOOKUP(AK434,tbFactorMes,2,FALSE),"")</f>
        <v/>
      </c>
      <c r="AM434">
        <f t="shared" si="90"/>
        <v>0</v>
      </c>
      <c r="AP434" t="str">
        <f>IFERROR(VLOOKUP(AO434,tbFactorMes,2,FALSE),"")</f>
        <v/>
      </c>
      <c r="AQ434">
        <f t="shared" si="91"/>
        <v>0</v>
      </c>
      <c r="AT434" t="str">
        <f>IFERROR(VLOOKUP(AS434,tbFactorMes,2,FALSE),"")</f>
        <v/>
      </c>
      <c r="AU434">
        <f t="shared" si="92"/>
        <v>0</v>
      </c>
      <c r="AX434" t="str">
        <f>IFERROR(VLOOKUP(AW434,tbFactorMes,2,FALSE),"")</f>
        <v/>
      </c>
      <c r="AY434">
        <f t="shared" si="93"/>
        <v>0</v>
      </c>
      <c r="BB434" t="str">
        <f>IFERROR(VLOOKUP(BA434,tbFactorMes,2,FALSE),"")</f>
        <v/>
      </c>
      <c r="BC434">
        <f t="shared" si="94"/>
        <v>0</v>
      </c>
      <c r="BF434" t="str">
        <f>IFERROR(VLOOKUP(BE434,tbFactorMes,2,FALSE),"")</f>
        <v/>
      </c>
      <c r="BG434">
        <f t="shared" si="95"/>
        <v>0</v>
      </c>
      <c r="BH434">
        <f t="shared" si="96"/>
        <v>0</v>
      </c>
      <c r="BI434">
        <f t="shared" si="97"/>
        <v>0</v>
      </c>
    </row>
    <row r="435" spans="11:61" x14ac:dyDescent="0.35">
      <c r="K435" t="str">
        <f>IFERROR(VLOOKUP(F435,tbTurnos,3,FALSE),"")</f>
        <v/>
      </c>
      <c r="N435" t="str">
        <f>IFERROR(VLOOKUP(M435,tbFactorMes,2,FALSE),"")</f>
        <v/>
      </c>
      <c r="O435">
        <f t="shared" si="84"/>
        <v>0</v>
      </c>
      <c r="R435" t="str">
        <f>IFERROR(VLOOKUP(Q435,tbFactorMes,2,FALSE),"")</f>
        <v/>
      </c>
      <c r="S435">
        <f t="shared" si="85"/>
        <v>0</v>
      </c>
      <c r="V435" t="str">
        <f>IFERROR(VLOOKUP(U435,tbFactorMes,2,FALSE),"")</f>
        <v/>
      </c>
      <c r="W435">
        <f t="shared" si="86"/>
        <v>0</v>
      </c>
      <c r="Z435" t="str">
        <f>IFERROR(VLOOKUP(Y435,tbFactorMes,2,FALSE),"")</f>
        <v/>
      </c>
      <c r="AA435">
        <f t="shared" si="87"/>
        <v>0</v>
      </c>
      <c r="AD435" t="str">
        <f>IFERROR(VLOOKUP(AC435,tbFactorMes,2,FALSE),"")</f>
        <v/>
      </c>
      <c r="AE435">
        <f t="shared" si="88"/>
        <v>0</v>
      </c>
      <c r="AH435" t="str">
        <f>IFERROR(VLOOKUP(AG435,tbFactorMes,2,FALSE),"")</f>
        <v/>
      </c>
      <c r="AI435">
        <f t="shared" si="89"/>
        <v>0</v>
      </c>
      <c r="AL435" t="str">
        <f>IFERROR(VLOOKUP(AK435,tbFactorMes,2,FALSE),"")</f>
        <v/>
      </c>
      <c r="AM435">
        <f t="shared" si="90"/>
        <v>0</v>
      </c>
      <c r="AP435" t="str">
        <f>IFERROR(VLOOKUP(AO435,tbFactorMes,2,FALSE),"")</f>
        <v/>
      </c>
      <c r="AQ435">
        <f t="shared" si="91"/>
        <v>0</v>
      </c>
      <c r="AT435" t="str">
        <f>IFERROR(VLOOKUP(AS435,tbFactorMes,2,FALSE),"")</f>
        <v/>
      </c>
      <c r="AU435">
        <f t="shared" si="92"/>
        <v>0</v>
      </c>
      <c r="AX435" t="str">
        <f>IFERROR(VLOOKUP(AW435,tbFactorMes,2,FALSE),"")</f>
        <v/>
      </c>
      <c r="AY435">
        <f t="shared" si="93"/>
        <v>0</v>
      </c>
      <c r="BB435" t="str">
        <f>IFERROR(VLOOKUP(BA435,tbFactorMes,2,FALSE),"")</f>
        <v/>
      </c>
      <c r="BC435">
        <f t="shared" si="94"/>
        <v>0</v>
      </c>
      <c r="BF435" t="str">
        <f>IFERROR(VLOOKUP(BE435,tbFactorMes,2,FALSE),"")</f>
        <v/>
      </c>
      <c r="BG435">
        <f t="shared" si="95"/>
        <v>0</v>
      </c>
      <c r="BH435">
        <f t="shared" si="96"/>
        <v>0</v>
      </c>
      <c r="BI435">
        <f t="shared" si="97"/>
        <v>0</v>
      </c>
    </row>
    <row r="436" spans="11:61" x14ac:dyDescent="0.35">
      <c r="K436" t="str">
        <f>IFERROR(VLOOKUP(F436,tbTurnos,3,FALSE),"")</f>
        <v/>
      </c>
      <c r="N436" t="str">
        <f>IFERROR(VLOOKUP(M436,tbFactorMes,2,FALSE),"")</f>
        <v/>
      </c>
      <c r="O436">
        <f t="shared" si="84"/>
        <v>0</v>
      </c>
      <c r="R436" t="str">
        <f>IFERROR(VLOOKUP(Q436,tbFactorMes,2,FALSE),"")</f>
        <v/>
      </c>
      <c r="S436">
        <f t="shared" si="85"/>
        <v>0</v>
      </c>
      <c r="V436" t="str">
        <f>IFERROR(VLOOKUP(U436,tbFactorMes,2,FALSE),"")</f>
        <v/>
      </c>
      <c r="W436">
        <f t="shared" si="86"/>
        <v>0</v>
      </c>
      <c r="Z436" t="str">
        <f>IFERROR(VLOOKUP(Y436,tbFactorMes,2,FALSE),"")</f>
        <v/>
      </c>
      <c r="AA436">
        <f t="shared" si="87"/>
        <v>0</v>
      </c>
      <c r="AD436" t="str">
        <f>IFERROR(VLOOKUP(AC436,tbFactorMes,2,FALSE),"")</f>
        <v/>
      </c>
      <c r="AE436">
        <f t="shared" si="88"/>
        <v>0</v>
      </c>
      <c r="AH436" t="str">
        <f>IFERROR(VLOOKUP(AG436,tbFactorMes,2,FALSE),"")</f>
        <v/>
      </c>
      <c r="AI436">
        <f t="shared" si="89"/>
        <v>0</v>
      </c>
      <c r="AL436" t="str">
        <f>IFERROR(VLOOKUP(AK436,tbFactorMes,2,FALSE),"")</f>
        <v/>
      </c>
      <c r="AM436">
        <f t="shared" si="90"/>
        <v>0</v>
      </c>
      <c r="AP436" t="str">
        <f>IFERROR(VLOOKUP(AO436,tbFactorMes,2,FALSE),"")</f>
        <v/>
      </c>
      <c r="AQ436">
        <f t="shared" si="91"/>
        <v>0</v>
      </c>
      <c r="AT436" t="str">
        <f>IFERROR(VLOOKUP(AS436,tbFactorMes,2,FALSE),"")</f>
        <v/>
      </c>
      <c r="AU436">
        <f t="shared" si="92"/>
        <v>0</v>
      </c>
      <c r="AX436" t="str">
        <f>IFERROR(VLOOKUP(AW436,tbFactorMes,2,FALSE),"")</f>
        <v/>
      </c>
      <c r="AY436">
        <f t="shared" si="93"/>
        <v>0</v>
      </c>
      <c r="BB436" t="str">
        <f>IFERROR(VLOOKUP(BA436,tbFactorMes,2,FALSE),"")</f>
        <v/>
      </c>
      <c r="BC436">
        <f t="shared" si="94"/>
        <v>0</v>
      </c>
      <c r="BF436" t="str">
        <f>IFERROR(VLOOKUP(BE436,tbFactorMes,2,FALSE),"")</f>
        <v/>
      </c>
      <c r="BG436">
        <f t="shared" si="95"/>
        <v>0</v>
      </c>
      <c r="BH436">
        <f t="shared" si="96"/>
        <v>0</v>
      </c>
      <c r="BI436">
        <f t="shared" si="97"/>
        <v>0</v>
      </c>
    </row>
    <row r="437" spans="11:61" x14ac:dyDescent="0.35">
      <c r="K437" t="str">
        <f>IFERROR(VLOOKUP(F437,tbTurnos,3,FALSE),"")</f>
        <v/>
      </c>
      <c r="N437" t="str">
        <f>IFERROR(VLOOKUP(M437,tbFactorMes,2,FALSE),"")</f>
        <v/>
      </c>
      <c r="O437">
        <f t="shared" si="84"/>
        <v>0</v>
      </c>
      <c r="R437" t="str">
        <f>IFERROR(VLOOKUP(Q437,tbFactorMes,2,FALSE),"")</f>
        <v/>
      </c>
      <c r="S437">
        <f t="shared" si="85"/>
        <v>0</v>
      </c>
      <c r="V437" t="str">
        <f>IFERROR(VLOOKUP(U437,tbFactorMes,2,FALSE),"")</f>
        <v/>
      </c>
      <c r="W437">
        <f t="shared" si="86"/>
        <v>0</v>
      </c>
      <c r="Z437" t="str">
        <f>IFERROR(VLOOKUP(Y437,tbFactorMes,2,FALSE),"")</f>
        <v/>
      </c>
      <c r="AA437">
        <f t="shared" si="87"/>
        <v>0</v>
      </c>
      <c r="AD437" t="str">
        <f>IFERROR(VLOOKUP(AC437,tbFactorMes,2,FALSE),"")</f>
        <v/>
      </c>
      <c r="AE437">
        <f t="shared" si="88"/>
        <v>0</v>
      </c>
      <c r="AH437" t="str">
        <f>IFERROR(VLOOKUP(AG437,tbFactorMes,2,FALSE),"")</f>
        <v/>
      </c>
      <c r="AI437">
        <f t="shared" si="89"/>
        <v>0</v>
      </c>
      <c r="AL437" t="str">
        <f>IFERROR(VLOOKUP(AK437,tbFactorMes,2,FALSE),"")</f>
        <v/>
      </c>
      <c r="AM437">
        <f t="shared" si="90"/>
        <v>0</v>
      </c>
      <c r="AP437" t="str">
        <f>IFERROR(VLOOKUP(AO437,tbFactorMes,2,FALSE),"")</f>
        <v/>
      </c>
      <c r="AQ437">
        <f t="shared" si="91"/>
        <v>0</v>
      </c>
      <c r="AT437" t="str">
        <f>IFERROR(VLOOKUP(AS437,tbFactorMes,2,FALSE),"")</f>
        <v/>
      </c>
      <c r="AU437">
        <f t="shared" si="92"/>
        <v>0</v>
      </c>
      <c r="AX437" t="str">
        <f>IFERROR(VLOOKUP(AW437,tbFactorMes,2,FALSE),"")</f>
        <v/>
      </c>
      <c r="AY437">
        <f t="shared" si="93"/>
        <v>0</v>
      </c>
      <c r="BB437" t="str">
        <f>IFERROR(VLOOKUP(BA437,tbFactorMes,2,FALSE),"")</f>
        <v/>
      </c>
      <c r="BC437">
        <f t="shared" si="94"/>
        <v>0</v>
      </c>
      <c r="BF437" t="str">
        <f>IFERROR(VLOOKUP(BE437,tbFactorMes,2,FALSE),"")</f>
        <v/>
      </c>
      <c r="BG437">
        <f t="shared" si="95"/>
        <v>0</v>
      </c>
      <c r="BH437">
        <f t="shared" si="96"/>
        <v>0</v>
      </c>
      <c r="BI437">
        <f t="shared" si="97"/>
        <v>0</v>
      </c>
    </row>
    <row r="438" spans="11:61" x14ac:dyDescent="0.35">
      <c r="K438" t="str">
        <f>IFERROR(VLOOKUP(F438,tbTurnos,3,FALSE),"")</f>
        <v/>
      </c>
      <c r="N438" t="str">
        <f>IFERROR(VLOOKUP(M438,tbFactorMes,2,FALSE),"")</f>
        <v/>
      </c>
      <c r="O438">
        <f t="shared" si="84"/>
        <v>0</v>
      </c>
      <c r="R438" t="str">
        <f>IFERROR(VLOOKUP(Q438,tbFactorMes,2,FALSE),"")</f>
        <v/>
      </c>
      <c r="S438">
        <f t="shared" si="85"/>
        <v>0</v>
      </c>
      <c r="V438" t="str">
        <f>IFERROR(VLOOKUP(U438,tbFactorMes,2,FALSE),"")</f>
        <v/>
      </c>
      <c r="W438">
        <f t="shared" si="86"/>
        <v>0</v>
      </c>
      <c r="Z438" t="str">
        <f>IFERROR(VLOOKUP(Y438,tbFactorMes,2,FALSE),"")</f>
        <v/>
      </c>
      <c r="AA438">
        <f t="shared" si="87"/>
        <v>0</v>
      </c>
      <c r="AD438" t="str">
        <f>IFERROR(VLOOKUP(AC438,tbFactorMes,2,FALSE),"")</f>
        <v/>
      </c>
      <c r="AE438">
        <f t="shared" si="88"/>
        <v>0</v>
      </c>
      <c r="AH438" t="str">
        <f>IFERROR(VLOOKUP(AG438,tbFactorMes,2,FALSE),"")</f>
        <v/>
      </c>
      <c r="AI438">
        <f t="shared" si="89"/>
        <v>0</v>
      </c>
      <c r="AL438" t="str">
        <f>IFERROR(VLOOKUP(AK438,tbFactorMes,2,FALSE),"")</f>
        <v/>
      </c>
      <c r="AM438">
        <f t="shared" si="90"/>
        <v>0</v>
      </c>
      <c r="AP438" t="str">
        <f>IFERROR(VLOOKUP(AO438,tbFactorMes,2,FALSE),"")</f>
        <v/>
      </c>
      <c r="AQ438">
        <f t="shared" si="91"/>
        <v>0</v>
      </c>
      <c r="AT438" t="str">
        <f>IFERROR(VLOOKUP(AS438,tbFactorMes,2,FALSE),"")</f>
        <v/>
      </c>
      <c r="AU438">
        <f t="shared" si="92"/>
        <v>0</v>
      </c>
      <c r="AX438" t="str">
        <f>IFERROR(VLOOKUP(AW438,tbFactorMes,2,FALSE),"")</f>
        <v/>
      </c>
      <c r="AY438">
        <f t="shared" si="93"/>
        <v>0</v>
      </c>
      <c r="BB438" t="str">
        <f>IFERROR(VLOOKUP(BA438,tbFactorMes,2,FALSE),"")</f>
        <v/>
      </c>
      <c r="BC438">
        <f t="shared" si="94"/>
        <v>0</v>
      </c>
      <c r="BF438" t="str">
        <f>IFERROR(VLOOKUP(BE438,tbFactorMes,2,FALSE),"")</f>
        <v/>
      </c>
      <c r="BG438">
        <f t="shared" si="95"/>
        <v>0</v>
      </c>
      <c r="BH438">
        <f t="shared" si="96"/>
        <v>0</v>
      </c>
      <c r="BI438">
        <f t="shared" si="97"/>
        <v>0</v>
      </c>
    </row>
    <row r="439" spans="11:61" x14ac:dyDescent="0.35">
      <c r="K439" t="str">
        <f>IFERROR(VLOOKUP(F439,tbTurnos,3,FALSE),"")</f>
        <v/>
      </c>
      <c r="N439" t="str">
        <f>IFERROR(VLOOKUP(M439,tbFactorMes,2,FALSE),"")</f>
        <v/>
      </c>
      <c r="O439">
        <f t="shared" si="84"/>
        <v>0</v>
      </c>
      <c r="R439" t="str">
        <f>IFERROR(VLOOKUP(Q439,tbFactorMes,2,FALSE),"")</f>
        <v/>
      </c>
      <c r="S439">
        <f t="shared" si="85"/>
        <v>0</v>
      </c>
      <c r="V439" t="str">
        <f>IFERROR(VLOOKUP(U439,tbFactorMes,2,FALSE),"")</f>
        <v/>
      </c>
      <c r="W439">
        <f t="shared" si="86"/>
        <v>0</v>
      </c>
      <c r="Z439" t="str">
        <f>IFERROR(VLOOKUP(Y439,tbFactorMes,2,FALSE),"")</f>
        <v/>
      </c>
      <c r="AA439">
        <f t="shared" si="87"/>
        <v>0</v>
      </c>
      <c r="AD439" t="str">
        <f>IFERROR(VLOOKUP(AC439,tbFactorMes,2,FALSE),"")</f>
        <v/>
      </c>
      <c r="AE439">
        <f t="shared" si="88"/>
        <v>0</v>
      </c>
      <c r="AH439" t="str">
        <f>IFERROR(VLOOKUP(AG439,tbFactorMes,2,FALSE),"")</f>
        <v/>
      </c>
      <c r="AI439">
        <f t="shared" si="89"/>
        <v>0</v>
      </c>
      <c r="AL439" t="str">
        <f>IFERROR(VLOOKUP(AK439,tbFactorMes,2,FALSE),"")</f>
        <v/>
      </c>
      <c r="AM439">
        <f t="shared" si="90"/>
        <v>0</v>
      </c>
      <c r="AP439" t="str">
        <f>IFERROR(VLOOKUP(AO439,tbFactorMes,2,FALSE),"")</f>
        <v/>
      </c>
      <c r="AQ439">
        <f t="shared" si="91"/>
        <v>0</v>
      </c>
      <c r="AT439" t="str">
        <f>IFERROR(VLOOKUP(AS439,tbFactorMes,2,FALSE),"")</f>
        <v/>
      </c>
      <c r="AU439">
        <f t="shared" si="92"/>
        <v>0</v>
      </c>
      <c r="AX439" t="str">
        <f>IFERROR(VLOOKUP(AW439,tbFactorMes,2,FALSE),"")</f>
        <v/>
      </c>
      <c r="AY439">
        <f t="shared" si="93"/>
        <v>0</v>
      </c>
      <c r="BB439" t="str">
        <f>IFERROR(VLOOKUP(BA439,tbFactorMes,2,FALSE),"")</f>
        <v/>
      </c>
      <c r="BC439">
        <f t="shared" si="94"/>
        <v>0</v>
      </c>
      <c r="BF439" t="str">
        <f>IFERROR(VLOOKUP(BE439,tbFactorMes,2,FALSE),"")</f>
        <v/>
      </c>
      <c r="BG439">
        <f t="shared" si="95"/>
        <v>0</v>
      </c>
      <c r="BH439">
        <f t="shared" si="96"/>
        <v>0</v>
      </c>
      <c r="BI439">
        <f t="shared" si="97"/>
        <v>0</v>
      </c>
    </row>
    <row r="440" spans="11:61" x14ac:dyDescent="0.35">
      <c r="K440" t="str">
        <f>IFERROR(VLOOKUP(F440,tbTurnos,3,FALSE),"")</f>
        <v/>
      </c>
      <c r="N440" t="str">
        <f>IFERROR(VLOOKUP(M440,tbFactorMes,2,FALSE),"")</f>
        <v/>
      </c>
      <c r="O440">
        <f t="shared" si="84"/>
        <v>0</v>
      </c>
      <c r="R440" t="str">
        <f>IFERROR(VLOOKUP(Q440,tbFactorMes,2,FALSE),"")</f>
        <v/>
      </c>
      <c r="S440">
        <f t="shared" si="85"/>
        <v>0</v>
      </c>
      <c r="V440" t="str">
        <f>IFERROR(VLOOKUP(U440,tbFactorMes,2,FALSE),"")</f>
        <v/>
      </c>
      <c r="W440">
        <f t="shared" si="86"/>
        <v>0</v>
      </c>
      <c r="Z440" t="str">
        <f>IFERROR(VLOOKUP(Y440,tbFactorMes,2,FALSE),"")</f>
        <v/>
      </c>
      <c r="AA440">
        <f t="shared" si="87"/>
        <v>0</v>
      </c>
      <c r="AD440" t="str">
        <f>IFERROR(VLOOKUP(AC440,tbFactorMes,2,FALSE),"")</f>
        <v/>
      </c>
      <c r="AE440">
        <f t="shared" si="88"/>
        <v>0</v>
      </c>
      <c r="AH440" t="str">
        <f>IFERROR(VLOOKUP(AG440,tbFactorMes,2,FALSE),"")</f>
        <v/>
      </c>
      <c r="AI440">
        <f t="shared" si="89"/>
        <v>0</v>
      </c>
      <c r="AL440" t="str">
        <f>IFERROR(VLOOKUP(AK440,tbFactorMes,2,FALSE),"")</f>
        <v/>
      </c>
      <c r="AM440">
        <f t="shared" si="90"/>
        <v>0</v>
      </c>
      <c r="AP440" t="str">
        <f>IFERROR(VLOOKUP(AO440,tbFactorMes,2,FALSE),"")</f>
        <v/>
      </c>
      <c r="AQ440">
        <f t="shared" si="91"/>
        <v>0</v>
      </c>
      <c r="AT440" t="str">
        <f>IFERROR(VLOOKUP(AS440,tbFactorMes,2,FALSE),"")</f>
        <v/>
      </c>
      <c r="AU440">
        <f t="shared" si="92"/>
        <v>0</v>
      </c>
      <c r="AX440" t="str">
        <f>IFERROR(VLOOKUP(AW440,tbFactorMes,2,FALSE),"")</f>
        <v/>
      </c>
      <c r="AY440">
        <f t="shared" si="93"/>
        <v>0</v>
      </c>
      <c r="BB440" t="str">
        <f>IFERROR(VLOOKUP(BA440,tbFactorMes,2,FALSE),"")</f>
        <v/>
      </c>
      <c r="BC440">
        <f t="shared" si="94"/>
        <v>0</v>
      </c>
      <c r="BF440" t="str">
        <f>IFERROR(VLOOKUP(BE440,tbFactorMes,2,FALSE),"")</f>
        <v/>
      </c>
      <c r="BG440">
        <f t="shared" si="95"/>
        <v>0</v>
      </c>
      <c r="BH440">
        <f t="shared" si="96"/>
        <v>0</v>
      </c>
      <c r="BI440">
        <f t="shared" si="97"/>
        <v>0</v>
      </c>
    </row>
    <row r="441" spans="11:61" x14ac:dyDescent="0.35">
      <c r="K441" t="str">
        <f>IFERROR(VLOOKUP(F441,tbTurnos,3,FALSE),"")</f>
        <v/>
      </c>
      <c r="N441" t="str">
        <f>IFERROR(VLOOKUP(M441,tbFactorMes,2,FALSE),"")</f>
        <v/>
      </c>
      <c r="O441">
        <f t="shared" si="84"/>
        <v>0</v>
      </c>
      <c r="R441" t="str">
        <f>IFERROR(VLOOKUP(Q441,tbFactorMes,2,FALSE),"")</f>
        <v/>
      </c>
      <c r="S441">
        <f t="shared" si="85"/>
        <v>0</v>
      </c>
      <c r="V441" t="str">
        <f>IFERROR(VLOOKUP(U441,tbFactorMes,2,FALSE),"")</f>
        <v/>
      </c>
      <c r="W441">
        <f t="shared" si="86"/>
        <v>0</v>
      </c>
      <c r="Z441" t="str">
        <f>IFERROR(VLOOKUP(Y441,tbFactorMes,2,FALSE),"")</f>
        <v/>
      </c>
      <c r="AA441">
        <f t="shared" si="87"/>
        <v>0</v>
      </c>
      <c r="AD441" t="str">
        <f>IFERROR(VLOOKUP(AC441,tbFactorMes,2,FALSE),"")</f>
        <v/>
      </c>
      <c r="AE441">
        <f t="shared" si="88"/>
        <v>0</v>
      </c>
      <c r="AH441" t="str">
        <f>IFERROR(VLOOKUP(AG441,tbFactorMes,2,FALSE),"")</f>
        <v/>
      </c>
      <c r="AI441">
        <f t="shared" si="89"/>
        <v>0</v>
      </c>
      <c r="AL441" t="str">
        <f>IFERROR(VLOOKUP(AK441,tbFactorMes,2,FALSE),"")</f>
        <v/>
      </c>
      <c r="AM441">
        <f t="shared" si="90"/>
        <v>0</v>
      </c>
      <c r="AP441" t="str">
        <f>IFERROR(VLOOKUP(AO441,tbFactorMes,2,FALSE),"")</f>
        <v/>
      </c>
      <c r="AQ441">
        <f t="shared" si="91"/>
        <v>0</v>
      </c>
      <c r="AT441" t="str">
        <f>IFERROR(VLOOKUP(AS441,tbFactorMes,2,FALSE),"")</f>
        <v/>
      </c>
      <c r="AU441">
        <f t="shared" si="92"/>
        <v>0</v>
      </c>
      <c r="AX441" t="str">
        <f>IFERROR(VLOOKUP(AW441,tbFactorMes,2,FALSE),"")</f>
        <v/>
      </c>
      <c r="AY441">
        <f t="shared" si="93"/>
        <v>0</v>
      </c>
      <c r="BB441" t="str">
        <f>IFERROR(VLOOKUP(BA441,tbFactorMes,2,FALSE),"")</f>
        <v/>
      </c>
      <c r="BC441">
        <f t="shared" si="94"/>
        <v>0</v>
      </c>
      <c r="BF441" t="str">
        <f>IFERROR(VLOOKUP(BE441,tbFactorMes,2,FALSE),"")</f>
        <v/>
      </c>
      <c r="BG441">
        <f t="shared" si="95"/>
        <v>0</v>
      </c>
      <c r="BH441">
        <f t="shared" si="96"/>
        <v>0</v>
      </c>
      <c r="BI441">
        <f t="shared" si="97"/>
        <v>0</v>
      </c>
    </row>
    <row r="442" spans="11:61" x14ac:dyDescent="0.35">
      <c r="K442" t="str">
        <f>IFERROR(VLOOKUP(F442,tbTurnos,3,FALSE),"")</f>
        <v/>
      </c>
      <c r="N442" t="str">
        <f>IFERROR(VLOOKUP(M442,tbFactorMes,2,FALSE),"")</f>
        <v/>
      </c>
      <c r="O442">
        <f t="shared" si="84"/>
        <v>0</v>
      </c>
      <c r="R442" t="str">
        <f>IFERROR(VLOOKUP(Q442,tbFactorMes,2,FALSE),"")</f>
        <v/>
      </c>
      <c r="S442">
        <f t="shared" si="85"/>
        <v>0</v>
      </c>
      <c r="V442" t="str">
        <f>IFERROR(VLOOKUP(U442,tbFactorMes,2,FALSE),"")</f>
        <v/>
      </c>
      <c r="W442">
        <f t="shared" si="86"/>
        <v>0</v>
      </c>
      <c r="Z442" t="str">
        <f>IFERROR(VLOOKUP(Y442,tbFactorMes,2,FALSE),"")</f>
        <v/>
      </c>
      <c r="AA442">
        <f t="shared" si="87"/>
        <v>0</v>
      </c>
      <c r="AD442" t="str">
        <f>IFERROR(VLOOKUP(AC442,tbFactorMes,2,FALSE),"")</f>
        <v/>
      </c>
      <c r="AE442">
        <f t="shared" si="88"/>
        <v>0</v>
      </c>
      <c r="AH442" t="str">
        <f>IFERROR(VLOOKUP(AG442,tbFactorMes,2,FALSE),"")</f>
        <v/>
      </c>
      <c r="AI442">
        <f t="shared" si="89"/>
        <v>0</v>
      </c>
      <c r="AL442" t="str">
        <f>IFERROR(VLOOKUP(AK442,tbFactorMes,2,FALSE),"")</f>
        <v/>
      </c>
      <c r="AM442">
        <f t="shared" si="90"/>
        <v>0</v>
      </c>
      <c r="AP442" t="str">
        <f>IFERROR(VLOOKUP(AO442,tbFactorMes,2,FALSE),"")</f>
        <v/>
      </c>
      <c r="AQ442">
        <f t="shared" si="91"/>
        <v>0</v>
      </c>
      <c r="AT442" t="str">
        <f>IFERROR(VLOOKUP(AS442,tbFactorMes,2,FALSE),"")</f>
        <v/>
      </c>
      <c r="AU442">
        <f t="shared" si="92"/>
        <v>0</v>
      </c>
      <c r="AX442" t="str">
        <f>IFERROR(VLOOKUP(AW442,tbFactorMes,2,FALSE),"")</f>
        <v/>
      </c>
      <c r="AY442">
        <f t="shared" si="93"/>
        <v>0</v>
      </c>
      <c r="BB442" t="str">
        <f>IFERROR(VLOOKUP(BA442,tbFactorMes,2,FALSE),"")</f>
        <v/>
      </c>
      <c r="BC442">
        <f t="shared" si="94"/>
        <v>0</v>
      </c>
      <c r="BF442" t="str">
        <f>IFERROR(VLOOKUP(BE442,tbFactorMes,2,FALSE),"")</f>
        <v/>
      </c>
      <c r="BG442">
        <f t="shared" si="95"/>
        <v>0</v>
      </c>
      <c r="BH442">
        <f t="shared" si="96"/>
        <v>0</v>
      </c>
      <c r="BI442">
        <f t="shared" si="97"/>
        <v>0</v>
      </c>
    </row>
    <row r="443" spans="11:61" x14ac:dyDescent="0.35">
      <c r="K443" t="str">
        <f>IFERROR(VLOOKUP(F443,tbTurnos,3,FALSE),"")</f>
        <v/>
      </c>
      <c r="N443" t="str">
        <f>IFERROR(VLOOKUP(M443,tbFactorMes,2,FALSE),"")</f>
        <v/>
      </c>
      <c r="O443">
        <f t="shared" si="84"/>
        <v>0</v>
      </c>
      <c r="R443" t="str">
        <f>IFERROR(VLOOKUP(Q443,tbFactorMes,2,FALSE),"")</f>
        <v/>
      </c>
      <c r="S443">
        <f t="shared" si="85"/>
        <v>0</v>
      </c>
      <c r="V443" t="str">
        <f>IFERROR(VLOOKUP(U443,tbFactorMes,2,FALSE),"")</f>
        <v/>
      </c>
      <c r="W443">
        <f t="shared" si="86"/>
        <v>0</v>
      </c>
      <c r="Z443" t="str">
        <f>IFERROR(VLOOKUP(Y443,tbFactorMes,2,FALSE),"")</f>
        <v/>
      </c>
      <c r="AA443">
        <f t="shared" si="87"/>
        <v>0</v>
      </c>
      <c r="AD443" t="str">
        <f>IFERROR(VLOOKUP(AC443,tbFactorMes,2,FALSE),"")</f>
        <v/>
      </c>
      <c r="AE443">
        <f t="shared" si="88"/>
        <v>0</v>
      </c>
      <c r="AH443" t="str">
        <f>IFERROR(VLOOKUP(AG443,tbFactorMes,2,FALSE),"")</f>
        <v/>
      </c>
      <c r="AI443">
        <f t="shared" si="89"/>
        <v>0</v>
      </c>
      <c r="AL443" t="str">
        <f>IFERROR(VLOOKUP(AK443,tbFactorMes,2,FALSE),"")</f>
        <v/>
      </c>
      <c r="AM443">
        <f t="shared" si="90"/>
        <v>0</v>
      </c>
      <c r="AP443" t="str">
        <f>IFERROR(VLOOKUP(AO443,tbFactorMes,2,FALSE),"")</f>
        <v/>
      </c>
      <c r="AQ443">
        <f t="shared" si="91"/>
        <v>0</v>
      </c>
      <c r="AT443" t="str">
        <f>IFERROR(VLOOKUP(AS443,tbFactorMes,2,FALSE),"")</f>
        <v/>
      </c>
      <c r="AU443">
        <f t="shared" si="92"/>
        <v>0</v>
      </c>
      <c r="AX443" t="str">
        <f>IFERROR(VLOOKUP(AW443,tbFactorMes,2,FALSE),"")</f>
        <v/>
      </c>
      <c r="AY443">
        <f t="shared" si="93"/>
        <v>0</v>
      </c>
      <c r="BB443" t="str">
        <f>IFERROR(VLOOKUP(BA443,tbFactorMes,2,FALSE),"")</f>
        <v/>
      </c>
      <c r="BC443">
        <f t="shared" si="94"/>
        <v>0</v>
      </c>
      <c r="BF443" t="str">
        <f>IFERROR(VLOOKUP(BE443,tbFactorMes,2,FALSE),"")</f>
        <v/>
      </c>
      <c r="BG443">
        <f t="shared" si="95"/>
        <v>0</v>
      </c>
      <c r="BH443">
        <f t="shared" si="96"/>
        <v>0</v>
      </c>
      <c r="BI443">
        <f t="shared" si="97"/>
        <v>0</v>
      </c>
    </row>
    <row r="444" spans="11:61" x14ac:dyDescent="0.35">
      <c r="K444" t="str">
        <f>IFERROR(VLOOKUP(F444,tbTurnos,3,FALSE),"")</f>
        <v/>
      </c>
      <c r="N444" t="str">
        <f>IFERROR(VLOOKUP(M444,tbFactorMes,2,FALSE),"")</f>
        <v/>
      </c>
      <c r="O444">
        <f t="shared" si="84"/>
        <v>0</v>
      </c>
      <c r="R444" t="str">
        <f>IFERROR(VLOOKUP(Q444,tbFactorMes,2,FALSE),"")</f>
        <v/>
      </c>
      <c r="S444">
        <f t="shared" si="85"/>
        <v>0</v>
      </c>
      <c r="V444" t="str">
        <f>IFERROR(VLOOKUP(U444,tbFactorMes,2,FALSE),"")</f>
        <v/>
      </c>
      <c r="W444">
        <f t="shared" si="86"/>
        <v>0</v>
      </c>
      <c r="Z444" t="str">
        <f>IFERROR(VLOOKUP(Y444,tbFactorMes,2,FALSE),"")</f>
        <v/>
      </c>
      <c r="AA444">
        <f t="shared" si="87"/>
        <v>0</v>
      </c>
      <c r="AD444" t="str">
        <f>IFERROR(VLOOKUP(AC444,tbFactorMes,2,FALSE),"")</f>
        <v/>
      </c>
      <c r="AE444">
        <f t="shared" si="88"/>
        <v>0</v>
      </c>
      <c r="AH444" t="str">
        <f>IFERROR(VLOOKUP(AG444,tbFactorMes,2,FALSE),"")</f>
        <v/>
      </c>
      <c r="AI444">
        <f t="shared" si="89"/>
        <v>0</v>
      </c>
      <c r="AL444" t="str">
        <f>IFERROR(VLOOKUP(AK444,tbFactorMes,2,FALSE),"")</f>
        <v/>
      </c>
      <c r="AM444">
        <f t="shared" si="90"/>
        <v>0</v>
      </c>
      <c r="AP444" t="str">
        <f>IFERROR(VLOOKUP(AO444,tbFactorMes,2,FALSE),"")</f>
        <v/>
      </c>
      <c r="AQ444">
        <f t="shared" si="91"/>
        <v>0</v>
      </c>
      <c r="AT444" t="str">
        <f>IFERROR(VLOOKUP(AS444,tbFactorMes,2,FALSE),"")</f>
        <v/>
      </c>
      <c r="AU444">
        <f t="shared" si="92"/>
        <v>0</v>
      </c>
      <c r="AX444" t="str">
        <f>IFERROR(VLOOKUP(AW444,tbFactorMes,2,FALSE),"")</f>
        <v/>
      </c>
      <c r="AY444">
        <f t="shared" si="93"/>
        <v>0</v>
      </c>
      <c r="BB444" t="str">
        <f>IFERROR(VLOOKUP(BA444,tbFactorMes,2,FALSE),"")</f>
        <v/>
      </c>
      <c r="BC444">
        <f t="shared" si="94"/>
        <v>0</v>
      </c>
      <c r="BF444" t="str">
        <f>IFERROR(VLOOKUP(BE444,tbFactorMes,2,FALSE),"")</f>
        <v/>
      </c>
      <c r="BG444">
        <f t="shared" si="95"/>
        <v>0</v>
      </c>
      <c r="BH444">
        <f t="shared" si="96"/>
        <v>0</v>
      </c>
      <c r="BI444">
        <f t="shared" si="97"/>
        <v>0</v>
      </c>
    </row>
    <row r="445" spans="11:61" x14ac:dyDescent="0.35">
      <c r="K445" t="str">
        <f>IFERROR(VLOOKUP(F445,tbTurnos,3,FALSE),"")</f>
        <v/>
      </c>
      <c r="N445" t="str">
        <f>IFERROR(VLOOKUP(M445,tbFactorMes,2,FALSE),"")</f>
        <v/>
      </c>
      <c r="O445">
        <f t="shared" si="84"/>
        <v>0</v>
      </c>
      <c r="R445" t="str">
        <f>IFERROR(VLOOKUP(Q445,tbFactorMes,2,FALSE),"")</f>
        <v/>
      </c>
      <c r="S445">
        <f t="shared" si="85"/>
        <v>0</v>
      </c>
      <c r="V445" t="str">
        <f>IFERROR(VLOOKUP(U445,tbFactorMes,2,FALSE),"")</f>
        <v/>
      </c>
      <c r="W445">
        <f t="shared" si="86"/>
        <v>0</v>
      </c>
      <c r="Z445" t="str">
        <f>IFERROR(VLOOKUP(Y445,tbFactorMes,2,FALSE),"")</f>
        <v/>
      </c>
      <c r="AA445">
        <f t="shared" si="87"/>
        <v>0</v>
      </c>
      <c r="AD445" t="str">
        <f>IFERROR(VLOOKUP(AC445,tbFactorMes,2,FALSE),"")</f>
        <v/>
      </c>
      <c r="AE445">
        <f t="shared" si="88"/>
        <v>0</v>
      </c>
      <c r="AH445" t="str">
        <f>IFERROR(VLOOKUP(AG445,tbFactorMes,2,FALSE),"")</f>
        <v/>
      </c>
      <c r="AI445">
        <f t="shared" si="89"/>
        <v>0</v>
      </c>
      <c r="AL445" t="str">
        <f>IFERROR(VLOOKUP(AK445,tbFactorMes,2,FALSE),"")</f>
        <v/>
      </c>
      <c r="AM445">
        <f t="shared" si="90"/>
        <v>0</v>
      </c>
      <c r="AP445" t="str">
        <f>IFERROR(VLOOKUP(AO445,tbFactorMes,2,FALSE),"")</f>
        <v/>
      </c>
      <c r="AQ445">
        <f t="shared" si="91"/>
        <v>0</v>
      </c>
      <c r="AT445" t="str">
        <f>IFERROR(VLOOKUP(AS445,tbFactorMes,2,FALSE),"")</f>
        <v/>
      </c>
      <c r="AU445">
        <f t="shared" si="92"/>
        <v>0</v>
      </c>
      <c r="AX445" t="str">
        <f>IFERROR(VLOOKUP(AW445,tbFactorMes,2,FALSE),"")</f>
        <v/>
      </c>
      <c r="AY445">
        <f t="shared" si="93"/>
        <v>0</v>
      </c>
      <c r="BB445" t="str">
        <f>IFERROR(VLOOKUP(BA445,tbFactorMes,2,FALSE),"")</f>
        <v/>
      </c>
      <c r="BC445">
        <f t="shared" si="94"/>
        <v>0</v>
      </c>
      <c r="BF445" t="str">
        <f>IFERROR(VLOOKUP(BE445,tbFactorMes,2,FALSE),"")</f>
        <v/>
      </c>
      <c r="BG445">
        <f t="shared" si="95"/>
        <v>0</v>
      </c>
      <c r="BH445">
        <f t="shared" si="96"/>
        <v>0</v>
      </c>
      <c r="BI445">
        <f t="shared" si="97"/>
        <v>0</v>
      </c>
    </row>
    <row r="446" spans="11:61" x14ac:dyDescent="0.35">
      <c r="K446" t="str">
        <f>IFERROR(VLOOKUP(F446,tbTurnos,3,FALSE),"")</f>
        <v/>
      </c>
      <c r="N446" t="str">
        <f>IFERROR(VLOOKUP(M446,tbFactorMes,2,FALSE),"")</f>
        <v/>
      </c>
      <c r="O446">
        <f t="shared" si="84"/>
        <v>0</v>
      </c>
      <c r="R446" t="str">
        <f>IFERROR(VLOOKUP(Q446,tbFactorMes,2,FALSE),"")</f>
        <v/>
      </c>
      <c r="S446">
        <f t="shared" si="85"/>
        <v>0</v>
      </c>
      <c r="V446" t="str">
        <f>IFERROR(VLOOKUP(U446,tbFactorMes,2,FALSE),"")</f>
        <v/>
      </c>
      <c r="W446">
        <f t="shared" si="86"/>
        <v>0</v>
      </c>
      <c r="Z446" t="str">
        <f>IFERROR(VLOOKUP(Y446,tbFactorMes,2,FALSE),"")</f>
        <v/>
      </c>
      <c r="AA446">
        <f t="shared" si="87"/>
        <v>0</v>
      </c>
      <c r="AD446" t="str">
        <f>IFERROR(VLOOKUP(AC446,tbFactorMes,2,FALSE),"")</f>
        <v/>
      </c>
      <c r="AE446">
        <f t="shared" si="88"/>
        <v>0</v>
      </c>
      <c r="AH446" t="str">
        <f>IFERROR(VLOOKUP(AG446,tbFactorMes,2,FALSE),"")</f>
        <v/>
      </c>
      <c r="AI446">
        <f t="shared" si="89"/>
        <v>0</v>
      </c>
      <c r="AL446" t="str">
        <f>IFERROR(VLOOKUP(AK446,tbFactorMes,2,FALSE),"")</f>
        <v/>
      </c>
      <c r="AM446">
        <f t="shared" si="90"/>
        <v>0</v>
      </c>
      <c r="AP446" t="str">
        <f>IFERROR(VLOOKUP(AO446,tbFactorMes,2,FALSE),"")</f>
        <v/>
      </c>
      <c r="AQ446">
        <f t="shared" si="91"/>
        <v>0</v>
      </c>
      <c r="AT446" t="str">
        <f>IFERROR(VLOOKUP(AS446,tbFactorMes,2,FALSE),"")</f>
        <v/>
      </c>
      <c r="AU446">
        <f t="shared" si="92"/>
        <v>0</v>
      </c>
      <c r="AX446" t="str">
        <f>IFERROR(VLOOKUP(AW446,tbFactorMes,2,FALSE),"")</f>
        <v/>
      </c>
      <c r="AY446">
        <f t="shared" si="93"/>
        <v>0</v>
      </c>
      <c r="BB446" t="str">
        <f>IFERROR(VLOOKUP(BA446,tbFactorMes,2,FALSE),"")</f>
        <v/>
      </c>
      <c r="BC446">
        <f t="shared" si="94"/>
        <v>0</v>
      </c>
      <c r="BF446" t="str">
        <f>IFERROR(VLOOKUP(BE446,tbFactorMes,2,FALSE),"")</f>
        <v/>
      </c>
      <c r="BG446">
        <f t="shared" si="95"/>
        <v>0</v>
      </c>
      <c r="BH446">
        <f t="shared" si="96"/>
        <v>0</v>
      </c>
      <c r="BI446">
        <f t="shared" si="97"/>
        <v>0</v>
      </c>
    </row>
    <row r="447" spans="11:61" x14ac:dyDescent="0.35">
      <c r="K447" t="str">
        <f>IFERROR(VLOOKUP(F447,tbTurnos,3,FALSE),"")</f>
        <v/>
      </c>
      <c r="N447" t="str">
        <f>IFERROR(VLOOKUP(M447,tbFactorMes,2,FALSE),"")</f>
        <v/>
      </c>
      <c r="O447">
        <f t="shared" si="84"/>
        <v>0</v>
      </c>
      <c r="R447" t="str">
        <f>IFERROR(VLOOKUP(Q447,tbFactorMes,2,FALSE),"")</f>
        <v/>
      </c>
      <c r="S447">
        <f t="shared" si="85"/>
        <v>0</v>
      </c>
      <c r="V447" t="str">
        <f>IFERROR(VLOOKUP(U447,tbFactorMes,2,FALSE),"")</f>
        <v/>
      </c>
      <c r="W447">
        <f t="shared" si="86"/>
        <v>0</v>
      </c>
      <c r="Z447" t="str">
        <f>IFERROR(VLOOKUP(Y447,tbFactorMes,2,FALSE),"")</f>
        <v/>
      </c>
      <c r="AA447">
        <f t="shared" si="87"/>
        <v>0</v>
      </c>
      <c r="AD447" t="str">
        <f>IFERROR(VLOOKUP(AC447,tbFactorMes,2,FALSE),"")</f>
        <v/>
      </c>
      <c r="AE447">
        <f t="shared" si="88"/>
        <v>0</v>
      </c>
      <c r="AH447" t="str">
        <f>IFERROR(VLOOKUP(AG447,tbFactorMes,2,FALSE),"")</f>
        <v/>
      </c>
      <c r="AI447">
        <f t="shared" si="89"/>
        <v>0</v>
      </c>
      <c r="AL447" t="str">
        <f>IFERROR(VLOOKUP(AK447,tbFactorMes,2,FALSE),"")</f>
        <v/>
      </c>
      <c r="AM447">
        <f t="shared" si="90"/>
        <v>0</v>
      </c>
      <c r="AP447" t="str">
        <f>IFERROR(VLOOKUP(AO447,tbFactorMes,2,FALSE),"")</f>
        <v/>
      </c>
      <c r="AQ447">
        <f t="shared" si="91"/>
        <v>0</v>
      </c>
      <c r="AT447" t="str">
        <f>IFERROR(VLOOKUP(AS447,tbFactorMes,2,FALSE),"")</f>
        <v/>
      </c>
      <c r="AU447">
        <f t="shared" si="92"/>
        <v>0</v>
      </c>
      <c r="AX447" t="str">
        <f>IFERROR(VLOOKUP(AW447,tbFactorMes,2,FALSE),"")</f>
        <v/>
      </c>
      <c r="AY447">
        <f t="shared" si="93"/>
        <v>0</v>
      </c>
      <c r="BB447" t="str">
        <f>IFERROR(VLOOKUP(BA447,tbFactorMes,2,FALSE),"")</f>
        <v/>
      </c>
      <c r="BC447">
        <f t="shared" si="94"/>
        <v>0</v>
      </c>
      <c r="BF447" t="str">
        <f>IFERROR(VLOOKUP(BE447,tbFactorMes,2,FALSE),"")</f>
        <v/>
      </c>
      <c r="BG447">
        <f t="shared" si="95"/>
        <v>0</v>
      </c>
      <c r="BH447">
        <f t="shared" si="96"/>
        <v>0</v>
      </c>
      <c r="BI447">
        <f t="shared" si="97"/>
        <v>0</v>
      </c>
    </row>
    <row r="448" spans="11:61" x14ac:dyDescent="0.35">
      <c r="K448" t="str">
        <f>IFERROR(VLOOKUP(F448,tbTurnos,3,FALSE),"")</f>
        <v/>
      </c>
      <c r="N448" t="str">
        <f>IFERROR(VLOOKUP(M448,tbFactorMes,2,FALSE),"")</f>
        <v/>
      </c>
      <c r="O448">
        <f t="shared" si="84"/>
        <v>0</v>
      </c>
      <c r="R448" t="str">
        <f>IFERROR(VLOOKUP(Q448,tbFactorMes,2,FALSE),"")</f>
        <v/>
      </c>
      <c r="S448">
        <f t="shared" si="85"/>
        <v>0</v>
      </c>
      <c r="V448" t="str">
        <f>IFERROR(VLOOKUP(U448,tbFactorMes,2,FALSE),"")</f>
        <v/>
      </c>
      <c r="W448">
        <f t="shared" si="86"/>
        <v>0</v>
      </c>
      <c r="Z448" t="str">
        <f>IFERROR(VLOOKUP(Y448,tbFactorMes,2,FALSE),"")</f>
        <v/>
      </c>
      <c r="AA448">
        <f t="shared" si="87"/>
        <v>0</v>
      </c>
      <c r="AD448" t="str">
        <f>IFERROR(VLOOKUP(AC448,tbFactorMes,2,FALSE),"")</f>
        <v/>
      </c>
      <c r="AE448">
        <f t="shared" si="88"/>
        <v>0</v>
      </c>
      <c r="AH448" t="str">
        <f>IFERROR(VLOOKUP(AG448,tbFactorMes,2,FALSE),"")</f>
        <v/>
      </c>
      <c r="AI448">
        <f t="shared" si="89"/>
        <v>0</v>
      </c>
      <c r="AL448" t="str">
        <f>IFERROR(VLOOKUP(AK448,tbFactorMes,2,FALSE),"")</f>
        <v/>
      </c>
      <c r="AM448">
        <f t="shared" si="90"/>
        <v>0</v>
      </c>
      <c r="AP448" t="str">
        <f>IFERROR(VLOOKUP(AO448,tbFactorMes,2,FALSE),"")</f>
        <v/>
      </c>
      <c r="AQ448">
        <f t="shared" si="91"/>
        <v>0</v>
      </c>
      <c r="AT448" t="str">
        <f>IFERROR(VLOOKUP(AS448,tbFactorMes,2,FALSE),"")</f>
        <v/>
      </c>
      <c r="AU448">
        <f t="shared" si="92"/>
        <v>0</v>
      </c>
      <c r="AX448" t="str">
        <f>IFERROR(VLOOKUP(AW448,tbFactorMes,2,FALSE),"")</f>
        <v/>
      </c>
      <c r="AY448">
        <f t="shared" si="93"/>
        <v>0</v>
      </c>
      <c r="BB448" t="str">
        <f>IFERROR(VLOOKUP(BA448,tbFactorMes,2,FALSE),"")</f>
        <v/>
      </c>
      <c r="BC448">
        <f t="shared" si="94"/>
        <v>0</v>
      </c>
      <c r="BF448" t="str">
        <f>IFERROR(VLOOKUP(BE448,tbFactorMes,2,FALSE),"")</f>
        <v/>
      </c>
      <c r="BG448">
        <f t="shared" si="95"/>
        <v>0</v>
      </c>
      <c r="BH448">
        <f t="shared" si="96"/>
        <v>0</v>
      </c>
      <c r="BI448">
        <f t="shared" si="97"/>
        <v>0</v>
      </c>
    </row>
    <row r="449" spans="11:61" x14ac:dyDescent="0.35">
      <c r="K449" t="str">
        <f>IFERROR(VLOOKUP(F449,tbTurnos,3,FALSE),"")</f>
        <v/>
      </c>
      <c r="N449" t="str">
        <f>IFERROR(VLOOKUP(M449,tbFactorMes,2,FALSE),"")</f>
        <v/>
      </c>
      <c r="O449">
        <f t="shared" si="84"/>
        <v>0</v>
      </c>
      <c r="R449" t="str">
        <f>IFERROR(VLOOKUP(Q449,tbFactorMes,2,FALSE),"")</f>
        <v/>
      </c>
      <c r="S449">
        <f t="shared" si="85"/>
        <v>0</v>
      </c>
      <c r="V449" t="str">
        <f>IFERROR(VLOOKUP(U449,tbFactorMes,2,FALSE),"")</f>
        <v/>
      </c>
      <c r="W449">
        <f t="shared" si="86"/>
        <v>0</v>
      </c>
      <c r="Z449" t="str">
        <f>IFERROR(VLOOKUP(Y449,tbFactorMes,2,FALSE),"")</f>
        <v/>
      </c>
      <c r="AA449">
        <f t="shared" si="87"/>
        <v>0</v>
      </c>
      <c r="AD449" t="str">
        <f>IFERROR(VLOOKUP(AC449,tbFactorMes,2,FALSE),"")</f>
        <v/>
      </c>
      <c r="AE449">
        <f t="shared" si="88"/>
        <v>0</v>
      </c>
      <c r="AH449" t="str">
        <f>IFERROR(VLOOKUP(AG449,tbFactorMes,2,FALSE),"")</f>
        <v/>
      </c>
      <c r="AI449">
        <f t="shared" si="89"/>
        <v>0</v>
      </c>
      <c r="AL449" t="str">
        <f>IFERROR(VLOOKUP(AK449,tbFactorMes,2,FALSE),"")</f>
        <v/>
      </c>
      <c r="AM449">
        <f t="shared" si="90"/>
        <v>0</v>
      </c>
      <c r="AP449" t="str">
        <f>IFERROR(VLOOKUP(AO449,tbFactorMes,2,FALSE),"")</f>
        <v/>
      </c>
      <c r="AQ449">
        <f t="shared" si="91"/>
        <v>0</v>
      </c>
      <c r="AT449" t="str">
        <f>IFERROR(VLOOKUP(AS449,tbFactorMes,2,FALSE),"")</f>
        <v/>
      </c>
      <c r="AU449">
        <f t="shared" si="92"/>
        <v>0</v>
      </c>
      <c r="AX449" t="str">
        <f>IFERROR(VLOOKUP(AW449,tbFactorMes,2,FALSE),"")</f>
        <v/>
      </c>
      <c r="AY449">
        <f t="shared" si="93"/>
        <v>0</v>
      </c>
      <c r="BB449" t="str">
        <f>IFERROR(VLOOKUP(BA449,tbFactorMes,2,FALSE),"")</f>
        <v/>
      </c>
      <c r="BC449">
        <f t="shared" si="94"/>
        <v>0</v>
      </c>
      <c r="BF449" t="str">
        <f>IFERROR(VLOOKUP(BE449,tbFactorMes,2,FALSE),"")</f>
        <v/>
      </c>
      <c r="BG449">
        <f t="shared" si="95"/>
        <v>0</v>
      </c>
      <c r="BH449">
        <f t="shared" si="96"/>
        <v>0</v>
      </c>
      <c r="BI449">
        <f t="shared" si="97"/>
        <v>0</v>
      </c>
    </row>
    <row r="450" spans="11:61" x14ac:dyDescent="0.35">
      <c r="K450" t="str">
        <f>IFERROR(VLOOKUP(F450,tbTurnos,3,FALSE),"")</f>
        <v/>
      </c>
      <c r="N450" t="str">
        <f>IFERROR(VLOOKUP(M450,tbFactorMes,2,FALSE),"")</f>
        <v/>
      </c>
      <c r="O450">
        <f t="shared" ref="O450:O513" si="98">IFERROR((L450*$K450)/N450,0)*$J450</f>
        <v>0</v>
      </c>
      <c r="R450" t="str">
        <f>IFERROR(VLOOKUP(Q450,tbFactorMes,2,FALSE),"")</f>
        <v/>
      </c>
      <c r="S450">
        <f t="shared" ref="S450:S513" si="99">IFERROR((P450*$K450)/R450,0)*$J450</f>
        <v>0</v>
      </c>
      <c r="V450" t="str">
        <f>IFERROR(VLOOKUP(U450,tbFactorMes,2,FALSE),"")</f>
        <v/>
      </c>
      <c r="W450">
        <f t="shared" ref="W450:W513" si="100">IFERROR((T450*$K450)/V450,0)*$J450</f>
        <v>0</v>
      </c>
      <c r="Z450" t="str">
        <f>IFERROR(VLOOKUP(Y450,tbFactorMes,2,FALSE),"")</f>
        <v/>
      </c>
      <c r="AA450">
        <f t="shared" ref="AA450:AA513" si="101">IFERROR((X450*$K450)/Z450,0)*$J450</f>
        <v>0</v>
      </c>
      <c r="AD450" t="str">
        <f>IFERROR(VLOOKUP(AC450,tbFactorMes,2,FALSE),"")</f>
        <v/>
      </c>
      <c r="AE450">
        <f t="shared" ref="AE450:AE513" si="102">IFERROR((AB450*$K450)/AD450,0)*$J450</f>
        <v>0</v>
      </c>
      <c r="AH450" t="str">
        <f>IFERROR(VLOOKUP(AG450,tbFactorMes,2,FALSE),"")</f>
        <v/>
      </c>
      <c r="AI450">
        <f t="shared" ref="AI450:AI513" si="103">IFERROR((AF450*$K450)/AH450,0)*$J450</f>
        <v>0</v>
      </c>
      <c r="AL450" t="str">
        <f>IFERROR(VLOOKUP(AK450,tbFactorMes,2,FALSE),"")</f>
        <v/>
      </c>
      <c r="AM450">
        <f t="shared" ref="AM450:AM513" si="104">IFERROR((AJ450*$K450)/AL450,0)*$J450</f>
        <v>0</v>
      </c>
      <c r="AP450" t="str">
        <f>IFERROR(VLOOKUP(AO450,tbFactorMes,2,FALSE),"")</f>
        <v/>
      </c>
      <c r="AQ450">
        <f t="shared" ref="AQ450:AQ513" si="105">IFERROR((AN450*$K450)/AP450,0)*$J450</f>
        <v>0</v>
      </c>
      <c r="AT450" t="str">
        <f>IFERROR(VLOOKUP(AS450,tbFactorMes,2,FALSE),"")</f>
        <v/>
      </c>
      <c r="AU450">
        <f t="shared" ref="AU450:AU513" si="106">IFERROR((AR450*$K450)/AT450,0)*$J450</f>
        <v>0</v>
      </c>
      <c r="AX450" t="str">
        <f>IFERROR(VLOOKUP(AW450,tbFactorMes,2,FALSE),"")</f>
        <v/>
      </c>
      <c r="AY450">
        <f t="shared" ref="AY450:AY513" si="107">IFERROR((AV450*$K450)/AX450,0)*$J450</f>
        <v>0</v>
      </c>
      <c r="BB450" t="str">
        <f>IFERROR(VLOOKUP(BA450,tbFactorMes,2,FALSE),"")</f>
        <v/>
      </c>
      <c r="BC450">
        <f t="shared" ref="BC450:BC513" si="108">IFERROR((AZ450*$K450)/BB450,0)*$J450</f>
        <v>0</v>
      </c>
      <c r="BF450" t="str">
        <f>IFERROR(VLOOKUP(BE450,tbFactorMes,2,FALSE),"")</f>
        <v/>
      </c>
      <c r="BG450">
        <f t="shared" ref="BG450:BG513" si="109">IFERROR((BD450*$K450)/BF450,0)*$J450</f>
        <v>0</v>
      </c>
      <c r="BH450">
        <f t="shared" ref="BH450:BH513" si="110">IFERROR(SUM(O450,S450,W450,AA450,AE450,AI450,AM450,AQ450,AU450,AY450,BC450,BG450),0)</f>
        <v>0</v>
      </c>
      <c r="BI450">
        <f t="shared" ref="BI450:BI513" si="111">IFERROR(BH450*(1-$I450),0)</f>
        <v>0</v>
      </c>
    </row>
    <row r="451" spans="11:61" x14ac:dyDescent="0.35">
      <c r="K451" t="str">
        <f>IFERROR(VLOOKUP(F451,tbTurnos,3,FALSE),"")</f>
        <v/>
      </c>
      <c r="N451" t="str">
        <f>IFERROR(VLOOKUP(M451,tbFactorMes,2,FALSE),"")</f>
        <v/>
      </c>
      <c r="O451">
        <f t="shared" si="98"/>
        <v>0</v>
      </c>
      <c r="R451" t="str">
        <f>IFERROR(VLOOKUP(Q451,tbFactorMes,2,FALSE),"")</f>
        <v/>
      </c>
      <c r="S451">
        <f t="shared" si="99"/>
        <v>0</v>
      </c>
      <c r="V451" t="str">
        <f>IFERROR(VLOOKUP(U451,tbFactorMes,2,FALSE),"")</f>
        <v/>
      </c>
      <c r="W451">
        <f t="shared" si="100"/>
        <v>0</v>
      </c>
      <c r="Z451" t="str">
        <f>IFERROR(VLOOKUP(Y451,tbFactorMes,2,FALSE),"")</f>
        <v/>
      </c>
      <c r="AA451">
        <f t="shared" si="101"/>
        <v>0</v>
      </c>
      <c r="AD451" t="str">
        <f>IFERROR(VLOOKUP(AC451,tbFactorMes,2,FALSE),"")</f>
        <v/>
      </c>
      <c r="AE451">
        <f t="shared" si="102"/>
        <v>0</v>
      </c>
      <c r="AH451" t="str">
        <f>IFERROR(VLOOKUP(AG451,tbFactorMes,2,FALSE),"")</f>
        <v/>
      </c>
      <c r="AI451">
        <f t="shared" si="103"/>
        <v>0</v>
      </c>
      <c r="AL451" t="str">
        <f>IFERROR(VLOOKUP(AK451,tbFactorMes,2,FALSE),"")</f>
        <v/>
      </c>
      <c r="AM451">
        <f t="shared" si="104"/>
        <v>0</v>
      </c>
      <c r="AP451" t="str">
        <f>IFERROR(VLOOKUP(AO451,tbFactorMes,2,FALSE),"")</f>
        <v/>
      </c>
      <c r="AQ451">
        <f t="shared" si="105"/>
        <v>0</v>
      </c>
      <c r="AT451" t="str">
        <f>IFERROR(VLOOKUP(AS451,tbFactorMes,2,FALSE),"")</f>
        <v/>
      </c>
      <c r="AU451">
        <f t="shared" si="106"/>
        <v>0</v>
      </c>
      <c r="AX451" t="str">
        <f>IFERROR(VLOOKUP(AW451,tbFactorMes,2,FALSE),"")</f>
        <v/>
      </c>
      <c r="AY451">
        <f t="shared" si="107"/>
        <v>0</v>
      </c>
      <c r="BB451" t="str">
        <f>IFERROR(VLOOKUP(BA451,tbFactorMes,2,FALSE),"")</f>
        <v/>
      </c>
      <c r="BC451">
        <f t="shared" si="108"/>
        <v>0</v>
      </c>
      <c r="BF451" t="str">
        <f>IFERROR(VLOOKUP(BE451,tbFactorMes,2,FALSE),"")</f>
        <v/>
      </c>
      <c r="BG451">
        <f t="shared" si="109"/>
        <v>0</v>
      </c>
      <c r="BH451">
        <f t="shared" si="110"/>
        <v>0</v>
      </c>
      <c r="BI451">
        <f t="shared" si="111"/>
        <v>0</v>
      </c>
    </row>
    <row r="452" spans="11:61" x14ac:dyDescent="0.35">
      <c r="K452" t="str">
        <f>IFERROR(VLOOKUP(F452,tbTurnos,3,FALSE),"")</f>
        <v/>
      </c>
      <c r="N452" t="str">
        <f>IFERROR(VLOOKUP(M452,tbFactorMes,2,FALSE),"")</f>
        <v/>
      </c>
      <c r="O452">
        <f t="shared" si="98"/>
        <v>0</v>
      </c>
      <c r="R452" t="str">
        <f>IFERROR(VLOOKUP(Q452,tbFactorMes,2,FALSE),"")</f>
        <v/>
      </c>
      <c r="S452">
        <f t="shared" si="99"/>
        <v>0</v>
      </c>
      <c r="V452" t="str">
        <f>IFERROR(VLOOKUP(U452,tbFactorMes,2,FALSE),"")</f>
        <v/>
      </c>
      <c r="W452">
        <f t="shared" si="100"/>
        <v>0</v>
      </c>
      <c r="Z452" t="str">
        <f>IFERROR(VLOOKUP(Y452,tbFactorMes,2,FALSE),"")</f>
        <v/>
      </c>
      <c r="AA452">
        <f t="shared" si="101"/>
        <v>0</v>
      </c>
      <c r="AD452" t="str">
        <f>IFERROR(VLOOKUP(AC452,tbFactorMes,2,FALSE),"")</f>
        <v/>
      </c>
      <c r="AE452">
        <f t="shared" si="102"/>
        <v>0</v>
      </c>
      <c r="AH452" t="str">
        <f>IFERROR(VLOOKUP(AG452,tbFactorMes,2,FALSE),"")</f>
        <v/>
      </c>
      <c r="AI452">
        <f t="shared" si="103"/>
        <v>0</v>
      </c>
      <c r="AL452" t="str">
        <f>IFERROR(VLOOKUP(AK452,tbFactorMes,2,FALSE),"")</f>
        <v/>
      </c>
      <c r="AM452">
        <f t="shared" si="104"/>
        <v>0</v>
      </c>
      <c r="AP452" t="str">
        <f>IFERROR(VLOOKUP(AO452,tbFactorMes,2,FALSE),"")</f>
        <v/>
      </c>
      <c r="AQ452">
        <f t="shared" si="105"/>
        <v>0</v>
      </c>
      <c r="AT452" t="str">
        <f>IFERROR(VLOOKUP(AS452,tbFactorMes,2,FALSE),"")</f>
        <v/>
      </c>
      <c r="AU452">
        <f t="shared" si="106"/>
        <v>0</v>
      </c>
      <c r="AX452" t="str">
        <f>IFERROR(VLOOKUP(AW452,tbFactorMes,2,FALSE),"")</f>
        <v/>
      </c>
      <c r="AY452">
        <f t="shared" si="107"/>
        <v>0</v>
      </c>
      <c r="BB452" t="str">
        <f>IFERROR(VLOOKUP(BA452,tbFactorMes,2,FALSE),"")</f>
        <v/>
      </c>
      <c r="BC452">
        <f t="shared" si="108"/>
        <v>0</v>
      </c>
      <c r="BF452" t="str">
        <f>IFERROR(VLOOKUP(BE452,tbFactorMes,2,FALSE),"")</f>
        <v/>
      </c>
      <c r="BG452">
        <f t="shared" si="109"/>
        <v>0</v>
      </c>
      <c r="BH452">
        <f t="shared" si="110"/>
        <v>0</v>
      </c>
      <c r="BI452">
        <f t="shared" si="111"/>
        <v>0</v>
      </c>
    </row>
    <row r="453" spans="11:61" x14ac:dyDescent="0.35">
      <c r="K453" t="str">
        <f>IFERROR(VLOOKUP(F453,tbTurnos,3,FALSE),"")</f>
        <v/>
      </c>
      <c r="N453" t="str">
        <f>IFERROR(VLOOKUP(M453,tbFactorMes,2,FALSE),"")</f>
        <v/>
      </c>
      <c r="O453">
        <f t="shared" si="98"/>
        <v>0</v>
      </c>
      <c r="R453" t="str">
        <f>IFERROR(VLOOKUP(Q453,tbFactorMes,2,FALSE),"")</f>
        <v/>
      </c>
      <c r="S453">
        <f t="shared" si="99"/>
        <v>0</v>
      </c>
      <c r="V453" t="str">
        <f>IFERROR(VLOOKUP(U453,tbFactorMes,2,FALSE),"")</f>
        <v/>
      </c>
      <c r="W453">
        <f t="shared" si="100"/>
        <v>0</v>
      </c>
      <c r="Z453" t="str">
        <f>IFERROR(VLOOKUP(Y453,tbFactorMes,2,FALSE),"")</f>
        <v/>
      </c>
      <c r="AA453">
        <f t="shared" si="101"/>
        <v>0</v>
      </c>
      <c r="AD453" t="str">
        <f>IFERROR(VLOOKUP(AC453,tbFactorMes,2,FALSE),"")</f>
        <v/>
      </c>
      <c r="AE453">
        <f t="shared" si="102"/>
        <v>0</v>
      </c>
      <c r="AH453" t="str">
        <f>IFERROR(VLOOKUP(AG453,tbFactorMes,2,FALSE),"")</f>
        <v/>
      </c>
      <c r="AI453">
        <f t="shared" si="103"/>
        <v>0</v>
      </c>
      <c r="AL453" t="str">
        <f>IFERROR(VLOOKUP(AK453,tbFactorMes,2,FALSE),"")</f>
        <v/>
      </c>
      <c r="AM453">
        <f t="shared" si="104"/>
        <v>0</v>
      </c>
      <c r="AP453" t="str">
        <f>IFERROR(VLOOKUP(AO453,tbFactorMes,2,FALSE),"")</f>
        <v/>
      </c>
      <c r="AQ453">
        <f t="shared" si="105"/>
        <v>0</v>
      </c>
      <c r="AT453" t="str">
        <f>IFERROR(VLOOKUP(AS453,tbFactorMes,2,FALSE),"")</f>
        <v/>
      </c>
      <c r="AU453">
        <f t="shared" si="106"/>
        <v>0</v>
      </c>
      <c r="AX453" t="str">
        <f>IFERROR(VLOOKUP(AW453,tbFactorMes,2,FALSE),"")</f>
        <v/>
      </c>
      <c r="AY453">
        <f t="shared" si="107"/>
        <v>0</v>
      </c>
      <c r="BB453" t="str">
        <f>IFERROR(VLOOKUP(BA453,tbFactorMes,2,FALSE),"")</f>
        <v/>
      </c>
      <c r="BC453">
        <f t="shared" si="108"/>
        <v>0</v>
      </c>
      <c r="BF453" t="str">
        <f>IFERROR(VLOOKUP(BE453,tbFactorMes,2,FALSE),"")</f>
        <v/>
      </c>
      <c r="BG453">
        <f t="shared" si="109"/>
        <v>0</v>
      </c>
      <c r="BH453">
        <f t="shared" si="110"/>
        <v>0</v>
      </c>
      <c r="BI453">
        <f t="shared" si="111"/>
        <v>0</v>
      </c>
    </row>
    <row r="454" spans="11:61" x14ac:dyDescent="0.35">
      <c r="K454" t="str">
        <f>IFERROR(VLOOKUP(F454,tbTurnos,3,FALSE),"")</f>
        <v/>
      </c>
      <c r="N454" t="str">
        <f>IFERROR(VLOOKUP(M454,tbFactorMes,2,FALSE),"")</f>
        <v/>
      </c>
      <c r="O454">
        <f t="shared" si="98"/>
        <v>0</v>
      </c>
      <c r="R454" t="str">
        <f>IFERROR(VLOOKUP(Q454,tbFactorMes,2,FALSE),"")</f>
        <v/>
      </c>
      <c r="S454">
        <f t="shared" si="99"/>
        <v>0</v>
      </c>
      <c r="V454" t="str">
        <f>IFERROR(VLOOKUP(U454,tbFactorMes,2,FALSE),"")</f>
        <v/>
      </c>
      <c r="W454">
        <f t="shared" si="100"/>
        <v>0</v>
      </c>
      <c r="Z454" t="str">
        <f>IFERROR(VLOOKUP(Y454,tbFactorMes,2,FALSE),"")</f>
        <v/>
      </c>
      <c r="AA454">
        <f t="shared" si="101"/>
        <v>0</v>
      </c>
      <c r="AD454" t="str">
        <f>IFERROR(VLOOKUP(AC454,tbFactorMes,2,FALSE),"")</f>
        <v/>
      </c>
      <c r="AE454">
        <f t="shared" si="102"/>
        <v>0</v>
      </c>
      <c r="AH454" t="str">
        <f>IFERROR(VLOOKUP(AG454,tbFactorMes,2,FALSE),"")</f>
        <v/>
      </c>
      <c r="AI454">
        <f t="shared" si="103"/>
        <v>0</v>
      </c>
      <c r="AL454" t="str">
        <f>IFERROR(VLOOKUP(AK454,tbFactorMes,2,FALSE),"")</f>
        <v/>
      </c>
      <c r="AM454">
        <f t="shared" si="104"/>
        <v>0</v>
      </c>
      <c r="AP454" t="str">
        <f>IFERROR(VLOOKUP(AO454,tbFactorMes,2,FALSE),"")</f>
        <v/>
      </c>
      <c r="AQ454">
        <f t="shared" si="105"/>
        <v>0</v>
      </c>
      <c r="AT454" t="str">
        <f>IFERROR(VLOOKUP(AS454,tbFactorMes,2,FALSE),"")</f>
        <v/>
      </c>
      <c r="AU454">
        <f t="shared" si="106"/>
        <v>0</v>
      </c>
      <c r="AX454" t="str">
        <f>IFERROR(VLOOKUP(AW454,tbFactorMes,2,FALSE),"")</f>
        <v/>
      </c>
      <c r="AY454">
        <f t="shared" si="107"/>
        <v>0</v>
      </c>
      <c r="BB454" t="str">
        <f>IFERROR(VLOOKUP(BA454,tbFactorMes,2,FALSE),"")</f>
        <v/>
      </c>
      <c r="BC454">
        <f t="shared" si="108"/>
        <v>0</v>
      </c>
      <c r="BF454" t="str">
        <f>IFERROR(VLOOKUP(BE454,tbFactorMes,2,FALSE),"")</f>
        <v/>
      </c>
      <c r="BG454">
        <f t="shared" si="109"/>
        <v>0</v>
      </c>
      <c r="BH454">
        <f t="shared" si="110"/>
        <v>0</v>
      </c>
      <c r="BI454">
        <f t="shared" si="111"/>
        <v>0</v>
      </c>
    </row>
    <row r="455" spans="11:61" x14ac:dyDescent="0.35">
      <c r="K455" t="str">
        <f>IFERROR(VLOOKUP(F455,tbTurnos,3,FALSE),"")</f>
        <v/>
      </c>
      <c r="N455" t="str">
        <f>IFERROR(VLOOKUP(M455,tbFactorMes,2,FALSE),"")</f>
        <v/>
      </c>
      <c r="O455">
        <f t="shared" si="98"/>
        <v>0</v>
      </c>
      <c r="R455" t="str">
        <f>IFERROR(VLOOKUP(Q455,tbFactorMes,2,FALSE),"")</f>
        <v/>
      </c>
      <c r="S455">
        <f t="shared" si="99"/>
        <v>0</v>
      </c>
      <c r="V455" t="str">
        <f>IFERROR(VLOOKUP(U455,tbFactorMes,2,FALSE),"")</f>
        <v/>
      </c>
      <c r="W455">
        <f t="shared" si="100"/>
        <v>0</v>
      </c>
      <c r="Z455" t="str">
        <f>IFERROR(VLOOKUP(Y455,tbFactorMes,2,FALSE),"")</f>
        <v/>
      </c>
      <c r="AA455">
        <f t="shared" si="101"/>
        <v>0</v>
      </c>
      <c r="AD455" t="str">
        <f>IFERROR(VLOOKUP(AC455,tbFactorMes,2,FALSE),"")</f>
        <v/>
      </c>
      <c r="AE455">
        <f t="shared" si="102"/>
        <v>0</v>
      </c>
      <c r="AH455" t="str">
        <f>IFERROR(VLOOKUP(AG455,tbFactorMes,2,FALSE),"")</f>
        <v/>
      </c>
      <c r="AI455">
        <f t="shared" si="103"/>
        <v>0</v>
      </c>
      <c r="AL455" t="str">
        <f>IFERROR(VLOOKUP(AK455,tbFactorMes,2,FALSE),"")</f>
        <v/>
      </c>
      <c r="AM455">
        <f t="shared" si="104"/>
        <v>0</v>
      </c>
      <c r="AP455" t="str">
        <f>IFERROR(VLOOKUP(AO455,tbFactorMes,2,FALSE),"")</f>
        <v/>
      </c>
      <c r="AQ455">
        <f t="shared" si="105"/>
        <v>0</v>
      </c>
      <c r="AT455" t="str">
        <f>IFERROR(VLOOKUP(AS455,tbFactorMes,2,FALSE),"")</f>
        <v/>
      </c>
      <c r="AU455">
        <f t="shared" si="106"/>
        <v>0</v>
      </c>
      <c r="AX455" t="str">
        <f>IFERROR(VLOOKUP(AW455,tbFactorMes,2,FALSE),"")</f>
        <v/>
      </c>
      <c r="AY455">
        <f t="shared" si="107"/>
        <v>0</v>
      </c>
      <c r="BB455" t="str">
        <f>IFERROR(VLOOKUP(BA455,tbFactorMes,2,FALSE),"")</f>
        <v/>
      </c>
      <c r="BC455">
        <f t="shared" si="108"/>
        <v>0</v>
      </c>
      <c r="BF455" t="str">
        <f>IFERROR(VLOOKUP(BE455,tbFactorMes,2,FALSE),"")</f>
        <v/>
      </c>
      <c r="BG455">
        <f t="shared" si="109"/>
        <v>0</v>
      </c>
      <c r="BH455">
        <f t="shared" si="110"/>
        <v>0</v>
      </c>
      <c r="BI455">
        <f t="shared" si="111"/>
        <v>0</v>
      </c>
    </row>
    <row r="456" spans="11:61" x14ac:dyDescent="0.35">
      <c r="K456" t="str">
        <f>IFERROR(VLOOKUP(F456,tbTurnos,3,FALSE),"")</f>
        <v/>
      </c>
      <c r="N456" t="str">
        <f>IFERROR(VLOOKUP(M456,tbFactorMes,2,FALSE),"")</f>
        <v/>
      </c>
      <c r="O456">
        <f t="shared" si="98"/>
        <v>0</v>
      </c>
      <c r="R456" t="str">
        <f>IFERROR(VLOOKUP(Q456,tbFactorMes,2,FALSE),"")</f>
        <v/>
      </c>
      <c r="S456">
        <f t="shared" si="99"/>
        <v>0</v>
      </c>
      <c r="V456" t="str">
        <f>IFERROR(VLOOKUP(U456,tbFactorMes,2,FALSE),"")</f>
        <v/>
      </c>
      <c r="W456">
        <f t="shared" si="100"/>
        <v>0</v>
      </c>
      <c r="Z456" t="str">
        <f>IFERROR(VLOOKUP(Y456,tbFactorMes,2,FALSE),"")</f>
        <v/>
      </c>
      <c r="AA456">
        <f t="shared" si="101"/>
        <v>0</v>
      </c>
      <c r="AD456" t="str">
        <f>IFERROR(VLOOKUP(AC456,tbFactorMes,2,FALSE),"")</f>
        <v/>
      </c>
      <c r="AE456">
        <f t="shared" si="102"/>
        <v>0</v>
      </c>
      <c r="AH456" t="str">
        <f>IFERROR(VLOOKUP(AG456,tbFactorMes,2,FALSE),"")</f>
        <v/>
      </c>
      <c r="AI456">
        <f t="shared" si="103"/>
        <v>0</v>
      </c>
      <c r="AL456" t="str">
        <f>IFERROR(VLOOKUP(AK456,tbFactorMes,2,FALSE),"")</f>
        <v/>
      </c>
      <c r="AM456">
        <f t="shared" si="104"/>
        <v>0</v>
      </c>
      <c r="AP456" t="str">
        <f>IFERROR(VLOOKUP(AO456,tbFactorMes,2,FALSE),"")</f>
        <v/>
      </c>
      <c r="AQ456">
        <f t="shared" si="105"/>
        <v>0</v>
      </c>
      <c r="AT456" t="str">
        <f>IFERROR(VLOOKUP(AS456,tbFactorMes,2,FALSE),"")</f>
        <v/>
      </c>
      <c r="AU456">
        <f t="shared" si="106"/>
        <v>0</v>
      </c>
      <c r="AX456" t="str">
        <f>IFERROR(VLOOKUP(AW456,tbFactorMes,2,FALSE),"")</f>
        <v/>
      </c>
      <c r="AY456">
        <f t="shared" si="107"/>
        <v>0</v>
      </c>
      <c r="BB456" t="str">
        <f>IFERROR(VLOOKUP(BA456,tbFactorMes,2,FALSE),"")</f>
        <v/>
      </c>
      <c r="BC456">
        <f t="shared" si="108"/>
        <v>0</v>
      </c>
      <c r="BF456" t="str">
        <f>IFERROR(VLOOKUP(BE456,tbFactorMes,2,FALSE),"")</f>
        <v/>
      </c>
      <c r="BG456">
        <f t="shared" si="109"/>
        <v>0</v>
      </c>
      <c r="BH456">
        <f t="shared" si="110"/>
        <v>0</v>
      </c>
      <c r="BI456">
        <f t="shared" si="111"/>
        <v>0</v>
      </c>
    </row>
    <row r="457" spans="11:61" x14ac:dyDescent="0.35">
      <c r="K457" t="str">
        <f>IFERROR(VLOOKUP(F457,tbTurnos,3,FALSE),"")</f>
        <v/>
      </c>
      <c r="N457" t="str">
        <f>IFERROR(VLOOKUP(M457,tbFactorMes,2,FALSE),"")</f>
        <v/>
      </c>
      <c r="O457">
        <f t="shared" si="98"/>
        <v>0</v>
      </c>
      <c r="R457" t="str">
        <f>IFERROR(VLOOKUP(Q457,tbFactorMes,2,FALSE),"")</f>
        <v/>
      </c>
      <c r="S457">
        <f t="shared" si="99"/>
        <v>0</v>
      </c>
      <c r="V457" t="str">
        <f>IFERROR(VLOOKUP(U457,tbFactorMes,2,FALSE),"")</f>
        <v/>
      </c>
      <c r="W457">
        <f t="shared" si="100"/>
        <v>0</v>
      </c>
      <c r="Z457" t="str">
        <f>IFERROR(VLOOKUP(Y457,tbFactorMes,2,FALSE),"")</f>
        <v/>
      </c>
      <c r="AA457">
        <f t="shared" si="101"/>
        <v>0</v>
      </c>
      <c r="AD457" t="str">
        <f>IFERROR(VLOOKUP(AC457,tbFactorMes,2,FALSE),"")</f>
        <v/>
      </c>
      <c r="AE457">
        <f t="shared" si="102"/>
        <v>0</v>
      </c>
      <c r="AH457" t="str">
        <f>IFERROR(VLOOKUP(AG457,tbFactorMes,2,FALSE),"")</f>
        <v/>
      </c>
      <c r="AI457">
        <f t="shared" si="103"/>
        <v>0</v>
      </c>
      <c r="AL457" t="str">
        <f>IFERROR(VLOOKUP(AK457,tbFactorMes,2,FALSE),"")</f>
        <v/>
      </c>
      <c r="AM457">
        <f t="shared" si="104"/>
        <v>0</v>
      </c>
      <c r="AP457" t="str">
        <f>IFERROR(VLOOKUP(AO457,tbFactorMes,2,FALSE),"")</f>
        <v/>
      </c>
      <c r="AQ457">
        <f t="shared" si="105"/>
        <v>0</v>
      </c>
      <c r="AT457" t="str">
        <f>IFERROR(VLOOKUP(AS457,tbFactorMes,2,FALSE),"")</f>
        <v/>
      </c>
      <c r="AU457">
        <f t="shared" si="106"/>
        <v>0</v>
      </c>
      <c r="AX457" t="str">
        <f>IFERROR(VLOOKUP(AW457,tbFactorMes,2,FALSE),"")</f>
        <v/>
      </c>
      <c r="AY457">
        <f t="shared" si="107"/>
        <v>0</v>
      </c>
      <c r="BB457" t="str">
        <f>IFERROR(VLOOKUP(BA457,tbFactorMes,2,FALSE),"")</f>
        <v/>
      </c>
      <c r="BC457">
        <f t="shared" si="108"/>
        <v>0</v>
      </c>
      <c r="BF457" t="str">
        <f>IFERROR(VLOOKUP(BE457,tbFactorMes,2,FALSE),"")</f>
        <v/>
      </c>
      <c r="BG457">
        <f t="shared" si="109"/>
        <v>0</v>
      </c>
      <c r="BH457">
        <f t="shared" si="110"/>
        <v>0</v>
      </c>
      <c r="BI457">
        <f t="shared" si="111"/>
        <v>0</v>
      </c>
    </row>
    <row r="458" spans="11:61" x14ac:dyDescent="0.35">
      <c r="K458" t="str">
        <f>IFERROR(VLOOKUP(F458,tbTurnos,3,FALSE),"")</f>
        <v/>
      </c>
      <c r="N458" t="str">
        <f>IFERROR(VLOOKUP(M458,tbFactorMes,2,FALSE),"")</f>
        <v/>
      </c>
      <c r="O458">
        <f t="shared" si="98"/>
        <v>0</v>
      </c>
      <c r="R458" t="str">
        <f>IFERROR(VLOOKUP(Q458,tbFactorMes,2,FALSE),"")</f>
        <v/>
      </c>
      <c r="S458">
        <f t="shared" si="99"/>
        <v>0</v>
      </c>
      <c r="V458" t="str">
        <f>IFERROR(VLOOKUP(U458,tbFactorMes,2,FALSE),"")</f>
        <v/>
      </c>
      <c r="W458">
        <f t="shared" si="100"/>
        <v>0</v>
      </c>
      <c r="Z458" t="str">
        <f>IFERROR(VLOOKUP(Y458,tbFactorMes,2,FALSE),"")</f>
        <v/>
      </c>
      <c r="AA458">
        <f t="shared" si="101"/>
        <v>0</v>
      </c>
      <c r="AD458" t="str">
        <f>IFERROR(VLOOKUP(AC458,tbFactorMes,2,FALSE),"")</f>
        <v/>
      </c>
      <c r="AE458">
        <f t="shared" si="102"/>
        <v>0</v>
      </c>
      <c r="AH458" t="str">
        <f>IFERROR(VLOOKUP(AG458,tbFactorMes,2,FALSE),"")</f>
        <v/>
      </c>
      <c r="AI458">
        <f t="shared" si="103"/>
        <v>0</v>
      </c>
      <c r="AL458" t="str">
        <f>IFERROR(VLOOKUP(AK458,tbFactorMes,2,FALSE),"")</f>
        <v/>
      </c>
      <c r="AM458">
        <f t="shared" si="104"/>
        <v>0</v>
      </c>
      <c r="AP458" t="str">
        <f>IFERROR(VLOOKUP(AO458,tbFactorMes,2,FALSE),"")</f>
        <v/>
      </c>
      <c r="AQ458">
        <f t="shared" si="105"/>
        <v>0</v>
      </c>
      <c r="AT458" t="str">
        <f>IFERROR(VLOOKUP(AS458,tbFactorMes,2,FALSE),"")</f>
        <v/>
      </c>
      <c r="AU458">
        <f t="shared" si="106"/>
        <v>0</v>
      </c>
      <c r="AX458" t="str">
        <f>IFERROR(VLOOKUP(AW458,tbFactorMes,2,FALSE),"")</f>
        <v/>
      </c>
      <c r="AY458">
        <f t="shared" si="107"/>
        <v>0</v>
      </c>
      <c r="BB458" t="str">
        <f>IFERROR(VLOOKUP(BA458,tbFactorMes,2,FALSE),"")</f>
        <v/>
      </c>
      <c r="BC458">
        <f t="shared" si="108"/>
        <v>0</v>
      </c>
      <c r="BF458" t="str">
        <f>IFERROR(VLOOKUP(BE458,tbFactorMes,2,FALSE),"")</f>
        <v/>
      </c>
      <c r="BG458">
        <f t="shared" si="109"/>
        <v>0</v>
      </c>
      <c r="BH458">
        <f t="shared" si="110"/>
        <v>0</v>
      </c>
      <c r="BI458">
        <f t="shared" si="111"/>
        <v>0</v>
      </c>
    </row>
    <row r="459" spans="11:61" x14ac:dyDescent="0.35">
      <c r="K459" t="str">
        <f>IFERROR(VLOOKUP(F459,tbTurnos,3,FALSE),"")</f>
        <v/>
      </c>
      <c r="N459" t="str">
        <f>IFERROR(VLOOKUP(M459,tbFactorMes,2,FALSE),"")</f>
        <v/>
      </c>
      <c r="O459">
        <f t="shared" si="98"/>
        <v>0</v>
      </c>
      <c r="R459" t="str">
        <f>IFERROR(VLOOKUP(Q459,tbFactorMes,2,FALSE),"")</f>
        <v/>
      </c>
      <c r="S459">
        <f t="shared" si="99"/>
        <v>0</v>
      </c>
      <c r="V459" t="str">
        <f>IFERROR(VLOOKUP(U459,tbFactorMes,2,FALSE),"")</f>
        <v/>
      </c>
      <c r="W459">
        <f t="shared" si="100"/>
        <v>0</v>
      </c>
      <c r="Z459" t="str">
        <f>IFERROR(VLOOKUP(Y459,tbFactorMes,2,FALSE),"")</f>
        <v/>
      </c>
      <c r="AA459">
        <f t="shared" si="101"/>
        <v>0</v>
      </c>
      <c r="AD459" t="str">
        <f>IFERROR(VLOOKUP(AC459,tbFactorMes,2,FALSE),"")</f>
        <v/>
      </c>
      <c r="AE459">
        <f t="shared" si="102"/>
        <v>0</v>
      </c>
      <c r="AH459" t="str">
        <f>IFERROR(VLOOKUP(AG459,tbFactorMes,2,FALSE),"")</f>
        <v/>
      </c>
      <c r="AI459">
        <f t="shared" si="103"/>
        <v>0</v>
      </c>
      <c r="AL459" t="str">
        <f>IFERROR(VLOOKUP(AK459,tbFactorMes,2,FALSE),"")</f>
        <v/>
      </c>
      <c r="AM459">
        <f t="shared" si="104"/>
        <v>0</v>
      </c>
      <c r="AP459" t="str">
        <f>IFERROR(VLOOKUP(AO459,tbFactorMes,2,FALSE),"")</f>
        <v/>
      </c>
      <c r="AQ459">
        <f t="shared" si="105"/>
        <v>0</v>
      </c>
      <c r="AT459" t="str">
        <f>IFERROR(VLOOKUP(AS459,tbFactorMes,2,FALSE),"")</f>
        <v/>
      </c>
      <c r="AU459">
        <f t="shared" si="106"/>
        <v>0</v>
      </c>
      <c r="AX459" t="str">
        <f>IFERROR(VLOOKUP(AW459,tbFactorMes,2,FALSE),"")</f>
        <v/>
      </c>
      <c r="AY459">
        <f t="shared" si="107"/>
        <v>0</v>
      </c>
      <c r="BB459" t="str">
        <f>IFERROR(VLOOKUP(BA459,tbFactorMes,2,FALSE),"")</f>
        <v/>
      </c>
      <c r="BC459">
        <f t="shared" si="108"/>
        <v>0</v>
      </c>
      <c r="BF459" t="str">
        <f>IFERROR(VLOOKUP(BE459,tbFactorMes,2,FALSE),"")</f>
        <v/>
      </c>
      <c r="BG459">
        <f t="shared" si="109"/>
        <v>0</v>
      </c>
      <c r="BH459">
        <f t="shared" si="110"/>
        <v>0</v>
      </c>
      <c r="BI459">
        <f t="shared" si="111"/>
        <v>0</v>
      </c>
    </row>
    <row r="460" spans="11:61" x14ac:dyDescent="0.35">
      <c r="K460" t="str">
        <f>IFERROR(VLOOKUP(F460,tbTurnos,3,FALSE),"")</f>
        <v/>
      </c>
      <c r="N460" t="str">
        <f>IFERROR(VLOOKUP(M460,tbFactorMes,2,FALSE),"")</f>
        <v/>
      </c>
      <c r="O460">
        <f t="shared" si="98"/>
        <v>0</v>
      </c>
      <c r="R460" t="str">
        <f>IFERROR(VLOOKUP(Q460,tbFactorMes,2,FALSE),"")</f>
        <v/>
      </c>
      <c r="S460">
        <f t="shared" si="99"/>
        <v>0</v>
      </c>
      <c r="V460" t="str">
        <f>IFERROR(VLOOKUP(U460,tbFactorMes,2,FALSE),"")</f>
        <v/>
      </c>
      <c r="W460">
        <f t="shared" si="100"/>
        <v>0</v>
      </c>
      <c r="Z460" t="str">
        <f>IFERROR(VLOOKUP(Y460,tbFactorMes,2,FALSE),"")</f>
        <v/>
      </c>
      <c r="AA460">
        <f t="shared" si="101"/>
        <v>0</v>
      </c>
      <c r="AD460" t="str">
        <f>IFERROR(VLOOKUP(AC460,tbFactorMes,2,FALSE),"")</f>
        <v/>
      </c>
      <c r="AE460">
        <f t="shared" si="102"/>
        <v>0</v>
      </c>
      <c r="AH460" t="str">
        <f>IFERROR(VLOOKUP(AG460,tbFactorMes,2,FALSE),"")</f>
        <v/>
      </c>
      <c r="AI460">
        <f t="shared" si="103"/>
        <v>0</v>
      </c>
      <c r="AL460" t="str">
        <f>IFERROR(VLOOKUP(AK460,tbFactorMes,2,FALSE),"")</f>
        <v/>
      </c>
      <c r="AM460">
        <f t="shared" si="104"/>
        <v>0</v>
      </c>
      <c r="AP460" t="str">
        <f>IFERROR(VLOOKUP(AO460,tbFactorMes,2,FALSE),"")</f>
        <v/>
      </c>
      <c r="AQ460">
        <f t="shared" si="105"/>
        <v>0</v>
      </c>
      <c r="AT460" t="str">
        <f>IFERROR(VLOOKUP(AS460,tbFactorMes,2,FALSE),"")</f>
        <v/>
      </c>
      <c r="AU460">
        <f t="shared" si="106"/>
        <v>0</v>
      </c>
      <c r="AX460" t="str">
        <f>IFERROR(VLOOKUP(AW460,tbFactorMes,2,FALSE),"")</f>
        <v/>
      </c>
      <c r="AY460">
        <f t="shared" si="107"/>
        <v>0</v>
      </c>
      <c r="BB460" t="str">
        <f>IFERROR(VLOOKUP(BA460,tbFactorMes,2,FALSE),"")</f>
        <v/>
      </c>
      <c r="BC460">
        <f t="shared" si="108"/>
        <v>0</v>
      </c>
      <c r="BF460" t="str">
        <f>IFERROR(VLOOKUP(BE460,tbFactorMes,2,FALSE),"")</f>
        <v/>
      </c>
      <c r="BG460">
        <f t="shared" si="109"/>
        <v>0</v>
      </c>
      <c r="BH460">
        <f t="shared" si="110"/>
        <v>0</v>
      </c>
      <c r="BI460">
        <f t="shared" si="111"/>
        <v>0</v>
      </c>
    </row>
    <row r="461" spans="11:61" x14ac:dyDescent="0.35">
      <c r="K461" t="str">
        <f>IFERROR(VLOOKUP(F461,tbTurnos,3,FALSE),"")</f>
        <v/>
      </c>
      <c r="N461" t="str">
        <f>IFERROR(VLOOKUP(M461,tbFactorMes,2,FALSE),"")</f>
        <v/>
      </c>
      <c r="O461">
        <f t="shared" si="98"/>
        <v>0</v>
      </c>
      <c r="R461" t="str">
        <f>IFERROR(VLOOKUP(Q461,tbFactorMes,2,FALSE),"")</f>
        <v/>
      </c>
      <c r="S461">
        <f t="shared" si="99"/>
        <v>0</v>
      </c>
      <c r="V461" t="str">
        <f>IFERROR(VLOOKUP(U461,tbFactorMes,2,FALSE),"")</f>
        <v/>
      </c>
      <c r="W461">
        <f t="shared" si="100"/>
        <v>0</v>
      </c>
      <c r="Z461" t="str">
        <f>IFERROR(VLOOKUP(Y461,tbFactorMes,2,FALSE),"")</f>
        <v/>
      </c>
      <c r="AA461">
        <f t="shared" si="101"/>
        <v>0</v>
      </c>
      <c r="AD461" t="str">
        <f>IFERROR(VLOOKUP(AC461,tbFactorMes,2,FALSE),"")</f>
        <v/>
      </c>
      <c r="AE461">
        <f t="shared" si="102"/>
        <v>0</v>
      </c>
      <c r="AH461" t="str">
        <f>IFERROR(VLOOKUP(AG461,tbFactorMes,2,FALSE),"")</f>
        <v/>
      </c>
      <c r="AI461">
        <f t="shared" si="103"/>
        <v>0</v>
      </c>
      <c r="AL461" t="str">
        <f>IFERROR(VLOOKUP(AK461,tbFactorMes,2,FALSE),"")</f>
        <v/>
      </c>
      <c r="AM461">
        <f t="shared" si="104"/>
        <v>0</v>
      </c>
      <c r="AP461" t="str">
        <f>IFERROR(VLOOKUP(AO461,tbFactorMes,2,FALSE),"")</f>
        <v/>
      </c>
      <c r="AQ461">
        <f t="shared" si="105"/>
        <v>0</v>
      </c>
      <c r="AT461" t="str">
        <f>IFERROR(VLOOKUP(AS461,tbFactorMes,2,FALSE),"")</f>
        <v/>
      </c>
      <c r="AU461">
        <f t="shared" si="106"/>
        <v>0</v>
      </c>
      <c r="AX461" t="str">
        <f>IFERROR(VLOOKUP(AW461,tbFactorMes,2,FALSE),"")</f>
        <v/>
      </c>
      <c r="AY461">
        <f t="shared" si="107"/>
        <v>0</v>
      </c>
      <c r="BB461" t="str">
        <f>IFERROR(VLOOKUP(BA461,tbFactorMes,2,FALSE),"")</f>
        <v/>
      </c>
      <c r="BC461">
        <f t="shared" si="108"/>
        <v>0</v>
      </c>
      <c r="BF461" t="str">
        <f>IFERROR(VLOOKUP(BE461,tbFactorMes,2,FALSE),"")</f>
        <v/>
      </c>
      <c r="BG461">
        <f t="shared" si="109"/>
        <v>0</v>
      </c>
      <c r="BH461">
        <f t="shared" si="110"/>
        <v>0</v>
      </c>
      <c r="BI461">
        <f t="shared" si="111"/>
        <v>0</v>
      </c>
    </row>
    <row r="462" spans="11:61" x14ac:dyDescent="0.35">
      <c r="K462" t="str">
        <f>IFERROR(VLOOKUP(F462,tbTurnos,3,FALSE),"")</f>
        <v/>
      </c>
      <c r="N462" t="str">
        <f>IFERROR(VLOOKUP(M462,tbFactorMes,2,FALSE),"")</f>
        <v/>
      </c>
      <c r="O462">
        <f t="shared" si="98"/>
        <v>0</v>
      </c>
      <c r="R462" t="str">
        <f>IFERROR(VLOOKUP(Q462,tbFactorMes,2,FALSE),"")</f>
        <v/>
      </c>
      <c r="S462">
        <f t="shared" si="99"/>
        <v>0</v>
      </c>
      <c r="V462" t="str">
        <f>IFERROR(VLOOKUP(U462,tbFactorMes,2,FALSE),"")</f>
        <v/>
      </c>
      <c r="W462">
        <f t="shared" si="100"/>
        <v>0</v>
      </c>
      <c r="Z462" t="str">
        <f>IFERROR(VLOOKUP(Y462,tbFactorMes,2,FALSE),"")</f>
        <v/>
      </c>
      <c r="AA462">
        <f t="shared" si="101"/>
        <v>0</v>
      </c>
      <c r="AD462" t="str">
        <f>IFERROR(VLOOKUP(AC462,tbFactorMes,2,FALSE),"")</f>
        <v/>
      </c>
      <c r="AE462">
        <f t="shared" si="102"/>
        <v>0</v>
      </c>
      <c r="AH462" t="str">
        <f>IFERROR(VLOOKUP(AG462,tbFactorMes,2,FALSE),"")</f>
        <v/>
      </c>
      <c r="AI462">
        <f t="shared" si="103"/>
        <v>0</v>
      </c>
      <c r="AL462" t="str">
        <f>IFERROR(VLOOKUP(AK462,tbFactorMes,2,FALSE),"")</f>
        <v/>
      </c>
      <c r="AM462">
        <f t="shared" si="104"/>
        <v>0</v>
      </c>
      <c r="AP462" t="str">
        <f>IFERROR(VLOOKUP(AO462,tbFactorMes,2,FALSE),"")</f>
        <v/>
      </c>
      <c r="AQ462">
        <f t="shared" si="105"/>
        <v>0</v>
      </c>
      <c r="AT462" t="str">
        <f>IFERROR(VLOOKUP(AS462,tbFactorMes,2,FALSE),"")</f>
        <v/>
      </c>
      <c r="AU462">
        <f t="shared" si="106"/>
        <v>0</v>
      </c>
      <c r="AX462" t="str">
        <f>IFERROR(VLOOKUP(AW462,tbFactorMes,2,FALSE),"")</f>
        <v/>
      </c>
      <c r="AY462">
        <f t="shared" si="107"/>
        <v>0</v>
      </c>
      <c r="BB462" t="str">
        <f>IFERROR(VLOOKUP(BA462,tbFactorMes,2,FALSE),"")</f>
        <v/>
      </c>
      <c r="BC462">
        <f t="shared" si="108"/>
        <v>0</v>
      </c>
      <c r="BF462" t="str">
        <f>IFERROR(VLOOKUP(BE462,tbFactorMes,2,FALSE),"")</f>
        <v/>
      </c>
      <c r="BG462">
        <f t="shared" si="109"/>
        <v>0</v>
      </c>
      <c r="BH462">
        <f t="shared" si="110"/>
        <v>0</v>
      </c>
      <c r="BI462">
        <f t="shared" si="111"/>
        <v>0</v>
      </c>
    </row>
    <row r="463" spans="11:61" x14ac:dyDescent="0.35">
      <c r="K463" t="str">
        <f>IFERROR(VLOOKUP(F463,tbTurnos,3,FALSE),"")</f>
        <v/>
      </c>
      <c r="N463" t="str">
        <f>IFERROR(VLOOKUP(M463,tbFactorMes,2,FALSE),"")</f>
        <v/>
      </c>
      <c r="O463">
        <f t="shared" si="98"/>
        <v>0</v>
      </c>
      <c r="R463" t="str">
        <f>IFERROR(VLOOKUP(Q463,tbFactorMes,2,FALSE),"")</f>
        <v/>
      </c>
      <c r="S463">
        <f t="shared" si="99"/>
        <v>0</v>
      </c>
      <c r="V463" t="str">
        <f>IFERROR(VLOOKUP(U463,tbFactorMes,2,FALSE),"")</f>
        <v/>
      </c>
      <c r="W463">
        <f t="shared" si="100"/>
        <v>0</v>
      </c>
      <c r="Z463" t="str">
        <f>IFERROR(VLOOKUP(Y463,tbFactorMes,2,FALSE),"")</f>
        <v/>
      </c>
      <c r="AA463">
        <f t="shared" si="101"/>
        <v>0</v>
      </c>
      <c r="AD463" t="str">
        <f>IFERROR(VLOOKUP(AC463,tbFactorMes,2,FALSE),"")</f>
        <v/>
      </c>
      <c r="AE463">
        <f t="shared" si="102"/>
        <v>0</v>
      </c>
      <c r="AH463" t="str">
        <f>IFERROR(VLOOKUP(AG463,tbFactorMes,2,FALSE),"")</f>
        <v/>
      </c>
      <c r="AI463">
        <f t="shared" si="103"/>
        <v>0</v>
      </c>
      <c r="AL463" t="str">
        <f>IFERROR(VLOOKUP(AK463,tbFactorMes,2,FALSE),"")</f>
        <v/>
      </c>
      <c r="AM463">
        <f t="shared" si="104"/>
        <v>0</v>
      </c>
      <c r="AP463" t="str">
        <f>IFERROR(VLOOKUP(AO463,tbFactorMes,2,FALSE),"")</f>
        <v/>
      </c>
      <c r="AQ463">
        <f t="shared" si="105"/>
        <v>0</v>
      </c>
      <c r="AT463" t="str">
        <f>IFERROR(VLOOKUP(AS463,tbFactorMes,2,FALSE),"")</f>
        <v/>
      </c>
      <c r="AU463">
        <f t="shared" si="106"/>
        <v>0</v>
      </c>
      <c r="AX463" t="str">
        <f>IFERROR(VLOOKUP(AW463,tbFactorMes,2,FALSE),"")</f>
        <v/>
      </c>
      <c r="AY463">
        <f t="shared" si="107"/>
        <v>0</v>
      </c>
      <c r="BB463" t="str">
        <f>IFERROR(VLOOKUP(BA463,tbFactorMes,2,FALSE),"")</f>
        <v/>
      </c>
      <c r="BC463">
        <f t="shared" si="108"/>
        <v>0</v>
      </c>
      <c r="BF463" t="str">
        <f>IFERROR(VLOOKUP(BE463,tbFactorMes,2,FALSE),"")</f>
        <v/>
      </c>
      <c r="BG463">
        <f t="shared" si="109"/>
        <v>0</v>
      </c>
      <c r="BH463">
        <f t="shared" si="110"/>
        <v>0</v>
      </c>
      <c r="BI463">
        <f t="shared" si="111"/>
        <v>0</v>
      </c>
    </row>
    <row r="464" spans="11:61" x14ac:dyDescent="0.35">
      <c r="K464" t="str">
        <f>IFERROR(VLOOKUP(F464,tbTurnos,3,FALSE),"")</f>
        <v/>
      </c>
      <c r="N464" t="str">
        <f>IFERROR(VLOOKUP(M464,tbFactorMes,2,FALSE),"")</f>
        <v/>
      </c>
      <c r="O464">
        <f t="shared" si="98"/>
        <v>0</v>
      </c>
      <c r="R464" t="str">
        <f>IFERROR(VLOOKUP(Q464,tbFactorMes,2,FALSE),"")</f>
        <v/>
      </c>
      <c r="S464">
        <f t="shared" si="99"/>
        <v>0</v>
      </c>
      <c r="V464" t="str">
        <f>IFERROR(VLOOKUP(U464,tbFactorMes,2,FALSE),"")</f>
        <v/>
      </c>
      <c r="W464">
        <f t="shared" si="100"/>
        <v>0</v>
      </c>
      <c r="Z464" t="str">
        <f>IFERROR(VLOOKUP(Y464,tbFactorMes,2,FALSE),"")</f>
        <v/>
      </c>
      <c r="AA464">
        <f t="shared" si="101"/>
        <v>0</v>
      </c>
      <c r="AD464" t="str">
        <f>IFERROR(VLOOKUP(AC464,tbFactorMes,2,FALSE),"")</f>
        <v/>
      </c>
      <c r="AE464">
        <f t="shared" si="102"/>
        <v>0</v>
      </c>
      <c r="AH464" t="str">
        <f>IFERROR(VLOOKUP(AG464,tbFactorMes,2,FALSE),"")</f>
        <v/>
      </c>
      <c r="AI464">
        <f t="shared" si="103"/>
        <v>0</v>
      </c>
      <c r="AL464" t="str">
        <f>IFERROR(VLOOKUP(AK464,tbFactorMes,2,FALSE),"")</f>
        <v/>
      </c>
      <c r="AM464">
        <f t="shared" si="104"/>
        <v>0</v>
      </c>
      <c r="AP464" t="str">
        <f>IFERROR(VLOOKUP(AO464,tbFactorMes,2,FALSE),"")</f>
        <v/>
      </c>
      <c r="AQ464">
        <f t="shared" si="105"/>
        <v>0</v>
      </c>
      <c r="AT464" t="str">
        <f>IFERROR(VLOOKUP(AS464,tbFactorMes,2,FALSE),"")</f>
        <v/>
      </c>
      <c r="AU464">
        <f t="shared" si="106"/>
        <v>0</v>
      </c>
      <c r="AX464" t="str">
        <f>IFERROR(VLOOKUP(AW464,tbFactorMes,2,FALSE),"")</f>
        <v/>
      </c>
      <c r="AY464">
        <f t="shared" si="107"/>
        <v>0</v>
      </c>
      <c r="BB464" t="str">
        <f>IFERROR(VLOOKUP(BA464,tbFactorMes,2,FALSE),"")</f>
        <v/>
      </c>
      <c r="BC464">
        <f t="shared" si="108"/>
        <v>0</v>
      </c>
      <c r="BF464" t="str">
        <f>IFERROR(VLOOKUP(BE464,tbFactorMes,2,FALSE),"")</f>
        <v/>
      </c>
      <c r="BG464">
        <f t="shared" si="109"/>
        <v>0</v>
      </c>
      <c r="BH464">
        <f t="shared" si="110"/>
        <v>0</v>
      </c>
      <c r="BI464">
        <f t="shared" si="111"/>
        <v>0</v>
      </c>
    </row>
    <row r="465" spans="11:61" x14ac:dyDescent="0.35">
      <c r="K465" t="str">
        <f>IFERROR(VLOOKUP(F465,tbTurnos,3,FALSE),"")</f>
        <v/>
      </c>
      <c r="N465" t="str">
        <f>IFERROR(VLOOKUP(M465,tbFactorMes,2,FALSE),"")</f>
        <v/>
      </c>
      <c r="O465">
        <f t="shared" si="98"/>
        <v>0</v>
      </c>
      <c r="R465" t="str">
        <f>IFERROR(VLOOKUP(Q465,tbFactorMes,2,FALSE),"")</f>
        <v/>
      </c>
      <c r="S465">
        <f t="shared" si="99"/>
        <v>0</v>
      </c>
      <c r="V465" t="str">
        <f>IFERROR(VLOOKUP(U465,tbFactorMes,2,FALSE),"")</f>
        <v/>
      </c>
      <c r="W465">
        <f t="shared" si="100"/>
        <v>0</v>
      </c>
      <c r="Z465" t="str">
        <f>IFERROR(VLOOKUP(Y465,tbFactorMes,2,FALSE),"")</f>
        <v/>
      </c>
      <c r="AA465">
        <f t="shared" si="101"/>
        <v>0</v>
      </c>
      <c r="AD465" t="str">
        <f>IFERROR(VLOOKUP(AC465,tbFactorMes,2,FALSE),"")</f>
        <v/>
      </c>
      <c r="AE465">
        <f t="shared" si="102"/>
        <v>0</v>
      </c>
      <c r="AH465" t="str">
        <f>IFERROR(VLOOKUP(AG465,tbFactorMes,2,FALSE),"")</f>
        <v/>
      </c>
      <c r="AI465">
        <f t="shared" si="103"/>
        <v>0</v>
      </c>
      <c r="AL465" t="str">
        <f>IFERROR(VLOOKUP(AK465,tbFactorMes,2,FALSE),"")</f>
        <v/>
      </c>
      <c r="AM465">
        <f t="shared" si="104"/>
        <v>0</v>
      </c>
      <c r="AP465" t="str">
        <f>IFERROR(VLOOKUP(AO465,tbFactorMes,2,FALSE),"")</f>
        <v/>
      </c>
      <c r="AQ465">
        <f t="shared" si="105"/>
        <v>0</v>
      </c>
      <c r="AT465" t="str">
        <f>IFERROR(VLOOKUP(AS465,tbFactorMes,2,FALSE),"")</f>
        <v/>
      </c>
      <c r="AU465">
        <f t="shared" si="106"/>
        <v>0</v>
      </c>
      <c r="AX465" t="str">
        <f>IFERROR(VLOOKUP(AW465,tbFactorMes,2,FALSE),"")</f>
        <v/>
      </c>
      <c r="AY465">
        <f t="shared" si="107"/>
        <v>0</v>
      </c>
      <c r="BB465" t="str">
        <f>IFERROR(VLOOKUP(BA465,tbFactorMes,2,FALSE),"")</f>
        <v/>
      </c>
      <c r="BC465">
        <f t="shared" si="108"/>
        <v>0</v>
      </c>
      <c r="BF465" t="str">
        <f>IFERROR(VLOOKUP(BE465,tbFactorMes,2,FALSE),"")</f>
        <v/>
      </c>
      <c r="BG465">
        <f t="shared" si="109"/>
        <v>0</v>
      </c>
      <c r="BH465">
        <f t="shared" si="110"/>
        <v>0</v>
      </c>
      <c r="BI465">
        <f t="shared" si="111"/>
        <v>0</v>
      </c>
    </row>
    <row r="466" spans="11:61" x14ac:dyDescent="0.35">
      <c r="K466" t="str">
        <f>IFERROR(VLOOKUP(F466,tbTurnos,3,FALSE),"")</f>
        <v/>
      </c>
      <c r="N466" t="str">
        <f>IFERROR(VLOOKUP(M466,tbFactorMes,2,FALSE),"")</f>
        <v/>
      </c>
      <c r="O466">
        <f t="shared" si="98"/>
        <v>0</v>
      </c>
      <c r="R466" t="str">
        <f>IFERROR(VLOOKUP(Q466,tbFactorMes,2,FALSE),"")</f>
        <v/>
      </c>
      <c r="S466">
        <f t="shared" si="99"/>
        <v>0</v>
      </c>
      <c r="V466" t="str">
        <f>IFERROR(VLOOKUP(U466,tbFactorMes,2,FALSE),"")</f>
        <v/>
      </c>
      <c r="W466">
        <f t="shared" si="100"/>
        <v>0</v>
      </c>
      <c r="Z466" t="str">
        <f>IFERROR(VLOOKUP(Y466,tbFactorMes,2,FALSE),"")</f>
        <v/>
      </c>
      <c r="AA466">
        <f t="shared" si="101"/>
        <v>0</v>
      </c>
      <c r="AD466" t="str">
        <f>IFERROR(VLOOKUP(AC466,tbFactorMes,2,FALSE),"")</f>
        <v/>
      </c>
      <c r="AE466">
        <f t="shared" si="102"/>
        <v>0</v>
      </c>
      <c r="AH466" t="str">
        <f>IFERROR(VLOOKUP(AG466,tbFactorMes,2,FALSE),"")</f>
        <v/>
      </c>
      <c r="AI466">
        <f t="shared" si="103"/>
        <v>0</v>
      </c>
      <c r="AL466" t="str">
        <f>IFERROR(VLOOKUP(AK466,tbFactorMes,2,FALSE),"")</f>
        <v/>
      </c>
      <c r="AM466">
        <f t="shared" si="104"/>
        <v>0</v>
      </c>
      <c r="AP466" t="str">
        <f>IFERROR(VLOOKUP(AO466,tbFactorMes,2,FALSE),"")</f>
        <v/>
      </c>
      <c r="AQ466">
        <f t="shared" si="105"/>
        <v>0</v>
      </c>
      <c r="AT466" t="str">
        <f>IFERROR(VLOOKUP(AS466,tbFactorMes,2,FALSE),"")</f>
        <v/>
      </c>
      <c r="AU466">
        <f t="shared" si="106"/>
        <v>0</v>
      </c>
      <c r="AX466" t="str">
        <f>IFERROR(VLOOKUP(AW466,tbFactorMes,2,FALSE),"")</f>
        <v/>
      </c>
      <c r="AY466">
        <f t="shared" si="107"/>
        <v>0</v>
      </c>
      <c r="BB466" t="str">
        <f>IFERROR(VLOOKUP(BA466,tbFactorMes,2,FALSE),"")</f>
        <v/>
      </c>
      <c r="BC466">
        <f t="shared" si="108"/>
        <v>0</v>
      </c>
      <c r="BF466" t="str">
        <f>IFERROR(VLOOKUP(BE466,tbFactorMes,2,FALSE),"")</f>
        <v/>
      </c>
      <c r="BG466">
        <f t="shared" si="109"/>
        <v>0</v>
      </c>
      <c r="BH466">
        <f t="shared" si="110"/>
        <v>0</v>
      </c>
      <c r="BI466">
        <f t="shared" si="111"/>
        <v>0</v>
      </c>
    </row>
    <row r="467" spans="11:61" x14ac:dyDescent="0.35">
      <c r="K467" t="str">
        <f>IFERROR(VLOOKUP(F467,tbTurnos,3,FALSE),"")</f>
        <v/>
      </c>
      <c r="N467" t="str">
        <f>IFERROR(VLOOKUP(M467,tbFactorMes,2,FALSE),"")</f>
        <v/>
      </c>
      <c r="O467">
        <f t="shared" si="98"/>
        <v>0</v>
      </c>
      <c r="R467" t="str">
        <f>IFERROR(VLOOKUP(Q467,tbFactorMes,2,FALSE),"")</f>
        <v/>
      </c>
      <c r="S467">
        <f t="shared" si="99"/>
        <v>0</v>
      </c>
      <c r="V467" t="str">
        <f>IFERROR(VLOOKUP(U467,tbFactorMes,2,FALSE),"")</f>
        <v/>
      </c>
      <c r="W467">
        <f t="shared" si="100"/>
        <v>0</v>
      </c>
      <c r="Z467" t="str">
        <f>IFERROR(VLOOKUP(Y467,tbFactorMes,2,FALSE),"")</f>
        <v/>
      </c>
      <c r="AA467">
        <f t="shared" si="101"/>
        <v>0</v>
      </c>
      <c r="AD467" t="str">
        <f>IFERROR(VLOOKUP(AC467,tbFactorMes,2,FALSE),"")</f>
        <v/>
      </c>
      <c r="AE467">
        <f t="shared" si="102"/>
        <v>0</v>
      </c>
      <c r="AH467" t="str">
        <f>IFERROR(VLOOKUP(AG467,tbFactorMes,2,FALSE),"")</f>
        <v/>
      </c>
      <c r="AI467">
        <f t="shared" si="103"/>
        <v>0</v>
      </c>
      <c r="AL467" t="str">
        <f>IFERROR(VLOOKUP(AK467,tbFactorMes,2,FALSE),"")</f>
        <v/>
      </c>
      <c r="AM467">
        <f t="shared" si="104"/>
        <v>0</v>
      </c>
      <c r="AP467" t="str">
        <f>IFERROR(VLOOKUP(AO467,tbFactorMes,2,FALSE),"")</f>
        <v/>
      </c>
      <c r="AQ467">
        <f t="shared" si="105"/>
        <v>0</v>
      </c>
      <c r="AT467" t="str">
        <f>IFERROR(VLOOKUP(AS467,tbFactorMes,2,FALSE),"")</f>
        <v/>
      </c>
      <c r="AU467">
        <f t="shared" si="106"/>
        <v>0</v>
      </c>
      <c r="AX467" t="str">
        <f>IFERROR(VLOOKUP(AW467,tbFactorMes,2,FALSE),"")</f>
        <v/>
      </c>
      <c r="AY467">
        <f t="shared" si="107"/>
        <v>0</v>
      </c>
      <c r="BB467" t="str">
        <f>IFERROR(VLOOKUP(BA467,tbFactorMes,2,FALSE),"")</f>
        <v/>
      </c>
      <c r="BC467">
        <f t="shared" si="108"/>
        <v>0</v>
      </c>
      <c r="BF467" t="str">
        <f>IFERROR(VLOOKUP(BE467,tbFactorMes,2,FALSE),"")</f>
        <v/>
      </c>
      <c r="BG467">
        <f t="shared" si="109"/>
        <v>0</v>
      </c>
      <c r="BH467">
        <f t="shared" si="110"/>
        <v>0</v>
      </c>
      <c r="BI467">
        <f t="shared" si="111"/>
        <v>0</v>
      </c>
    </row>
    <row r="468" spans="11:61" x14ac:dyDescent="0.35">
      <c r="K468" t="str">
        <f>IFERROR(VLOOKUP(F468,tbTurnos,3,FALSE),"")</f>
        <v/>
      </c>
      <c r="N468" t="str">
        <f>IFERROR(VLOOKUP(M468,tbFactorMes,2,FALSE),"")</f>
        <v/>
      </c>
      <c r="O468">
        <f t="shared" si="98"/>
        <v>0</v>
      </c>
      <c r="R468" t="str">
        <f>IFERROR(VLOOKUP(Q468,tbFactorMes,2,FALSE),"")</f>
        <v/>
      </c>
      <c r="S468">
        <f t="shared" si="99"/>
        <v>0</v>
      </c>
      <c r="V468" t="str">
        <f>IFERROR(VLOOKUP(U468,tbFactorMes,2,FALSE),"")</f>
        <v/>
      </c>
      <c r="W468">
        <f t="shared" si="100"/>
        <v>0</v>
      </c>
      <c r="Z468" t="str">
        <f>IFERROR(VLOOKUP(Y468,tbFactorMes,2,FALSE),"")</f>
        <v/>
      </c>
      <c r="AA468">
        <f t="shared" si="101"/>
        <v>0</v>
      </c>
      <c r="AD468" t="str">
        <f>IFERROR(VLOOKUP(AC468,tbFactorMes,2,FALSE),"")</f>
        <v/>
      </c>
      <c r="AE468">
        <f t="shared" si="102"/>
        <v>0</v>
      </c>
      <c r="AH468" t="str">
        <f>IFERROR(VLOOKUP(AG468,tbFactorMes,2,FALSE),"")</f>
        <v/>
      </c>
      <c r="AI468">
        <f t="shared" si="103"/>
        <v>0</v>
      </c>
      <c r="AL468" t="str">
        <f>IFERROR(VLOOKUP(AK468,tbFactorMes,2,FALSE),"")</f>
        <v/>
      </c>
      <c r="AM468">
        <f t="shared" si="104"/>
        <v>0</v>
      </c>
      <c r="AP468" t="str">
        <f>IFERROR(VLOOKUP(AO468,tbFactorMes,2,FALSE),"")</f>
        <v/>
      </c>
      <c r="AQ468">
        <f t="shared" si="105"/>
        <v>0</v>
      </c>
      <c r="AT468" t="str">
        <f>IFERROR(VLOOKUP(AS468,tbFactorMes,2,FALSE),"")</f>
        <v/>
      </c>
      <c r="AU468">
        <f t="shared" si="106"/>
        <v>0</v>
      </c>
      <c r="AX468" t="str">
        <f>IFERROR(VLOOKUP(AW468,tbFactorMes,2,FALSE),"")</f>
        <v/>
      </c>
      <c r="AY468">
        <f t="shared" si="107"/>
        <v>0</v>
      </c>
      <c r="BB468" t="str">
        <f>IFERROR(VLOOKUP(BA468,tbFactorMes,2,FALSE),"")</f>
        <v/>
      </c>
      <c r="BC468">
        <f t="shared" si="108"/>
        <v>0</v>
      </c>
      <c r="BF468" t="str">
        <f>IFERROR(VLOOKUP(BE468,tbFactorMes,2,FALSE),"")</f>
        <v/>
      </c>
      <c r="BG468">
        <f t="shared" si="109"/>
        <v>0</v>
      </c>
      <c r="BH468">
        <f t="shared" si="110"/>
        <v>0</v>
      </c>
      <c r="BI468">
        <f t="shared" si="111"/>
        <v>0</v>
      </c>
    </row>
    <row r="469" spans="11:61" x14ac:dyDescent="0.35">
      <c r="K469" t="str">
        <f>IFERROR(VLOOKUP(F469,tbTurnos,3,FALSE),"")</f>
        <v/>
      </c>
      <c r="N469" t="str">
        <f>IFERROR(VLOOKUP(M469,tbFactorMes,2,FALSE),"")</f>
        <v/>
      </c>
      <c r="O469">
        <f t="shared" si="98"/>
        <v>0</v>
      </c>
      <c r="R469" t="str">
        <f>IFERROR(VLOOKUP(Q469,tbFactorMes,2,FALSE),"")</f>
        <v/>
      </c>
      <c r="S469">
        <f t="shared" si="99"/>
        <v>0</v>
      </c>
      <c r="V469" t="str">
        <f>IFERROR(VLOOKUP(U469,tbFactorMes,2,FALSE),"")</f>
        <v/>
      </c>
      <c r="W469">
        <f t="shared" si="100"/>
        <v>0</v>
      </c>
      <c r="Z469" t="str">
        <f>IFERROR(VLOOKUP(Y469,tbFactorMes,2,FALSE),"")</f>
        <v/>
      </c>
      <c r="AA469">
        <f t="shared" si="101"/>
        <v>0</v>
      </c>
      <c r="AD469" t="str">
        <f>IFERROR(VLOOKUP(AC469,tbFactorMes,2,FALSE),"")</f>
        <v/>
      </c>
      <c r="AE469">
        <f t="shared" si="102"/>
        <v>0</v>
      </c>
      <c r="AH469" t="str">
        <f>IFERROR(VLOOKUP(AG469,tbFactorMes,2,FALSE),"")</f>
        <v/>
      </c>
      <c r="AI469">
        <f t="shared" si="103"/>
        <v>0</v>
      </c>
      <c r="AL469" t="str">
        <f>IFERROR(VLOOKUP(AK469,tbFactorMes,2,FALSE),"")</f>
        <v/>
      </c>
      <c r="AM469">
        <f t="shared" si="104"/>
        <v>0</v>
      </c>
      <c r="AP469" t="str">
        <f>IFERROR(VLOOKUP(AO469,tbFactorMes,2,FALSE),"")</f>
        <v/>
      </c>
      <c r="AQ469">
        <f t="shared" si="105"/>
        <v>0</v>
      </c>
      <c r="AT469" t="str">
        <f>IFERROR(VLOOKUP(AS469,tbFactorMes,2,FALSE),"")</f>
        <v/>
      </c>
      <c r="AU469">
        <f t="shared" si="106"/>
        <v>0</v>
      </c>
      <c r="AX469" t="str">
        <f>IFERROR(VLOOKUP(AW469,tbFactorMes,2,FALSE),"")</f>
        <v/>
      </c>
      <c r="AY469">
        <f t="shared" si="107"/>
        <v>0</v>
      </c>
      <c r="BB469" t="str">
        <f>IFERROR(VLOOKUP(BA469,tbFactorMes,2,FALSE),"")</f>
        <v/>
      </c>
      <c r="BC469">
        <f t="shared" si="108"/>
        <v>0</v>
      </c>
      <c r="BF469" t="str">
        <f>IFERROR(VLOOKUP(BE469,tbFactorMes,2,FALSE),"")</f>
        <v/>
      </c>
      <c r="BG469">
        <f t="shared" si="109"/>
        <v>0</v>
      </c>
      <c r="BH469">
        <f t="shared" si="110"/>
        <v>0</v>
      </c>
      <c r="BI469">
        <f t="shared" si="111"/>
        <v>0</v>
      </c>
    </row>
    <row r="470" spans="11:61" x14ac:dyDescent="0.35">
      <c r="K470" t="str">
        <f>IFERROR(VLOOKUP(F470,tbTurnos,3,FALSE),"")</f>
        <v/>
      </c>
      <c r="N470" t="str">
        <f>IFERROR(VLOOKUP(M470,tbFactorMes,2,FALSE),"")</f>
        <v/>
      </c>
      <c r="O470">
        <f t="shared" si="98"/>
        <v>0</v>
      </c>
      <c r="R470" t="str">
        <f>IFERROR(VLOOKUP(Q470,tbFactorMes,2,FALSE),"")</f>
        <v/>
      </c>
      <c r="S470">
        <f t="shared" si="99"/>
        <v>0</v>
      </c>
      <c r="V470" t="str">
        <f>IFERROR(VLOOKUP(U470,tbFactorMes,2,FALSE),"")</f>
        <v/>
      </c>
      <c r="W470">
        <f t="shared" si="100"/>
        <v>0</v>
      </c>
      <c r="Z470" t="str">
        <f>IFERROR(VLOOKUP(Y470,tbFactorMes,2,FALSE),"")</f>
        <v/>
      </c>
      <c r="AA470">
        <f t="shared" si="101"/>
        <v>0</v>
      </c>
      <c r="AD470" t="str">
        <f>IFERROR(VLOOKUP(AC470,tbFactorMes,2,FALSE),"")</f>
        <v/>
      </c>
      <c r="AE470">
        <f t="shared" si="102"/>
        <v>0</v>
      </c>
      <c r="AH470" t="str">
        <f>IFERROR(VLOOKUP(AG470,tbFactorMes,2,FALSE),"")</f>
        <v/>
      </c>
      <c r="AI470">
        <f t="shared" si="103"/>
        <v>0</v>
      </c>
      <c r="AL470" t="str">
        <f>IFERROR(VLOOKUP(AK470,tbFactorMes,2,FALSE),"")</f>
        <v/>
      </c>
      <c r="AM470">
        <f t="shared" si="104"/>
        <v>0</v>
      </c>
      <c r="AP470" t="str">
        <f>IFERROR(VLOOKUP(AO470,tbFactorMes,2,FALSE),"")</f>
        <v/>
      </c>
      <c r="AQ470">
        <f t="shared" si="105"/>
        <v>0</v>
      </c>
      <c r="AT470" t="str">
        <f>IFERROR(VLOOKUP(AS470,tbFactorMes,2,FALSE),"")</f>
        <v/>
      </c>
      <c r="AU470">
        <f t="shared" si="106"/>
        <v>0</v>
      </c>
      <c r="AX470" t="str">
        <f>IFERROR(VLOOKUP(AW470,tbFactorMes,2,FALSE),"")</f>
        <v/>
      </c>
      <c r="AY470">
        <f t="shared" si="107"/>
        <v>0</v>
      </c>
      <c r="BB470" t="str">
        <f>IFERROR(VLOOKUP(BA470,tbFactorMes,2,FALSE),"")</f>
        <v/>
      </c>
      <c r="BC470">
        <f t="shared" si="108"/>
        <v>0</v>
      </c>
      <c r="BF470" t="str">
        <f>IFERROR(VLOOKUP(BE470,tbFactorMes,2,FALSE),"")</f>
        <v/>
      </c>
      <c r="BG470">
        <f t="shared" si="109"/>
        <v>0</v>
      </c>
      <c r="BH470">
        <f t="shared" si="110"/>
        <v>0</v>
      </c>
      <c r="BI470">
        <f t="shared" si="111"/>
        <v>0</v>
      </c>
    </row>
    <row r="471" spans="11:61" x14ac:dyDescent="0.35">
      <c r="K471" t="str">
        <f>IFERROR(VLOOKUP(F471,tbTurnos,3,FALSE),"")</f>
        <v/>
      </c>
      <c r="N471" t="str">
        <f>IFERROR(VLOOKUP(M471,tbFactorMes,2,FALSE),"")</f>
        <v/>
      </c>
      <c r="O471">
        <f t="shared" si="98"/>
        <v>0</v>
      </c>
      <c r="R471" t="str">
        <f>IFERROR(VLOOKUP(Q471,tbFactorMes,2,FALSE),"")</f>
        <v/>
      </c>
      <c r="S471">
        <f t="shared" si="99"/>
        <v>0</v>
      </c>
      <c r="V471" t="str">
        <f>IFERROR(VLOOKUP(U471,tbFactorMes,2,FALSE),"")</f>
        <v/>
      </c>
      <c r="W471">
        <f t="shared" si="100"/>
        <v>0</v>
      </c>
      <c r="Z471" t="str">
        <f>IFERROR(VLOOKUP(Y471,tbFactorMes,2,FALSE),"")</f>
        <v/>
      </c>
      <c r="AA471">
        <f t="shared" si="101"/>
        <v>0</v>
      </c>
      <c r="AD471" t="str">
        <f>IFERROR(VLOOKUP(AC471,tbFactorMes,2,FALSE),"")</f>
        <v/>
      </c>
      <c r="AE471">
        <f t="shared" si="102"/>
        <v>0</v>
      </c>
      <c r="AH471" t="str">
        <f>IFERROR(VLOOKUP(AG471,tbFactorMes,2,FALSE),"")</f>
        <v/>
      </c>
      <c r="AI471">
        <f t="shared" si="103"/>
        <v>0</v>
      </c>
      <c r="AL471" t="str">
        <f>IFERROR(VLOOKUP(AK471,tbFactorMes,2,FALSE),"")</f>
        <v/>
      </c>
      <c r="AM471">
        <f t="shared" si="104"/>
        <v>0</v>
      </c>
      <c r="AP471" t="str">
        <f>IFERROR(VLOOKUP(AO471,tbFactorMes,2,FALSE),"")</f>
        <v/>
      </c>
      <c r="AQ471">
        <f t="shared" si="105"/>
        <v>0</v>
      </c>
      <c r="AT471" t="str">
        <f>IFERROR(VLOOKUP(AS471,tbFactorMes,2,FALSE),"")</f>
        <v/>
      </c>
      <c r="AU471">
        <f t="shared" si="106"/>
        <v>0</v>
      </c>
      <c r="AX471" t="str">
        <f>IFERROR(VLOOKUP(AW471,tbFactorMes,2,FALSE),"")</f>
        <v/>
      </c>
      <c r="AY471">
        <f t="shared" si="107"/>
        <v>0</v>
      </c>
      <c r="BB471" t="str">
        <f>IFERROR(VLOOKUP(BA471,tbFactorMes,2,FALSE),"")</f>
        <v/>
      </c>
      <c r="BC471">
        <f t="shared" si="108"/>
        <v>0</v>
      </c>
      <c r="BF471" t="str">
        <f>IFERROR(VLOOKUP(BE471,tbFactorMes,2,FALSE),"")</f>
        <v/>
      </c>
      <c r="BG471">
        <f t="shared" si="109"/>
        <v>0</v>
      </c>
      <c r="BH471">
        <f t="shared" si="110"/>
        <v>0</v>
      </c>
      <c r="BI471">
        <f t="shared" si="111"/>
        <v>0</v>
      </c>
    </row>
    <row r="472" spans="11:61" x14ac:dyDescent="0.35">
      <c r="K472" t="str">
        <f>IFERROR(VLOOKUP(F472,tbTurnos,3,FALSE),"")</f>
        <v/>
      </c>
      <c r="N472" t="str">
        <f>IFERROR(VLOOKUP(M472,tbFactorMes,2,FALSE),"")</f>
        <v/>
      </c>
      <c r="O472">
        <f t="shared" si="98"/>
        <v>0</v>
      </c>
      <c r="R472" t="str">
        <f>IFERROR(VLOOKUP(Q472,tbFactorMes,2,FALSE),"")</f>
        <v/>
      </c>
      <c r="S472">
        <f t="shared" si="99"/>
        <v>0</v>
      </c>
      <c r="V472" t="str">
        <f>IFERROR(VLOOKUP(U472,tbFactorMes,2,FALSE),"")</f>
        <v/>
      </c>
      <c r="W472">
        <f t="shared" si="100"/>
        <v>0</v>
      </c>
      <c r="Z472" t="str">
        <f>IFERROR(VLOOKUP(Y472,tbFactorMes,2,FALSE),"")</f>
        <v/>
      </c>
      <c r="AA472">
        <f t="shared" si="101"/>
        <v>0</v>
      </c>
      <c r="AD472" t="str">
        <f>IFERROR(VLOOKUP(AC472,tbFactorMes,2,FALSE),"")</f>
        <v/>
      </c>
      <c r="AE472">
        <f t="shared" si="102"/>
        <v>0</v>
      </c>
      <c r="AH472" t="str">
        <f>IFERROR(VLOOKUP(AG472,tbFactorMes,2,FALSE),"")</f>
        <v/>
      </c>
      <c r="AI472">
        <f t="shared" si="103"/>
        <v>0</v>
      </c>
      <c r="AL472" t="str">
        <f>IFERROR(VLOOKUP(AK472,tbFactorMes,2,FALSE),"")</f>
        <v/>
      </c>
      <c r="AM472">
        <f t="shared" si="104"/>
        <v>0</v>
      </c>
      <c r="AP472" t="str">
        <f>IFERROR(VLOOKUP(AO472,tbFactorMes,2,FALSE),"")</f>
        <v/>
      </c>
      <c r="AQ472">
        <f t="shared" si="105"/>
        <v>0</v>
      </c>
      <c r="AT472" t="str">
        <f>IFERROR(VLOOKUP(AS472,tbFactorMes,2,FALSE),"")</f>
        <v/>
      </c>
      <c r="AU472">
        <f t="shared" si="106"/>
        <v>0</v>
      </c>
      <c r="AX472" t="str">
        <f>IFERROR(VLOOKUP(AW472,tbFactorMes,2,FALSE),"")</f>
        <v/>
      </c>
      <c r="AY472">
        <f t="shared" si="107"/>
        <v>0</v>
      </c>
      <c r="BB472" t="str">
        <f>IFERROR(VLOOKUP(BA472,tbFactorMes,2,FALSE),"")</f>
        <v/>
      </c>
      <c r="BC472">
        <f t="shared" si="108"/>
        <v>0</v>
      </c>
      <c r="BF472" t="str">
        <f>IFERROR(VLOOKUP(BE472,tbFactorMes,2,FALSE),"")</f>
        <v/>
      </c>
      <c r="BG472">
        <f t="shared" si="109"/>
        <v>0</v>
      </c>
      <c r="BH472">
        <f t="shared" si="110"/>
        <v>0</v>
      </c>
      <c r="BI472">
        <f t="shared" si="111"/>
        <v>0</v>
      </c>
    </row>
    <row r="473" spans="11:61" x14ac:dyDescent="0.35">
      <c r="K473" t="str">
        <f>IFERROR(VLOOKUP(F473,tbTurnos,3,FALSE),"")</f>
        <v/>
      </c>
      <c r="N473" t="str">
        <f>IFERROR(VLOOKUP(M473,tbFactorMes,2,FALSE),"")</f>
        <v/>
      </c>
      <c r="O473">
        <f t="shared" si="98"/>
        <v>0</v>
      </c>
      <c r="R473" t="str">
        <f>IFERROR(VLOOKUP(Q473,tbFactorMes,2,FALSE),"")</f>
        <v/>
      </c>
      <c r="S473">
        <f t="shared" si="99"/>
        <v>0</v>
      </c>
      <c r="V473" t="str">
        <f>IFERROR(VLOOKUP(U473,tbFactorMes,2,FALSE),"")</f>
        <v/>
      </c>
      <c r="W473">
        <f t="shared" si="100"/>
        <v>0</v>
      </c>
      <c r="Z473" t="str">
        <f>IFERROR(VLOOKUP(Y473,tbFactorMes,2,FALSE),"")</f>
        <v/>
      </c>
      <c r="AA473">
        <f t="shared" si="101"/>
        <v>0</v>
      </c>
      <c r="AD473" t="str">
        <f>IFERROR(VLOOKUP(AC473,tbFactorMes,2,FALSE),"")</f>
        <v/>
      </c>
      <c r="AE473">
        <f t="shared" si="102"/>
        <v>0</v>
      </c>
      <c r="AH473" t="str">
        <f>IFERROR(VLOOKUP(AG473,tbFactorMes,2,FALSE),"")</f>
        <v/>
      </c>
      <c r="AI473">
        <f t="shared" si="103"/>
        <v>0</v>
      </c>
      <c r="AL473" t="str">
        <f>IFERROR(VLOOKUP(AK473,tbFactorMes,2,FALSE),"")</f>
        <v/>
      </c>
      <c r="AM473">
        <f t="shared" si="104"/>
        <v>0</v>
      </c>
      <c r="AP473" t="str">
        <f>IFERROR(VLOOKUP(AO473,tbFactorMes,2,FALSE),"")</f>
        <v/>
      </c>
      <c r="AQ473">
        <f t="shared" si="105"/>
        <v>0</v>
      </c>
      <c r="AT473" t="str">
        <f>IFERROR(VLOOKUP(AS473,tbFactorMes,2,FALSE),"")</f>
        <v/>
      </c>
      <c r="AU473">
        <f t="shared" si="106"/>
        <v>0</v>
      </c>
      <c r="AX473" t="str">
        <f>IFERROR(VLOOKUP(AW473,tbFactorMes,2,FALSE),"")</f>
        <v/>
      </c>
      <c r="AY473">
        <f t="shared" si="107"/>
        <v>0</v>
      </c>
      <c r="BB473" t="str">
        <f>IFERROR(VLOOKUP(BA473,tbFactorMes,2,FALSE),"")</f>
        <v/>
      </c>
      <c r="BC473">
        <f t="shared" si="108"/>
        <v>0</v>
      </c>
      <c r="BF473" t="str">
        <f>IFERROR(VLOOKUP(BE473,tbFactorMes,2,FALSE),"")</f>
        <v/>
      </c>
      <c r="BG473">
        <f t="shared" si="109"/>
        <v>0</v>
      </c>
      <c r="BH473">
        <f t="shared" si="110"/>
        <v>0</v>
      </c>
      <c r="BI473">
        <f t="shared" si="111"/>
        <v>0</v>
      </c>
    </row>
    <row r="474" spans="11:61" x14ac:dyDescent="0.35">
      <c r="K474" t="str">
        <f>IFERROR(VLOOKUP(F474,tbTurnos,3,FALSE),"")</f>
        <v/>
      </c>
      <c r="N474" t="str">
        <f>IFERROR(VLOOKUP(M474,tbFactorMes,2,FALSE),"")</f>
        <v/>
      </c>
      <c r="O474">
        <f t="shared" si="98"/>
        <v>0</v>
      </c>
      <c r="R474" t="str">
        <f>IFERROR(VLOOKUP(Q474,tbFactorMes,2,FALSE),"")</f>
        <v/>
      </c>
      <c r="S474">
        <f t="shared" si="99"/>
        <v>0</v>
      </c>
      <c r="V474" t="str">
        <f>IFERROR(VLOOKUP(U474,tbFactorMes,2,FALSE),"")</f>
        <v/>
      </c>
      <c r="W474">
        <f t="shared" si="100"/>
        <v>0</v>
      </c>
      <c r="Z474" t="str">
        <f>IFERROR(VLOOKUP(Y474,tbFactorMes,2,FALSE),"")</f>
        <v/>
      </c>
      <c r="AA474">
        <f t="shared" si="101"/>
        <v>0</v>
      </c>
      <c r="AD474" t="str">
        <f>IFERROR(VLOOKUP(AC474,tbFactorMes,2,FALSE),"")</f>
        <v/>
      </c>
      <c r="AE474">
        <f t="shared" si="102"/>
        <v>0</v>
      </c>
      <c r="AH474" t="str">
        <f>IFERROR(VLOOKUP(AG474,tbFactorMes,2,FALSE),"")</f>
        <v/>
      </c>
      <c r="AI474">
        <f t="shared" si="103"/>
        <v>0</v>
      </c>
      <c r="AL474" t="str">
        <f>IFERROR(VLOOKUP(AK474,tbFactorMes,2,FALSE),"")</f>
        <v/>
      </c>
      <c r="AM474">
        <f t="shared" si="104"/>
        <v>0</v>
      </c>
      <c r="AP474" t="str">
        <f>IFERROR(VLOOKUP(AO474,tbFactorMes,2,FALSE),"")</f>
        <v/>
      </c>
      <c r="AQ474">
        <f t="shared" si="105"/>
        <v>0</v>
      </c>
      <c r="AT474" t="str">
        <f>IFERROR(VLOOKUP(AS474,tbFactorMes,2,FALSE),"")</f>
        <v/>
      </c>
      <c r="AU474">
        <f t="shared" si="106"/>
        <v>0</v>
      </c>
      <c r="AX474" t="str">
        <f>IFERROR(VLOOKUP(AW474,tbFactorMes,2,FALSE),"")</f>
        <v/>
      </c>
      <c r="AY474">
        <f t="shared" si="107"/>
        <v>0</v>
      </c>
      <c r="BB474" t="str">
        <f>IFERROR(VLOOKUP(BA474,tbFactorMes,2,FALSE),"")</f>
        <v/>
      </c>
      <c r="BC474">
        <f t="shared" si="108"/>
        <v>0</v>
      </c>
      <c r="BF474" t="str">
        <f>IFERROR(VLOOKUP(BE474,tbFactorMes,2,FALSE),"")</f>
        <v/>
      </c>
      <c r="BG474">
        <f t="shared" si="109"/>
        <v>0</v>
      </c>
      <c r="BH474">
        <f t="shared" si="110"/>
        <v>0</v>
      </c>
      <c r="BI474">
        <f t="shared" si="111"/>
        <v>0</v>
      </c>
    </row>
    <row r="475" spans="11:61" x14ac:dyDescent="0.35">
      <c r="K475" t="str">
        <f>IFERROR(VLOOKUP(F475,tbTurnos,3,FALSE),"")</f>
        <v/>
      </c>
      <c r="N475" t="str">
        <f>IFERROR(VLOOKUP(M475,tbFactorMes,2,FALSE),"")</f>
        <v/>
      </c>
      <c r="O475">
        <f t="shared" si="98"/>
        <v>0</v>
      </c>
      <c r="R475" t="str">
        <f>IFERROR(VLOOKUP(Q475,tbFactorMes,2,FALSE),"")</f>
        <v/>
      </c>
      <c r="S475">
        <f t="shared" si="99"/>
        <v>0</v>
      </c>
      <c r="V475" t="str">
        <f>IFERROR(VLOOKUP(U475,tbFactorMes,2,FALSE),"")</f>
        <v/>
      </c>
      <c r="W475">
        <f t="shared" si="100"/>
        <v>0</v>
      </c>
      <c r="Z475" t="str">
        <f>IFERROR(VLOOKUP(Y475,tbFactorMes,2,FALSE),"")</f>
        <v/>
      </c>
      <c r="AA475">
        <f t="shared" si="101"/>
        <v>0</v>
      </c>
      <c r="AD475" t="str">
        <f>IFERROR(VLOOKUP(AC475,tbFactorMes,2,FALSE),"")</f>
        <v/>
      </c>
      <c r="AE475">
        <f t="shared" si="102"/>
        <v>0</v>
      </c>
      <c r="AH475" t="str">
        <f>IFERROR(VLOOKUP(AG475,tbFactorMes,2,FALSE),"")</f>
        <v/>
      </c>
      <c r="AI475">
        <f t="shared" si="103"/>
        <v>0</v>
      </c>
      <c r="AL475" t="str">
        <f>IFERROR(VLOOKUP(AK475,tbFactorMes,2,FALSE),"")</f>
        <v/>
      </c>
      <c r="AM475">
        <f t="shared" si="104"/>
        <v>0</v>
      </c>
      <c r="AP475" t="str">
        <f>IFERROR(VLOOKUP(AO475,tbFactorMes,2,FALSE),"")</f>
        <v/>
      </c>
      <c r="AQ475">
        <f t="shared" si="105"/>
        <v>0</v>
      </c>
      <c r="AT475" t="str">
        <f>IFERROR(VLOOKUP(AS475,tbFactorMes,2,FALSE),"")</f>
        <v/>
      </c>
      <c r="AU475">
        <f t="shared" si="106"/>
        <v>0</v>
      </c>
      <c r="AX475" t="str">
        <f>IFERROR(VLOOKUP(AW475,tbFactorMes,2,FALSE),"")</f>
        <v/>
      </c>
      <c r="AY475">
        <f t="shared" si="107"/>
        <v>0</v>
      </c>
      <c r="BB475" t="str">
        <f>IFERROR(VLOOKUP(BA475,tbFactorMes,2,FALSE),"")</f>
        <v/>
      </c>
      <c r="BC475">
        <f t="shared" si="108"/>
        <v>0</v>
      </c>
      <c r="BF475" t="str">
        <f>IFERROR(VLOOKUP(BE475,tbFactorMes,2,FALSE),"")</f>
        <v/>
      </c>
      <c r="BG475">
        <f t="shared" si="109"/>
        <v>0</v>
      </c>
      <c r="BH475">
        <f t="shared" si="110"/>
        <v>0</v>
      </c>
      <c r="BI475">
        <f t="shared" si="111"/>
        <v>0</v>
      </c>
    </row>
    <row r="476" spans="11:61" x14ac:dyDescent="0.35">
      <c r="K476" t="str">
        <f>IFERROR(VLOOKUP(F476,tbTurnos,3,FALSE),"")</f>
        <v/>
      </c>
      <c r="N476" t="str">
        <f>IFERROR(VLOOKUP(M476,tbFactorMes,2,FALSE),"")</f>
        <v/>
      </c>
      <c r="O476">
        <f t="shared" si="98"/>
        <v>0</v>
      </c>
      <c r="R476" t="str">
        <f>IFERROR(VLOOKUP(Q476,tbFactorMes,2,FALSE),"")</f>
        <v/>
      </c>
      <c r="S476">
        <f t="shared" si="99"/>
        <v>0</v>
      </c>
      <c r="V476" t="str">
        <f>IFERROR(VLOOKUP(U476,tbFactorMes,2,FALSE),"")</f>
        <v/>
      </c>
      <c r="W476">
        <f t="shared" si="100"/>
        <v>0</v>
      </c>
      <c r="Z476" t="str">
        <f>IFERROR(VLOOKUP(Y476,tbFactorMes,2,FALSE),"")</f>
        <v/>
      </c>
      <c r="AA476">
        <f t="shared" si="101"/>
        <v>0</v>
      </c>
      <c r="AD476" t="str">
        <f>IFERROR(VLOOKUP(AC476,tbFactorMes,2,FALSE),"")</f>
        <v/>
      </c>
      <c r="AE476">
        <f t="shared" si="102"/>
        <v>0</v>
      </c>
      <c r="AH476" t="str">
        <f>IFERROR(VLOOKUP(AG476,tbFactorMes,2,FALSE),"")</f>
        <v/>
      </c>
      <c r="AI476">
        <f t="shared" si="103"/>
        <v>0</v>
      </c>
      <c r="AL476" t="str">
        <f>IFERROR(VLOOKUP(AK476,tbFactorMes,2,FALSE),"")</f>
        <v/>
      </c>
      <c r="AM476">
        <f t="shared" si="104"/>
        <v>0</v>
      </c>
      <c r="AP476" t="str">
        <f>IFERROR(VLOOKUP(AO476,tbFactorMes,2,FALSE),"")</f>
        <v/>
      </c>
      <c r="AQ476">
        <f t="shared" si="105"/>
        <v>0</v>
      </c>
      <c r="AT476" t="str">
        <f>IFERROR(VLOOKUP(AS476,tbFactorMes,2,FALSE),"")</f>
        <v/>
      </c>
      <c r="AU476">
        <f t="shared" si="106"/>
        <v>0</v>
      </c>
      <c r="AX476" t="str">
        <f>IFERROR(VLOOKUP(AW476,tbFactorMes,2,FALSE),"")</f>
        <v/>
      </c>
      <c r="AY476">
        <f t="shared" si="107"/>
        <v>0</v>
      </c>
      <c r="BB476" t="str">
        <f>IFERROR(VLOOKUP(BA476,tbFactorMes,2,FALSE),"")</f>
        <v/>
      </c>
      <c r="BC476">
        <f t="shared" si="108"/>
        <v>0</v>
      </c>
      <c r="BF476" t="str">
        <f>IFERROR(VLOOKUP(BE476,tbFactorMes,2,FALSE),"")</f>
        <v/>
      </c>
      <c r="BG476">
        <f t="shared" si="109"/>
        <v>0</v>
      </c>
      <c r="BH476">
        <f t="shared" si="110"/>
        <v>0</v>
      </c>
      <c r="BI476">
        <f t="shared" si="111"/>
        <v>0</v>
      </c>
    </row>
    <row r="477" spans="11:61" x14ac:dyDescent="0.35">
      <c r="K477" t="str">
        <f>IFERROR(VLOOKUP(F477,tbTurnos,3,FALSE),"")</f>
        <v/>
      </c>
      <c r="N477" t="str">
        <f>IFERROR(VLOOKUP(M477,tbFactorMes,2,FALSE),"")</f>
        <v/>
      </c>
      <c r="O477">
        <f t="shared" si="98"/>
        <v>0</v>
      </c>
      <c r="R477" t="str">
        <f>IFERROR(VLOOKUP(Q477,tbFactorMes,2,FALSE),"")</f>
        <v/>
      </c>
      <c r="S477">
        <f t="shared" si="99"/>
        <v>0</v>
      </c>
      <c r="V477" t="str">
        <f>IFERROR(VLOOKUP(U477,tbFactorMes,2,FALSE),"")</f>
        <v/>
      </c>
      <c r="W477">
        <f t="shared" si="100"/>
        <v>0</v>
      </c>
      <c r="Z477" t="str">
        <f>IFERROR(VLOOKUP(Y477,tbFactorMes,2,FALSE),"")</f>
        <v/>
      </c>
      <c r="AA477">
        <f t="shared" si="101"/>
        <v>0</v>
      </c>
      <c r="AD477" t="str">
        <f>IFERROR(VLOOKUP(AC477,tbFactorMes,2,FALSE),"")</f>
        <v/>
      </c>
      <c r="AE477">
        <f t="shared" si="102"/>
        <v>0</v>
      </c>
      <c r="AH477" t="str">
        <f>IFERROR(VLOOKUP(AG477,tbFactorMes,2,FALSE),"")</f>
        <v/>
      </c>
      <c r="AI477">
        <f t="shared" si="103"/>
        <v>0</v>
      </c>
      <c r="AL477" t="str">
        <f>IFERROR(VLOOKUP(AK477,tbFactorMes,2,FALSE),"")</f>
        <v/>
      </c>
      <c r="AM477">
        <f t="shared" si="104"/>
        <v>0</v>
      </c>
      <c r="AP477" t="str">
        <f>IFERROR(VLOOKUP(AO477,tbFactorMes,2,FALSE),"")</f>
        <v/>
      </c>
      <c r="AQ477">
        <f t="shared" si="105"/>
        <v>0</v>
      </c>
      <c r="AT477" t="str">
        <f>IFERROR(VLOOKUP(AS477,tbFactorMes,2,FALSE),"")</f>
        <v/>
      </c>
      <c r="AU477">
        <f t="shared" si="106"/>
        <v>0</v>
      </c>
      <c r="AX477" t="str">
        <f>IFERROR(VLOOKUP(AW477,tbFactorMes,2,FALSE),"")</f>
        <v/>
      </c>
      <c r="AY477">
        <f t="shared" si="107"/>
        <v>0</v>
      </c>
      <c r="BB477" t="str">
        <f>IFERROR(VLOOKUP(BA477,tbFactorMes,2,FALSE),"")</f>
        <v/>
      </c>
      <c r="BC477">
        <f t="shared" si="108"/>
        <v>0</v>
      </c>
      <c r="BF477" t="str">
        <f>IFERROR(VLOOKUP(BE477,tbFactorMes,2,FALSE),"")</f>
        <v/>
      </c>
      <c r="BG477">
        <f t="shared" si="109"/>
        <v>0</v>
      </c>
      <c r="BH477">
        <f t="shared" si="110"/>
        <v>0</v>
      </c>
      <c r="BI477">
        <f t="shared" si="111"/>
        <v>0</v>
      </c>
    </row>
    <row r="478" spans="11:61" x14ac:dyDescent="0.35">
      <c r="K478" t="str">
        <f>IFERROR(VLOOKUP(F478,tbTurnos,3,FALSE),"")</f>
        <v/>
      </c>
      <c r="N478" t="str">
        <f>IFERROR(VLOOKUP(M478,tbFactorMes,2,FALSE),"")</f>
        <v/>
      </c>
      <c r="O478">
        <f t="shared" si="98"/>
        <v>0</v>
      </c>
      <c r="R478" t="str">
        <f>IFERROR(VLOOKUP(Q478,tbFactorMes,2,FALSE),"")</f>
        <v/>
      </c>
      <c r="S478">
        <f t="shared" si="99"/>
        <v>0</v>
      </c>
      <c r="V478" t="str">
        <f>IFERROR(VLOOKUP(U478,tbFactorMes,2,FALSE),"")</f>
        <v/>
      </c>
      <c r="W478">
        <f t="shared" si="100"/>
        <v>0</v>
      </c>
      <c r="Z478" t="str">
        <f>IFERROR(VLOOKUP(Y478,tbFactorMes,2,FALSE),"")</f>
        <v/>
      </c>
      <c r="AA478">
        <f t="shared" si="101"/>
        <v>0</v>
      </c>
      <c r="AD478" t="str">
        <f>IFERROR(VLOOKUP(AC478,tbFactorMes,2,FALSE),"")</f>
        <v/>
      </c>
      <c r="AE478">
        <f t="shared" si="102"/>
        <v>0</v>
      </c>
      <c r="AH478" t="str">
        <f>IFERROR(VLOOKUP(AG478,tbFactorMes,2,FALSE),"")</f>
        <v/>
      </c>
      <c r="AI478">
        <f t="shared" si="103"/>
        <v>0</v>
      </c>
      <c r="AL478" t="str">
        <f>IFERROR(VLOOKUP(AK478,tbFactorMes,2,FALSE),"")</f>
        <v/>
      </c>
      <c r="AM478">
        <f t="shared" si="104"/>
        <v>0</v>
      </c>
      <c r="AP478" t="str">
        <f>IFERROR(VLOOKUP(AO478,tbFactorMes,2,FALSE),"")</f>
        <v/>
      </c>
      <c r="AQ478">
        <f t="shared" si="105"/>
        <v>0</v>
      </c>
      <c r="AT478" t="str">
        <f>IFERROR(VLOOKUP(AS478,tbFactorMes,2,FALSE),"")</f>
        <v/>
      </c>
      <c r="AU478">
        <f t="shared" si="106"/>
        <v>0</v>
      </c>
      <c r="AX478" t="str">
        <f>IFERROR(VLOOKUP(AW478,tbFactorMes,2,FALSE),"")</f>
        <v/>
      </c>
      <c r="AY478">
        <f t="shared" si="107"/>
        <v>0</v>
      </c>
      <c r="BB478" t="str">
        <f>IFERROR(VLOOKUP(BA478,tbFactorMes,2,FALSE),"")</f>
        <v/>
      </c>
      <c r="BC478">
        <f t="shared" si="108"/>
        <v>0</v>
      </c>
      <c r="BF478" t="str">
        <f>IFERROR(VLOOKUP(BE478,tbFactorMes,2,FALSE),"")</f>
        <v/>
      </c>
      <c r="BG478">
        <f t="shared" si="109"/>
        <v>0</v>
      </c>
      <c r="BH478">
        <f t="shared" si="110"/>
        <v>0</v>
      </c>
      <c r="BI478">
        <f t="shared" si="111"/>
        <v>0</v>
      </c>
    </row>
    <row r="479" spans="11:61" x14ac:dyDescent="0.35">
      <c r="K479" t="str">
        <f>IFERROR(VLOOKUP(F479,tbTurnos,3,FALSE),"")</f>
        <v/>
      </c>
      <c r="N479" t="str">
        <f>IFERROR(VLOOKUP(M479,tbFactorMes,2,FALSE),"")</f>
        <v/>
      </c>
      <c r="O479">
        <f t="shared" si="98"/>
        <v>0</v>
      </c>
      <c r="R479" t="str">
        <f>IFERROR(VLOOKUP(Q479,tbFactorMes,2,FALSE),"")</f>
        <v/>
      </c>
      <c r="S479">
        <f t="shared" si="99"/>
        <v>0</v>
      </c>
      <c r="V479" t="str">
        <f>IFERROR(VLOOKUP(U479,tbFactorMes,2,FALSE),"")</f>
        <v/>
      </c>
      <c r="W479">
        <f t="shared" si="100"/>
        <v>0</v>
      </c>
      <c r="Z479" t="str">
        <f>IFERROR(VLOOKUP(Y479,tbFactorMes,2,FALSE),"")</f>
        <v/>
      </c>
      <c r="AA479">
        <f t="shared" si="101"/>
        <v>0</v>
      </c>
      <c r="AD479" t="str">
        <f>IFERROR(VLOOKUP(AC479,tbFactorMes,2,FALSE),"")</f>
        <v/>
      </c>
      <c r="AE479">
        <f t="shared" si="102"/>
        <v>0</v>
      </c>
      <c r="AH479" t="str">
        <f>IFERROR(VLOOKUP(AG479,tbFactorMes,2,FALSE),"")</f>
        <v/>
      </c>
      <c r="AI479">
        <f t="shared" si="103"/>
        <v>0</v>
      </c>
      <c r="AL479" t="str">
        <f>IFERROR(VLOOKUP(AK479,tbFactorMes,2,FALSE),"")</f>
        <v/>
      </c>
      <c r="AM479">
        <f t="shared" si="104"/>
        <v>0</v>
      </c>
      <c r="AP479" t="str">
        <f>IFERROR(VLOOKUP(AO479,tbFactorMes,2,FALSE),"")</f>
        <v/>
      </c>
      <c r="AQ479">
        <f t="shared" si="105"/>
        <v>0</v>
      </c>
      <c r="AT479" t="str">
        <f>IFERROR(VLOOKUP(AS479,tbFactorMes,2,FALSE),"")</f>
        <v/>
      </c>
      <c r="AU479">
        <f t="shared" si="106"/>
        <v>0</v>
      </c>
      <c r="AX479" t="str">
        <f>IFERROR(VLOOKUP(AW479,tbFactorMes,2,FALSE),"")</f>
        <v/>
      </c>
      <c r="AY479">
        <f t="shared" si="107"/>
        <v>0</v>
      </c>
      <c r="BB479" t="str">
        <f>IFERROR(VLOOKUP(BA479,tbFactorMes,2,FALSE),"")</f>
        <v/>
      </c>
      <c r="BC479">
        <f t="shared" si="108"/>
        <v>0</v>
      </c>
      <c r="BF479" t="str">
        <f>IFERROR(VLOOKUP(BE479,tbFactorMes,2,FALSE),"")</f>
        <v/>
      </c>
      <c r="BG479">
        <f t="shared" si="109"/>
        <v>0</v>
      </c>
      <c r="BH479">
        <f t="shared" si="110"/>
        <v>0</v>
      </c>
      <c r="BI479">
        <f t="shared" si="111"/>
        <v>0</v>
      </c>
    </row>
    <row r="480" spans="11:61" x14ac:dyDescent="0.35">
      <c r="K480" t="str">
        <f>IFERROR(VLOOKUP(F480,tbTurnos,3,FALSE),"")</f>
        <v/>
      </c>
      <c r="N480" t="str">
        <f>IFERROR(VLOOKUP(M480,tbFactorMes,2,FALSE),"")</f>
        <v/>
      </c>
      <c r="O480">
        <f t="shared" si="98"/>
        <v>0</v>
      </c>
      <c r="R480" t="str">
        <f>IFERROR(VLOOKUP(Q480,tbFactorMes,2,FALSE),"")</f>
        <v/>
      </c>
      <c r="S480">
        <f t="shared" si="99"/>
        <v>0</v>
      </c>
      <c r="V480" t="str">
        <f>IFERROR(VLOOKUP(U480,tbFactorMes,2,FALSE),"")</f>
        <v/>
      </c>
      <c r="W480">
        <f t="shared" si="100"/>
        <v>0</v>
      </c>
      <c r="Z480" t="str">
        <f>IFERROR(VLOOKUP(Y480,tbFactorMes,2,FALSE),"")</f>
        <v/>
      </c>
      <c r="AA480">
        <f t="shared" si="101"/>
        <v>0</v>
      </c>
      <c r="AD480" t="str">
        <f>IFERROR(VLOOKUP(AC480,tbFactorMes,2,FALSE),"")</f>
        <v/>
      </c>
      <c r="AE480">
        <f t="shared" si="102"/>
        <v>0</v>
      </c>
      <c r="AH480" t="str">
        <f>IFERROR(VLOOKUP(AG480,tbFactorMes,2,FALSE),"")</f>
        <v/>
      </c>
      <c r="AI480">
        <f t="shared" si="103"/>
        <v>0</v>
      </c>
      <c r="AL480" t="str">
        <f>IFERROR(VLOOKUP(AK480,tbFactorMes,2,FALSE),"")</f>
        <v/>
      </c>
      <c r="AM480">
        <f t="shared" si="104"/>
        <v>0</v>
      </c>
      <c r="AP480" t="str">
        <f>IFERROR(VLOOKUP(AO480,tbFactorMes,2,FALSE),"")</f>
        <v/>
      </c>
      <c r="AQ480">
        <f t="shared" si="105"/>
        <v>0</v>
      </c>
      <c r="AT480" t="str">
        <f>IFERROR(VLOOKUP(AS480,tbFactorMes,2,FALSE),"")</f>
        <v/>
      </c>
      <c r="AU480">
        <f t="shared" si="106"/>
        <v>0</v>
      </c>
      <c r="AX480" t="str">
        <f>IFERROR(VLOOKUP(AW480,tbFactorMes,2,FALSE),"")</f>
        <v/>
      </c>
      <c r="AY480">
        <f t="shared" si="107"/>
        <v>0</v>
      </c>
      <c r="BB480" t="str">
        <f>IFERROR(VLOOKUP(BA480,tbFactorMes,2,FALSE),"")</f>
        <v/>
      </c>
      <c r="BC480">
        <f t="shared" si="108"/>
        <v>0</v>
      </c>
      <c r="BF480" t="str">
        <f>IFERROR(VLOOKUP(BE480,tbFactorMes,2,FALSE),"")</f>
        <v/>
      </c>
      <c r="BG480">
        <f t="shared" si="109"/>
        <v>0</v>
      </c>
      <c r="BH480">
        <f t="shared" si="110"/>
        <v>0</v>
      </c>
      <c r="BI480">
        <f t="shared" si="111"/>
        <v>0</v>
      </c>
    </row>
    <row r="481" spans="11:61" x14ac:dyDescent="0.35">
      <c r="K481" t="str">
        <f>IFERROR(VLOOKUP(F481,tbTurnos,3,FALSE),"")</f>
        <v/>
      </c>
      <c r="N481" t="str">
        <f>IFERROR(VLOOKUP(M481,tbFactorMes,2,FALSE),"")</f>
        <v/>
      </c>
      <c r="O481">
        <f t="shared" si="98"/>
        <v>0</v>
      </c>
      <c r="R481" t="str">
        <f>IFERROR(VLOOKUP(Q481,tbFactorMes,2,FALSE),"")</f>
        <v/>
      </c>
      <c r="S481">
        <f t="shared" si="99"/>
        <v>0</v>
      </c>
      <c r="V481" t="str">
        <f>IFERROR(VLOOKUP(U481,tbFactorMes,2,FALSE),"")</f>
        <v/>
      </c>
      <c r="W481">
        <f t="shared" si="100"/>
        <v>0</v>
      </c>
      <c r="Z481" t="str">
        <f>IFERROR(VLOOKUP(Y481,tbFactorMes,2,FALSE),"")</f>
        <v/>
      </c>
      <c r="AA481">
        <f t="shared" si="101"/>
        <v>0</v>
      </c>
      <c r="AD481" t="str">
        <f>IFERROR(VLOOKUP(AC481,tbFactorMes,2,FALSE),"")</f>
        <v/>
      </c>
      <c r="AE481">
        <f t="shared" si="102"/>
        <v>0</v>
      </c>
      <c r="AH481" t="str">
        <f>IFERROR(VLOOKUP(AG481,tbFactorMes,2,FALSE),"")</f>
        <v/>
      </c>
      <c r="AI481">
        <f t="shared" si="103"/>
        <v>0</v>
      </c>
      <c r="AL481" t="str">
        <f>IFERROR(VLOOKUP(AK481,tbFactorMes,2,FALSE),"")</f>
        <v/>
      </c>
      <c r="AM481">
        <f t="shared" si="104"/>
        <v>0</v>
      </c>
      <c r="AP481" t="str">
        <f>IFERROR(VLOOKUP(AO481,tbFactorMes,2,FALSE),"")</f>
        <v/>
      </c>
      <c r="AQ481">
        <f t="shared" si="105"/>
        <v>0</v>
      </c>
      <c r="AT481" t="str">
        <f>IFERROR(VLOOKUP(AS481,tbFactorMes,2,FALSE),"")</f>
        <v/>
      </c>
      <c r="AU481">
        <f t="shared" si="106"/>
        <v>0</v>
      </c>
      <c r="AX481" t="str">
        <f>IFERROR(VLOOKUP(AW481,tbFactorMes,2,FALSE),"")</f>
        <v/>
      </c>
      <c r="AY481">
        <f t="shared" si="107"/>
        <v>0</v>
      </c>
      <c r="BB481" t="str">
        <f>IFERROR(VLOOKUP(BA481,tbFactorMes,2,FALSE),"")</f>
        <v/>
      </c>
      <c r="BC481">
        <f t="shared" si="108"/>
        <v>0</v>
      </c>
      <c r="BF481" t="str">
        <f>IFERROR(VLOOKUP(BE481,tbFactorMes,2,FALSE),"")</f>
        <v/>
      </c>
      <c r="BG481">
        <f t="shared" si="109"/>
        <v>0</v>
      </c>
      <c r="BH481">
        <f t="shared" si="110"/>
        <v>0</v>
      </c>
      <c r="BI481">
        <f t="shared" si="111"/>
        <v>0</v>
      </c>
    </row>
    <row r="482" spans="11:61" x14ac:dyDescent="0.35">
      <c r="K482" t="str">
        <f>IFERROR(VLOOKUP(F482,tbTurnos,3,FALSE),"")</f>
        <v/>
      </c>
      <c r="N482" t="str">
        <f>IFERROR(VLOOKUP(M482,tbFactorMes,2,FALSE),"")</f>
        <v/>
      </c>
      <c r="O482">
        <f t="shared" si="98"/>
        <v>0</v>
      </c>
      <c r="R482" t="str">
        <f>IFERROR(VLOOKUP(Q482,tbFactorMes,2,FALSE),"")</f>
        <v/>
      </c>
      <c r="S482">
        <f t="shared" si="99"/>
        <v>0</v>
      </c>
      <c r="V482" t="str">
        <f>IFERROR(VLOOKUP(U482,tbFactorMes,2,FALSE),"")</f>
        <v/>
      </c>
      <c r="W482">
        <f t="shared" si="100"/>
        <v>0</v>
      </c>
      <c r="Z482" t="str">
        <f>IFERROR(VLOOKUP(Y482,tbFactorMes,2,FALSE),"")</f>
        <v/>
      </c>
      <c r="AA482">
        <f t="shared" si="101"/>
        <v>0</v>
      </c>
      <c r="AD482" t="str">
        <f>IFERROR(VLOOKUP(AC482,tbFactorMes,2,FALSE),"")</f>
        <v/>
      </c>
      <c r="AE482">
        <f t="shared" si="102"/>
        <v>0</v>
      </c>
      <c r="AH482" t="str">
        <f>IFERROR(VLOOKUP(AG482,tbFactorMes,2,FALSE),"")</f>
        <v/>
      </c>
      <c r="AI482">
        <f t="shared" si="103"/>
        <v>0</v>
      </c>
      <c r="AL482" t="str">
        <f>IFERROR(VLOOKUP(AK482,tbFactorMes,2,FALSE),"")</f>
        <v/>
      </c>
      <c r="AM482">
        <f t="shared" si="104"/>
        <v>0</v>
      </c>
      <c r="AP482" t="str">
        <f>IFERROR(VLOOKUP(AO482,tbFactorMes,2,FALSE),"")</f>
        <v/>
      </c>
      <c r="AQ482">
        <f t="shared" si="105"/>
        <v>0</v>
      </c>
      <c r="AT482" t="str">
        <f>IFERROR(VLOOKUP(AS482,tbFactorMes,2,FALSE),"")</f>
        <v/>
      </c>
      <c r="AU482">
        <f t="shared" si="106"/>
        <v>0</v>
      </c>
      <c r="AX482" t="str">
        <f>IFERROR(VLOOKUP(AW482,tbFactorMes,2,FALSE),"")</f>
        <v/>
      </c>
      <c r="AY482">
        <f t="shared" si="107"/>
        <v>0</v>
      </c>
      <c r="BB482" t="str">
        <f>IFERROR(VLOOKUP(BA482,tbFactorMes,2,FALSE),"")</f>
        <v/>
      </c>
      <c r="BC482">
        <f t="shared" si="108"/>
        <v>0</v>
      </c>
      <c r="BF482" t="str">
        <f>IFERROR(VLOOKUP(BE482,tbFactorMes,2,FALSE),"")</f>
        <v/>
      </c>
      <c r="BG482">
        <f t="shared" si="109"/>
        <v>0</v>
      </c>
      <c r="BH482">
        <f t="shared" si="110"/>
        <v>0</v>
      </c>
      <c r="BI482">
        <f t="shared" si="111"/>
        <v>0</v>
      </c>
    </row>
    <row r="483" spans="11:61" x14ac:dyDescent="0.35">
      <c r="K483" t="str">
        <f>IFERROR(VLOOKUP(F483,tbTurnos,3,FALSE),"")</f>
        <v/>
      </c>
      <c r="N483" t="str">
        <f>IFERROR(VLOOKUP(M483,tbFactorMes,2,FALSE),"")</f>
        <v/>
      </c>
      <c r="O483">
        <f t="shared" si="98"/>
        <v>0</v>
      </c>
      <c r="R483" t="str">
        <f>IFERROR(VLOOKUP(Q483,tbFactorMes,2,FALSE),"")</f>
        <v/>
      </c>
      <c r="S483">
        <f t="shared" si="99"/>
        <v>0</v>
      </c>
      <c r="V483" t="str">
        <f>IFERROR(VLOOKUP(U483,tbFactorMes,2,FALSE),"")</f>
        <v/>
      </c>
      <c r="W483">
        <f t="shared" si="100"/>
        <v>0</v>
      </c>
      <c r="Z483" t="str">
        <f>IFERROR(VLOOKUP(Y483,tbFactorMes,2,FALSE),"")</f>
        <v/>
      </c>
      <c r="AA483">
        <f t="shared" si="101"/>
        <v>0</v>
      </c>
      <c r="AD483" t="str">
        <f>IFERROR(VLOOKUP(AC483,tbFactorMes,2,FALSE),"")</f>
        <v/>
      </c>
      <c r="AE483">
        <f t="shared" si="102"/>
        <v>0</v>
      </c>
      <c r="AH483" t="str">
        <f>IFERROR(VLOOKUP(AG483,tbFactorMes,2,FALSE),"")</f>
        <v/>
      </c>
      <c r="AI483">
        <f t="shared" si="103"/>
        <v>0</v>
      </c>
      <c r="AL483" t="str">
        <f>IFERROR(VLOOKUP(AK483,tbFactorMes,2,FALSE),"")</f>
        <v/>
      </c>
      <c r="AM483">
        <f t="shared" si="104"/>
        <v>0</v>
      </c>
      <c r="AP483" t="str">
        <f>IFERROR(VLOOKUP(AO483,tbFactorMes,2,FALSE),"")</f>
        <v/>
      </c>
      <c r="AQ483">
        <f t="shared" si="105"/>
        <v>0</v>
      </c>
      <c r="AT483" t="str">
        <f>IFERROR(VLOOKUP(AS483,tbFactorMes,2,FALSE),"")</f>
        <v/>
      </c>
      <c r="AU483">
        <f t="shared" si="106"/>
        <v>0</v>
      </c>
      <c r="AX483" t="str">
        <f>IFERROR(VLOOKUP(AW483,tbFactorMes,2,FALSE),"")</f>
        <v/>
      </c>
      <c r="AY483">
        <f t="shared" si="107"/>
        <v>0</v>
      </c>
      <c r="BB483" t="str">
        <f>IFERROR(VLOOKUP(BA483,tbFactorMes,2,FALSE),"")</f>
        <v/>
      </c>
      <c r="BC483">
        <f t="shared" si="108"/>
        <v>0</v>
      </c>
      <c r="BF483" t="str">
        <f>IFERROR(VLOOKUP(BE483,tbFactorMes,2,FALSE),"")</f>
        <v/>
      </c>
      <c r="BG483">
        <f t="shared" si="109"/>
        <v>0</v>
      </c>
      <c r="BH483">
        <f t="shared" si="110"/>
        <v>0</v>
      </c>
      <c r="BI483">
        <f t="shared" si="111"/>
        <v>0</v>
      </c>
    </row>
    <row r="484" spans="11:61" x14ac:dyDescent="0.35">
      <c r="K484" t="str">
        <f>IFERROR(VLOOKUP(F484,tbTurnos,3,FALSE),"")</f>
        <v/>
      </c>
      <c r="N484" t="str">
        <f>IFERROR(VLOOKUP(M484,tbFactorMes,2,FALSE),"")</f>
        <v/>
      </c>
      <c r="O484">
        <f t="shared" si="98"/>
        <v>0</v>
      </c>
      <c r="R484" t="str">
        <f>IFERROR(VLOOKUP(Q484,tbFactorMes,2,FALSE),"")</f>
        <v/>
      </c>
      <c r="S484">
        <f t="shared" si="99"/>
        <v>0</v>
      </c>
      <c r="V484" t="str">
        <f>IFERROR(VLOOKUP(U484,tbFactorMes,2,FALSE),"")</f>
        <v/>
      </c>
      <c r="W484">
        <f t="shared" si="100"/>
        <v>0</v>
      </c>
      <c r="Z484" t="str">
        <f>IFERROR(VLOOKUP(Y484,tbFactorMes,2,FALSE),"")</f>
        <v/>
      </c>
      <c r="AA484">
        <f t="shared" si="101"/>
        <v>0</v>
      </c>
      <c r="AD484" t="str">
        <f>IFERROR(VLOOKUP(AC484,tbFactorMes,2,FALSE),"")</f>
        <v/>
      </c>
      <c r="AE484">
        <f t="shared" si="102"/>
        <v>0</v>
      </c>
      <c r="AH484" t="str">
        <f>IFERROR(VLOOKUP(AG484,tbFactorMes,2,FALSE),"")</f>
        <v/>
      </c>
      <c r="AI484">
        <f t="shared" si="103"/>
        <v>0</v>
      </c>
      <c r="AL484" t="str">
        <f>IFERROR(VLOOKUP(AK484,tbFactorMes,2,FALSE),"")</f>
        <v/>
      </c>
      <c r="AM484">
        <f t="shared" si="104"/>
        <v>0</v>
      </c>
      <c r="AP484" t="str">
        <f>IFERROR(VLOOKUP(AO484,tbFactorMes,2,FALSE),"")</f>
        <v/>
      </c>
      <c r="AQ484">
        <f t="shared" si="105"/>
        <v>0</v>
      </c>
      <c r="AT484" t="str">
        <f>IFERROR(VLOOKUP(AS484,tbFactorMes,2,FALSE),"")</f>
        <v/>
      </c>
      <c r="AU484">
        <f t="shared" si="106"/>
        <v>0</v>
      </c>
      <c r="AX484" t="str">
        <f>IFERROR(VLOOKUP(AW484,tbFactorMes,2,FALSE),"")</f>
        <v/>
      </c>
      <c r="AY484">
        <f t="shared" si="107"/>
        <v>0</v>
      </c>
      <c r="BB484" t="str">
        <f>IFERROR(VLOOKUP(BA484,tbFactorMes,2,FALSE),"")</f>
        <v/>
      </c>
      <c r="BC484">
        <f t="shared" si="108"/>
        <v>0</v>
      </c>
      <c r="BF484" t="str">
        <f>IFERROR(VLOOKUP(BE484,tbFactorMes,2,FALSE),"")</f>
        <v/>
      </c>
      <c r="BG484">
        <f t="shared" si="109"/>
        <v>0</v>
      </c>
      <c r="BH484">
        <f t="shared" si="110"/>
        <v>0</v>
      </c>
      <c r="BI484">
        <f t="shared" si="111"/>
        <v>0</v>
      </c>
    </row>
    <row r="485" spans="11:61" x14ac:dyDescent="0.35">
      <c r="K485" t="str">
        <f>IFERROR(VLOOKUP(F485,tbTurnos,3,FALSE),"")</f>
        <v/>
      </c>
      <c r="N485" t="str">
        <f>IFERROR(VLOOKUP(M485,tbFactorMes,2,FALSE),"")</f>
        <v/>
      </c>
      <c r="O485">
        <f t="shared" si="98"/>
        <v>0</v>
      </c>
      <c r="R485" t="str">
        <f>IFERROR(VLOOKUP(Q485,tbFactorMes,2,FALSE),"")</f>
        <v/>
      </c>
      <c r="S485">
        <f t="shared" si="99"/>
        <v>0</v>
      </c>
      <c r="V485" t="str">
        <f>IFERROR(VLOOKUP(U485,tbFactorMes,2,FALSE),"")</f>
        <v/>
      </c>
      <c r="W485">
        <f t="shared" si="100"/>
        <v>0</v>
      </c>
      <c r="Z485" t="str">
        <f>IFERROR(VLOOKUP(Y485,tbFactorMes,2,FALSE),"")</f>
        <v/>
      </c>
      <c r="AA485">
        <f t="shared" si="101"/>
        <v>0</v>
      </c>
      <c r="AD485" t="str">
        <f>IFERROR(VLOOKUP(AC485,tbFactorMes,2,FALSE),"")</f>
        <v/>
      </c>
      <c r="AE485">
        <f t="shared" si="102"/>
        <v>0</v>
      </c>
      <c r="AH485" t="str">
        <f>IFERROR(VLOOKUP(AG485,tbFactorMes,2,FALSE),"")</f>
        <v/>
      </c>
      <c r="AI485">
        <f t="shared" si="103"/>
        <v>0</v>
      </c>
      <c r="AL485" t="str">
        <f>IFERROR(VLOOKUP(AK485,tbFactorMes,2,FALSE),"")</f>
        <v/>
      </c>
      <c r="AM485">
        <f t="shared" si="104"/>
        <v>0</v>
      </c>
      <c r="AP485" t="str">
        <f>IFERROR(VLOOKUP(AO485,tbFactorMes,2,FALSE),"")</f>
        <v/>
      </c>
      <c r="AQ485">
        <f t="shared" si="105"/>
        <v>0</v>
      </c>
      <c r="AT485" t="str">
        <f>IFERROR(VLOOKUP(AS485,tbFactorMes,2,FALSE),"")</f>
        <v/>
      </c>
      <c r="AU485">
        <f t="shared" si="106"/>
        <v>0</v>
      </c>
      <c r="AX485" t="str">
        <f>IFERROR(VLOOKUP(AW485,tbFactorMes,2,FALSE),"")</f>
        <v/>
      </c>
      <c r="AY485">
        <f t="shared" si="107"/>
        <v>0</v>
      </c>
      <c r="BB485" t="str">
        <f>IFERROR(VLOOKUP(BA485,tbFactorMes,2,FALSE),"")</f>
        <v/>
      </c>
      <c r="BC485">
        <f t="shared" si="108"/>
        <v>0</v>
      </c>
      <c r="BF485" t="str">
        <f>IFERROR(VLOOKUP(BE485,tbFactorMes,2,FALSE),"")</f>
        <v/>
      </c>
      <c r="BG485">
        <f t="shared" si="109"/>
        <v>0</v>
      </c>
      <c r="BH485">
        <f t="shared" si="110"/>
        <v>0</v>
      </c>
      <c r="BI485">
        <f t="shared" si="111"/>
        <v>0</v>
      </c>
    </row>
    <row r="486" spans="11:61" x14ac:dyDescent="0.35">
      <c r="K486" t="str">
        <f>IFERROR(VLOOKUP(F486,tbTurnos,3,FALSE),"")</f>
        <v/>
      </c>
      <c r="N486" t="str">
        <f>IFERROR(VLOOKUP(M486,tbFactorMes,2,FALSE),"")</f>
        <v/>
      </c>
      <c r="O486">
        <f t="shared" si="98"/>
        <v>0</v>
      </c>
      <c r="R486" t="str">
        <f>IFERROR(VLOOKUP(Q486,tbFactorMes,2,FALSE),"")</f>
        <v/>
      </c>
      <c r="S486">
        <f t="shared" si="99"/>
        <v>0</v>
      </c>
      <c r="V486" t="str">
        <f>IFERROR(VLOOKUP(U486,tbFactorMes,2,FALSE),"")</f>
        <v/>
      </c>
      <c r="W486">
        <f t="shared" si="100"/>
        <v>0</v>
      </c>
      <c r="Z486" t="str">
        <f>IFERROR(VLOOKUP(Y486,tbFactorMes,2,FALSE),"")</f>
        <v/>
      </c>
      <c r="AA486">
        <f t="shared" si="101"/>
        <v>0</v>
      </c>
      <c r="AD486" t="str">
        <f>IFERROR(VLOOKUP(AC486,tbFactorMes,2,FALSE),"")</f>
        <v/>
      </c>
      <c r="AE486">
        <f t="shared" si="102"/>
        <v>0</v>
      </c>
      <c r="AH486" t="str">
        <f>IFERROR(VLOOKUP(AG486,tbFactorMes,2,FALSE),"")</f>
        <v/>
      </c>
      <c r="AI486">
        <f t="shared" si="103"/>
        <v>0</v>
      </c>
      <c r="AL486" t="str">
        <f>IFERROR(VLOOKUP(AK486,tbFactorMes,2,FALSE),"")</f>
        <v/>
      </c>
      <c r="AM486">
        <f t="shared" si="104"/>
        <v>0</v>
      </c>
      <c r="AP486" t="str">
        <f>IFERROR(VLOOKUP(AO486,tbFactorMes,2,FALSE),"")</f>
        <v/>
      </c>
      <c r="AQ486">
        <f t="shared" si="105"/>
        <v>0</v>
      </c>
      <c r="AT486" t="str">
        <f>IFERROR(VLOOKUP(AS486,tbFactorMes,2,FALSE),"")</f>
        <v/>
      </c>
      <c r="AU486">
        <f t="shared" si="106"/>
        <v>0</v>
      </c>
      <c r="AX486" t="str">
        <f>IFERROR(VLOOKUP(AW486,tbFactorMes,2,FALSE),"")</f>
        <v/>
      </c>
      <c r="AY486">
        <f t="shared" si="107"/>
        <v>0</v>
      </c>
      <c r="BB486" t="str">
        <f>IFERROR(VLOOKUP(BA486,tbFactorMes,2,FALSE),"")</f>
        <v/>
      </c>
      <c r="BC486">
        <f t="shared" si="108"/>
        <v>0</v>
      </c>
      <c r="BF486" t="str">
        <f>IFERROR(VLOOKUP(BE486,tbFactorMes,2,FALSE),"")</f>
        <v/>
      </c>
      <c r="BG486">
        <f t="shared" si="109"/>
        <v>0</v>
      </c>
      <c r="BH486">
        <f t="shared" si="110"/>
        <v>0</v>
      </c>
      <c r="BI486">
        <f t="shared" si="111"/>
        <v>0</v>
      </c>
    </row>
    <row r="487" spans="11:61" x14ac:dyDescent="0.35">
      <c r="K487" t="str">
        <f>IFERROR(VLOOKUP(F487,tbTurnos,3,FALSE),"")</f>
        <v/>
      </c>
      <c r="N487" t="str">
        <f>IFERROR(VLOOKUP(M487,tbFactorMes,2,FALSE),"")</f>
        <v/>
      </c>
      <c r="O487">
        <f t="shared" si="98"/>
        <v>0</v>
      </c>
      <c r="R487" t="str">
        <f>IFERROR(VLOOKUP(Q487,tbFactorMes,2,FALSE),"")</f>
        <v/>
      </c>
      <c r="S487">
        <f t="shared" si="99"/>
        <v>0</v>
      </c>
      <c r="V487" t="str">
        <f>IFERROR(VLOOKUP(U487,tbFactorMes,2,FALSE),"")</f>
        <v/>
      </c>
      <c r="W487">
        <f t="shared" si="100"/>
        <v>0</v>
      </c>
      <c r="Z487" t="str">
        <f>IFERROR(VLOOKUP(Y487,tbFactorMes,2,FALSE),"")</f>
        <v/>
      </c>
      <c r="AA487">
        <f t="shared" si="101"/>
        <v>0</v>
      </c>
      <c r="AD487" t="str">
        <f>IFERROR(VLOOKUP(AC487,tbFactorMes,2,FALSE),"")</f>
        <v/>
      </c>
      <c r="AE487">
        <f t="shared" si="102"/>
        <v>0</v>
      </c>
      <c r="AH487" t="str">
        <f>IFERROR(VLOOKUP(AG487,tbFactorMes,2,FALSE),"")</f>
        <v/>
      </c>
      <c r="AI487">
        <f t="shared" si="103"/>
        <v>0</v>
      </c>
      <c r="AL487" t="str">
        <f>IFERROR(VLOOKUP(AK487,tbFactorMes,2,FALSE),"")</f>
        <v/>
      </c>
      <c r="AM487">
        <f t="shared" si="104"/>
        <v>0</v>
      </c>
      <c r="AP487" t="str">
        <f>IFERROR(VLOOKUP(AO487,tbFactorMes,2,FALSE),"")</f>
        <v/>
      </c>
      <c r="AQ487">
        <f t="shared" si="105"/>
        <v>0</v>
      </c>
      <c r="AT487" t="str">
        <f>IFERROR(VLOOKUP(AS487,tbFactorMes,2,FALSE),"")</f>
        <v/>
      </c>
      <c r="AU487">
        <f t="shared" si="106"/>
        <v>0</v>
      </c>
      <c r="AX487" t="str">
        <f>IFERROR(VLOOKUP(AW487,tbFactorMes,2,FALSE),"")</f>
        <v/>
      </c>
      <c r="AY487">
        <f t="shared" si="107"/>
        <v>0</v>
      </c>
      <c r="BB487" t="str">
        <f>IFERROR(VLOOKUP(BA487,tbFactorMes,2,FALSE),"")</f>
        <v/>
      </c>
      <c r="BC487">
        <f t="shared" si="108"/>
        <v>0</v>
      </c>
      <c r="BF487" t="str">
        <f>IFERROR(VLOOKUP(BE487,tbFactorMes,2,FALSE),"")</f>
        <v/>
      </c>
      <c r="BG487">
        <f t="shared" si="109"/>
        <v>0</v>
      </c>
      <c r="BH487">
        <f t="shared" si="110"/>
        <v>0</v>
      </c>
      <c r="BI487">
        <f t="shared" si="111"/>
        <v>0</v>
      </c>
    </row>
    <row r="488" spans="11:61" x14ac:dyDescent="0.35">
      <c r="K488" t="str">
        <f>IFERROR(VLOOKUP(F488,tbTurnos,3,FALSE),"")</f>
        <v/>
      </c>
      <c r="N488" t="str">
        <f>IFERROR(VLOOKUP(M488,tbFactorMes,2,FALSE),"")</f>
        <v/>
      </c>
      <c r="O488">
        <f t="shared" si="98"/>
        <v>0</v>
      </c>
      <c r="R488" t="str">
        <f>IFERROR(VLOOKUP(Q488,tbFactorMes,2,FALSE),"")</f>
        <v/>
      </c>
      <c r="S488">
        <f t="shared" si="99"/>
        <v>0</v>
      </c>
      <c r="V488" t="str">
        <f>IFERROR(VLOOKUP(U488,tbFactorMes,2,FALSE),"")</f>
        <v/>
      </c>
      <c r="W488">
        <f t="shared" si="100"/>
        <v>0</v>
      </c>
      <c r="Z488" t="str">
        <f>IFERROR(VLOOKUP(Y488,tbFactorMes,2,FALSE),"")</f>
        <v/>
      </c>
      <c r="AA488">
        <f t="shared" si="101"/>
        <v>0</v>
      </c>
      <c r="AD488" t="str">
        <f>IFERROR(VLOOKUP(AC488,tbFactorMes,2,FALSE),"")</f>
        <v/>
      </c>
      <c r="AE488">
        <f t="shared" si="102"/>
        <v>0</v>
      </c>
      <c r="AH488" t="str">
        <f>IFERROR(VLOOKUP(AG488,tbFactorMes,2,FALSE),"")</f>
        <v/>
      </c>
      <c r="AI488">
        <f t="shared" si="103"/>
        <v>0</v>
      </c>
      <c r="AL488" t="str">
        <f>IFERROR(VLOOKUP(AK488,tbFactorMes,2,FALSE),"")</f>
        <v/>
      </c>
      <c r="AM488">
        <f t="shared" si="104"/>
        <v>0</v>
      </c>
      <c r="AP488" t="str">
        <f>IFERROR(VLOOKUP(AO488,tbFactorMes,2,FALSE),"")</f>
        <v/>
      </c>
      <c r="AQ488">
        <f t="shared" si="105"/>
        <v>0</v>
      </c>
      <c r="AT488" t="str">
        <f>IFERROR(VLOOKUP(AS488,tbFactorMes,2,FALSE),"")</f>
        <v/>
      </c>
      <c r="AU488">
        <f t="shared" si="106"/>
        <v>0</v>
      </c>
      <c r="AX488" t="str">
        <f>IFERROR(VLOOKUP(AW488,tbFactorMes,2,FALSE),"")</f>
        <v/>
      </c>
      <c r="AY488">
        <f t="shared" si="107"/>
        <v>0</v>
      </c>
      <c r="BB488" t="str">
        <f>IFERROR(VLOOKUP(BA488,tbFactorMes,2,FALSE),"")</f>
        <v/>
      </c>
      <c r="BC488">
        <f t="shared" si="108"/>
        <v>0</v>
      </c>
      <c r="BF488" t="str">
        <f>IFERROR(VLOOKUP(BE488,tbFactorMes,2,FALSE),"")</f>
        <v/>
      </c>
      <c r="BG488">
        <f t="shared" si="109"/>
        <v>0</v>
      </c>
      <c r="BH488">
        <f t="shared" si="110"/>
        <v>0</v>
      </c>
      <c r="BI488">
        <f t="shared" si="111"/>
        <v>0</v>
      </c>
    </row>
    <row r="489" spans="11:61" x14ac:dyDescent="0.35">
      <c r="K489" t="str">
        <f>IFERROR(VLOOKUP(F489,tbTurnos,3,FALSE),"")</f>
        <v/>
      </c>
      <c r="N489" t="str">
        <f>IFERROR(VLOOKUP(M489,tbFactorMes,2,FALSE),"")</f>
        <v/>
      </c>
      <c r="O489">
        <f t="shared" si="98"/>
        <v>0</v>
      </c>
      <c r="R489" t="str">
        <f>IFERROR(VLOOKUP(Q489,tbFactorMes,2,FALSE),"")</f>
        <v/>
      </c>
      <c r="S489">
        <f t="shared" si="99"/>
        <v>0</v>
      </c>
      <c r="V489" t="str">
        <f>IFERROR(VLOOKUP(U489,tbFactorMes,2,FALSE),"")</f>
        <v/>
      </c>
      <c r="W489">
        <f t="shared" si="100"/>
        <v>0</v>
      </c>
      <c r="Z489" t="str">
        <f>IFERROR(VLOOKUP(Y489,tbFactorMes,2,FALSE),"")</f>
        <v/>
      </c>
      <c r="AA489">
        <f t="shared" si="101"/>
        <v>0</v>
      </c>
      <c r="AD489" t="str">
        <f>IFERROR(VLOOKUP(AC489,tbFactorMes,2,FALSE),"")</f>
        <v/>
      </c>
      <c r="AE489">
        <f t="shared" si="102"/>
        <v>0</v>
      </c>
      <c r="AH489" t="str">
        <f>IFERROR(VLOOKUP(AG489,tbFactorMes,2,FALSE),"")</f>
        <v/>
      </c>
      <c r="AI489">
        <f t="shared" si="103"/>
        <v>0</v>
      </c>
      <c r="AL489" t="str">
        <f>IFERROR(VLOOKUP(AK489,tbFactorMes,2,FALSE),"")</f>
        <v/>
      </c>
      <c r="AM489">
        <f t="shared" si="104"/>
        <v>0</v>
      </c>
      <c r="AP489" t="str">
        <f>IFERROR(VLOOKUP(AO489,tbFactorMes,2,FALSE),"")</f>
        <v/>
      </c>
      <c r="AQ489">
        <f t="shared" si="105"/>
        <v>0</v>
      </c>
      <c r="AT489" t="str">
        <f>IFERROR(VLOOKUP(AS489,tbFactorMes,2,FALSE),"")</f>
        <v/>
      </c>
      <c r="AU489">
        <f t="shared" si="106"/>
        <v>0</v>
      </c>
      <c r="AX489" t="str">
        <f>IFERROR(VLOOKUP(AW489,tbFactorMes,2,FALSE),"")</f>
        <v/>
      </c>
      <c r="AY489">
        <f t="shared" si="107"/>
        <v>0</v>
      </c>
      <c r="BB489" t="str">
        <f>IFERROR(VLOOKUP(BA489,tbFactorMes,2,FALSE),"")</f>
        <v/>
      </c>
      <c r="BC489">
        <f t="shared" si="108"/>
        <v>0</v>
      </c>
      <c r="BF489" t="str">
        <f>IFERROR(VLOOKUP(BE489,tbFactorMes,2,FALSE),"")</f>
        <v/>
      </c>
      <c r="BG489">
        <f t="shared" si="109"/>
        <v>0</v>
      </c>
      <c r="BH489">
        <f t="shared" si="110"/>
        <v>0</v>
      </c>
      <c r="BI489">
        <f t="shared" si="111"/>
        <v>0</v>
      </c>
    </row>
    <row r="490" spans="11:61" x14ac:dyDescent="0.35">
      <c r="K490" t="str">
        <f>IFERROR(VLOOKUP(F490,tbTurnos,3,FALSE),"")</f>
        <v/>
      </c>
      <c r="N490" t="str">
        <f>IFERROR(VLOOKUP(M490,tbFactorMes,2,FALSE),"")</f>
        <v/>
      </c>
      <c r="O490">
        <f t="shared" si="98"/>
        <v>0</v>
      </c>
      <c r="R490" t="str">
        <f>IFERROR(VLOOKUP(Q490,tbFactorMes,2,FALSE),"")</f>
        <v/>
      </c>
      <c r="S490">
        <f t="shared" si="99"/>
        <v>0</v>
      </c>
      <c r="V490" t="str">
        <f>IFERROR(VLOOKUP(U490,tbFactorMes,2,FALSE),"")</f>
        <v/>
      </c>
      <c r="W490">
        <f t="shared" si="100"/>
        <v>0</v>
      </c>
      <c r="Z490" t="str">
        <f>IFERROR(VLOOKUP(Y490,tbFactorMes,2,FALSE),"")</f>
        <v/>
      </c>
      <c r="AA490">
        <f t="shared" si="101"/>
        <v>0</v>
      </c>
      <c r="AD490" t="str">
        <f>IFERROR(VLOOKUP(AC490,tbFactorMes,2,FALSE),"")</f>
        <v/>
      </c>
      <c r="AE490">
        <f t="shared" si="102"/>
        <v>0</v>
      </c>
      <c r="AH490" t="str">
        <f>IFERROR(VLOOKUP(AG490,tbFactorMes,2,FALSE),"")</f>
        <v/>
      </c>
      <c r="AI490">
        <f t="shared" si="103"/>
        <v>0</v>
      </c>
      <c r="AL490" t="str">
        <f>IFERROR(VLOOKUP(AK490,tbFactorMes,2,FALSE),"")</f>
        <v/>
      </c>
      <c r="AM490">
        <f t="shared" si="104"/>
        <v>0</v>
      </c>
      <c r="AP490" t="str">
        <f>IFERROR(VLOOKUP(AO490,tbFactorMes,2,FALSE),"")</f>
        <v/>
      </c>
      <c r="AQ490">
        <f t="shared" si="105"/>
        <v>0</v>
      </c>
      <c r="AT490" t="str">
        <f>IFERROR(VLOOKUP(AS490,tbFactorMes,2,FALSE),"")</f>
        <v/>
      </c>
      <c r="AU490">
        <f t="shared" si="106"/>
        <v>0</v>
      </c>
      <c r="AX490" t="str">
        <f>IFERROR(VLOOKUP(AW490,tbFactorMes,2,FALSE),"")</f>
        <v/>
      </c>
      <c r="AY490">
        <f t="shared" si="107"/>
        <v>0</v>
      </c>
      <c r="BB490" t="str">
        <f>IFERROR(VLOOKUP(BA490,tbFactorMes,2,FALSE),"")</f>
        <v/>
      </c>
      <c r="BC490">
        <f t="shared" si="108"/>
        <v>0</v>
      </c>
      <c r="BF490" t="str">
        <f>IFERROR(VLOOKUP(BE490,tbFactorMes,2,FALSE),"")</f>
        <v/>
      </c>
      <c r="BG490">
        <f t="shared" si="109"/>
        <v>0</v>
      </c>
      <c r="BH490">
        <f t="shared" si="110"/>
        <v>0</v>
      </c>
      <c r="BI490">
        <f t="shared" si="111"/>
        <v>0</v>
      </c>
    </row>
    <row r="491" spans="11:61" x14ac:dyDescent="0.35">
      <c r="K491" t="str">
        <f>IFERROR(VLOOKUP(F491,tbTurnos,3,FALSE),"")</f>
        <v/>
      </c>
      <c r="N491" t="str">
        <f>IFERROR(VLOOKUP(M491,tbFactorMes,2,FALSE),"")</f>
        <v/>
      </c>
      <c r="O491">
        <f t="shared" si="98"/>
        <v>0</v>
      </c>
      <c r="R491" t="str">
        <f>IFERROR(VLOOKUP(Q491,tbFactorMes,2,FALSE),"")</f>
        <v/>
      </c>
      <c r="S491">
        <f t="shared" si="99"/>
        <v>0</v>
      </c>
      <c r="V491" t="str">
        <f>IFERROR(VLOOKUP(U491,tbFactorMes,2,FALSE),"")</f>
        <v/>
      </c>
      <c r="W491">
        <f t="shared" si="100"/>
        <v>0</v>
      </c>
      <c r="Z491" t="str">
        <f>IFERROR(VLOOKUP(Y491,tbFactorMes,2,FALSE),"")</f>
        <v/>
      </c>
      <c r="AA491">
        <f t="shared" si="101"/>
        <v>0</v>
      </c>
      <c r="AD491" t="str">
        <f>IFERROR(VLOOKUP(AC491,tbFactorMes,2,FALSE),"")</f>
        <v/>
      </c>
      <c r="AE491">
        <f t="shared" si="102"/>
        <v>0</v>
      </c>
      <c r="AH491" t="str">
        <f>IFERROR(VLOOKUP(AG491,tbFactorMes,2,FALSE),"")</f>
        <v/>
      </c>
      <c r="AI491">
        <f t="shared" si="103"/>
        <v>0</v>
      </c>
      <c r="AL491" t="str">
        <f>IFERROR(VLOOKUP(AK491,tbFactorMes,2,FALSE),"")</f>
        <v/>
      </c>
      <c r="AM491">
        <f t="shared" si="104"/>
        <v>0</v>
      </c>
      <c r="AP491" t="str">
        <f>IFERROR(VLOOKUP(AO491,tbFactorMes,2,FALSE),"")</f>
        <v/>
      </c>
      <c r="AQ491">
        <f t="shared" si="105"/>
        <v>0</v>
      </c>
      <c r="AT491" t="str">
        <f>IFERROR(VLOOKUP(AS491,tbFactorMes,2,FALSE),"")</f>
        <v/>
      </c>
      <c r="AU491">
        <f t="shared" si="106"/>
        <v>0</v>
      </c>
      <c r="AX491" t="str">
        <f>IFERROR(VLOOKUP(AW491,tbFactorMes,2,FALSE),"")</f>
        <v/>
      </c>
      <c r="AY491">
        <f t="shared" si="107"/>
        <v>0</v>
      </c>
      <c r="BB491" t="str">
        <f>IFERROR(VLOOKUP(BA491,tbFactorMes,2,FALSE),"")</f>
        <v/>
      </c>
      <c r="BC491">
        <f t="shared" si="108"/>
        <v>0</v>
      </c>
      <c r="BF491" t="str">
        <f>IFERROR(VLOOKUP(BE491,tbFactorMes,2,FALSE),"")</f>
        <v/>
      </c>
      <c r="BG491">
        <f t="shared" si="109"/>
        <v>0</v>
      </c>
      <c r="BH491">
        <f t="shared" si="110"/>
        <v>0</v>
      </c>
      <c r="BI491">
        <f t="shared" si="111"/>
        <v>0</v>
      </c>
    </row>
    <row r="492" spans="11:61" x14ac:dyDescent="0.35">
      <c r="K492" t="str">
        <f>IFERROR(VLOOKUP(F492,tbTurnos,3,FALSE),"")</f>
        <v/>
      </c>
      <c r="N492" t="str">
        <f>IFERROR(VLOOKUP(M492,tbFactorMes,2,FALSE),"")</f>
        <v/>
      </c>
      <c r="O492">
        <f t="shared" si="98"/>
        <v>0</v>
      </c>
      <c r="R492" t="str">
        <f>IFERROR(VLOOKUP(Q492,tbFactorMes,2,FALSE),"")</f>
        <v/>
      </c>
      <c r="S492">
        <f t="shared" si="99"/>
        <v>0</v>
      </c>
      <c r="V492" t="str">
        <f>IFERROR(VLOOKUP(U492,tbFactorMes,2,FALSE),"")</f>
        <v/>
      </c>
      <c r="W492">
        <f t="shared" si="100"/>
        <v>0</v>
      </c>
      <c r="Z492" t="str">
        <f>IFERROR(VLOOKUP(Y492,tbFactorMes,2,FALSE),"")</f>
        <v/>
      </c>
      <c r="AA492">
        <f t="shared" si="101"/>
        <v>0</v>
      </c>
      <c r="AD492" t="str">
        <f>IFERROR(VLOOKUP(AC492,tbFactorMes,2,FALSE),"")</f>
        <v/>
      </c>
      <c r="AE492">
        <f t="shared" si="102"/>
        <v>0</v>
      </c>
      <c r="AH492" t="str">
        <f>IFERROR(VLOOKUP(AG492,tbFactorMes,2,FALSE),"")</f>
        <v/>
      </c>
      <c r="AI492">
        <f t="shared" si="103"/>
        <v>0</v>
      </c>
      <c r="AL492" t="str">
        <f>IFERROR(VLOOKUP(AK492,tbFactorMes,2,FALSE),"")</f>
        <v/>
      </c>
      <c r="AM492">
        <f t="shared" si="104"/>
        <v>0</v>
      </c>
      <c r="AP492" t="str">
        <f>IFERROR(VLOOKUP(AO492,tbFactorMes,2,FALSE),"")</f>
        <v/>
      </c>
      <c r="AQ492">
        <f t="shared" si="105"/>
        <v>0</v>
      </c>
      <c r="AT492" t="str">
        <f>IFERROR(VLOOKUP(AS492,tbFactorMes,2,FALSE),"")</f>
        <v/>
      </c>
      <c r="AU492">
        <f t="shared" si="106"/>
        <v>0</v>
      </c>
      <c r="AX492" t="str">
        <f>IFERROR(VLOOKUP(AW492,tbFactorMes,2,FALSE),"")</f>
        <v/>
      </c>
      <c r="AY492">
        <f t="shared" si="107"/>
        <v>0</v>
      </c>
      <c r="BB492" t="str">
        <f>IFERROR(VLOOKUP(BA492,tbFactorMes,2,FALSE),"")</f>
        <v/>
      </c>
      <c r="BC492">
        <f t="shared" si="108"/>
        <v>0</v>
      </c>
      <c r="BF492" t="str">
        <f>IFERROR(VLOOKUP(BE492,tbFactorMes,2,FALSE),"")</f>
        <v/>
      </c>
      <c r="BG492">
        <f t="shared" si="109"/>
        <v>0</v>
      </c>
      <c r="BH492">
        <f t="shared" si="110"/>
        <v>0</v>
      </c>
      <c r="BI492">
        <f t="shared" si="111"/>
        <v>0</v>
      </c>
    </row>
    <row r="493" spans="11:61" x14ac:dyDescent="0.35">
      <c r="K493" t="str">
        <f>IFERROR(VLOOKUP(F493,tbTurnos,3,FALSE),"")</f>
        <v/>
      </c>
      <c r="N493" t="str">
        <f>IFERROR(VLOOKUP(M493,tbFactorMes,2,FALSE),"")</f>
        <v/>
      </c>
      <c r="O493">
        <f t="shared" si="98"/>
        <v>0</v>
      </c>
      <c r="R493" t="str">
        <f>IFERROR(VLOOKUP(Q493,tbFactorMes,2,FALSE),"")</f>
        <v/>
      </c>
      <c r="S493">
        <f t="shared" si="99"/>
        <v>0</v>
      </c>
      <c r="V493" t="str">
        <f>IFERROR(VLOOKUP(U493,tbFactorMes,2,FALSE),"")</f>
        <v/>
      </c>
      <c r="W493">
        <f t="shared" si="100"/>
        <v>0</v>
      </c>
      <c r="Z493" t="str">
        <f>IFERROR(VLOOKUP(Y493,tbFactorMes,2,FALSE),"")</f>
        <v/>
      </c>
      <c r="AA493">
        <f t="shared" si="101"/>
        <v>0</v>
      </c>
      <c r="AD493" t="str">
        <f>IFERROR(VLOOKUP(AC493,tbFactorMes,2,FALSE),"")</f>
        <v/>
      </c>
      <c r="AE493">
        <f t="shared" si="102"/>
        <v>0</v>
      </c>
      <c r="AH493" t="str">
        <f>IFERROR(VLOOKUP(AG493,tbFactorMes,2,FALSE),"")</f>
        <v/>
      </c>
      <c r="AI493">
        <f t="shared" si="103"/>
        <v>0</v>
      </c>
      <c r="AL493" t="str">
        <f>IFERROR(VLOOKUP(AK493,tbFactorMes,2,FALSE),"")</f>
        <v/>
      </c>
      <c r="AM493">
        <f t="shared" si="104"/>
        <v>0</v>
      </c>
      <c r="AP493" t="str">
        <f>IFERROR(VLOOKUP(AO493,tbFactorMes,2,FALSE),"")</f>
        <v/>
      </c>
      <c r="AQ493">
        <f t="shared" si="105"/>
        <v>0</v>
      </c>
      <c r="AT493" t="str">
        <f>IFERROR(VLOOKUP(AS493,tbFactorMes,2,FALSE),"")</f>
        <v/>
      </c>
      <c r="AU493">
        <f t="shared" si="106"/>
        <v>0</v>
      </c>
      <c r="AX493" t="str">
        <f>IFERROR(VLOOKUP(AW493,tbFactorMes,2,FALSE),"")</f>
        <v/>
      </c>
      <c r="AY493">
        <f t="shared" si="107"/>
        <v>0</v>
      </c>
      <c r="BB493" t="str">
        <f>IFERROR(VLOOKUP(BA493,tbFactorMes,2,FALSE),"")</f>
        <v/>
      </c>
      <c r="BC493">
        <f t="shared" si="108"/>
        <v>0</v>
      </c>
      <c r="BF493" t="str">
        <f>IFERROR(VLOOKUP(BE493,tbFactorMes,2,FALSE),"")</f>
        <v/>
      </c>
      <c r="BG493">
        <f t="shared" si="109"/>
        <v>0</v>
      </c>
      <c r="BH493">
        <f t="shared" si="110"/>
        <v>0</v>
      </c>
      <c r="BI493">
        <f t="shared" si="111"/>
        <v>0</v>
      </c>
    </row>
    <row r="494" spans="11:61" x14ac:dyDescent="0.35">
      <c r="K494" t="str">
        <f>IFERROR(VLOOKUP(F494,tbTurnos,3,FALSE),"")</f>
        <v/>
      </c>
      <c r="N494" t="str">
        <f>IFERROR(VLOOKUP(M494,tbFactorMes,2,FALSE),"")</f>
        <v/>
      </c>
      <c r="O494">
        <f t="shared" si="98"/>
        <v>0</v>
      </c>
      <c r="R494" t="str">
        <f>IFERROR(VLOOKUP(Q494,tbFactorMes,2,FALSE),"")</f>
        <v/>
      </c>
      <c r="S494">
        <f t="shared" si="99"/>
        <v>0</v>
      </c>
      <c r="V494" t="str">
        <f>IFERROR(VLOOKUP(U494,tbFactorMes,2,FALSE),"")</f>
        <v/>
      </c>
      <c r="W494">
        <f t="shared" si="100"/>
        <v>0</v>
      </c>
      <c r="Z494" t="str">
        <f>IFERROR(VLOOKUP(Y494,tbFactorMes,2,FALSE),"")</f>
        <v/>
      </c>
      <c r="AA494">
        <f t="shared" si="101"/>
        <v>0</v>
      </c>
      <c r="AD494" t="str">
        <f>IFERROR(VLOOKUP(AC494,tbFactorMes,2,FALSE),"")</f>
        <v/>
      </c>
      <c r="AE494">
        <f t="shared" si="102"/>
        <v>0</v>
      </c>
      <c r="AH494" t="str">
        <f>IFERROR(VLOOKUP(AG494,tbFactorMes,2,FALSE),"")</f>
        <v/>
      </c>
      <c r="AI494">
        <f t="shared" si="103"/>
        <v>0</v>
      </c>
      <c r="AL494" t="str">
        <f>IFERROR(VLOOKUP(AK494,tbFactorMes,2,FALSE),"")</f>
        <v/>
      </c>
      <c r="AM494">
        <f t="shared" si="104"/>
        <v>0</v>
      </c>
      <c r="AP494" t="str">
        <f>IFERROR(VLOOKUP(AO494,tbFactorMes,2,FALSE),"")</f>
        <v/>
      </c>
      <c r="AQ494">
        <f t="shared" si="105"/>
        <v>0</v>
      </c>
      <c r="AT494" t="str">
        <f>IFERROR(VLOOKUP(AS494,tbFactorMes,2,FALSE),"")</f>
        <v/>
      </c>
      <c r="AU494">
        <f t="shared" si="106"/>
        <v>0</v>
      </c>
      <c r="AX494" t="str">
        <f>IFERROR(VLOOKUP(AW494,tbFactorMes,2,FALSE),"")</f>
        <v/>
      </c>
      <c r="AY494">
        <f t="shared" si="107"/>
        <v>0</v>
      </c>
      <c r="BB494" t="str">
        <f>IFERROR(VLOOKUP(BA494,tbFactorMes,2,FALSE),"")</f>
        <v/>
      </c>
      <c r="BC494">
        <f t="shared" si="108"/>
        <v>0</v>
      </c>
      <c r="BF494" t="str">
        <f>IFERROR(VLOOKUP(BE494,tbFactorMes,2,FALSE),"")</f>
        <v/>
      </c>
      <c r="BG494">
        <f t="shared" si="109"/>
        <v>0</v>
      </c>
      <c r="BH494">
        <f t="shared" si="110"/>
        <v>0</v>
      </c>
      <c r="BI494">
        <f t="shared" si="111"/>
        <v>0</v>
      </c>
    </row>
    <row r="495" spans="11:61" x14ac:dyDescent="0.35">
      <c r="K495" t="str">
        <f>IFERROR(VLOOKUP(F495,tbTurnos,3,FALSE),"")</f>
        <v/>
      </c>
      <c r="N495" t="str">
        <f>IFERROR(VLOOKUP(M495,tbFactorMes,2,FALSE),"")</f>
        <v/>
      </c>
      <c r="O495">
        <f t="shared" si="98"/>
        <v>0</v>
      </c>
      <c r="R495" t="str">
        <f>IFERROR(VLOOKUP(Q495,tbFactorMes,2,FALSE),"")</f>
        <v/>
      </c>
      <c r="S495">
        <f t="shared" si="99"/>
        <v>0</v>
      </c>
      <c r="V495" t="str">
        <f>IFERROR(VLOOKUP(U495,tbFactorMes,2,FALSE),"")</f>
        <v/>
      </c>
      <c r="W495">
        <f t="shared" si="100"/>
        <v>0</v>
      </c>
      <c r="Z495" t="str">
        <f>IFERROR(VLOOKUP(Y495,tbFactorMes,2,FALSE),"")</f>
        <v/>
      </c>
      <c r="AA495">
        <f t="shared" si="101"/>
        <v>0</v>
      </c>
      <c r="AD495" t="str">
        <f>IFERROR(VLOOKUP(AC495,tbFactorMes,2,FALSE),"")</f>
        <v/>
      </c>
      <c r="AE495">
        <f t="shared" si="102"/>
        <v>0</v>
      </c>
      <c r="AH495" t="str">
        <f>IFERROR(VLOOKUP(AG495,tbFactorMes,2,FALSE),"")</f>
        <v/>
      </c>
      <c r="AI495">
        <f t="shared" si="103"/>
        <v>0</v>
      </c>
      <c r="AL495" t="str">
        <f>IFERROR(VLOOKUP(AK495,tbFactorMes,2,FALSE),"")</f>
        <v/>
      </c>
      <c r="AM495">
        <f t="shared" si="104"/>
        <v>0</v>
      </c>
      <c r="AP495" t="str">
        <f>IFERROR(VLOOKUP(AO495,tbFactorMes,2,FALSE),"")</f>
        <v/>
      </c>
      <c r="AQ495">
        <f t="shared" si="105"/>
        <v>0</v>
      </c>
      <c r="AT495" t="str">
        <f>IFERROR(VLOOKUP(AS495,tbFactorMes,2,FALSE),"")</f>
        <v/>
      </c>
      <c r="AU495">
        <f t="shared" si="106"/>
        <v>0</v>
      </c>
      <c r="AX495" t="str">
        <f>IFERROR(VLOOKUP(AW495,tbFactorMes,2,FALSE),"")</f>
        <v/>
      </c>
      <c r="AY495">
        <f t="shared" si="107"/>
        <v>0</v>
      </c>
      <c r="BB495" t="str">
        <f>IFERROR(VLOOKUP(BA495,tbFactorMes,2,FALSE),"")</f>
        <v/>
      </c>
      <c r="BC495">
        <f t="shared" si="108"/>
        <v>0</v>
      </c>
      <c r="BF495" t="str">
        <f>IFERROR(VLOOKUP(BE495,tbFactorMes,2,FALSE),"")</f>
        <v/>
      </c>
      <c r="BG495">
        <f t="shared" si="109"/>
        <v>0</v>
      </c>
      <c r="BH495">
        <f t="shared" si="110"/>
        <v>0</v>
      </c>
      <c r="BI495">
        <f t="shared" si="111"/>
        <v>0</v>
      </c>
    </row>
    <row r="496" spans="11:61" x14ac:dyDescent="0.35">
      <c r="K496" t="str">
        <f>IFERROR(VLOOKUP(F496,tbTurnos,3,FALSE),"")</f>
        <v/>
      </c>
      <c r="N496" t="str">
        <f>IFERROR(VLOOKUP(M496,tbFactorMes,2,FALSE),"")</f>
        <v/>
      </c>
      <c r="O496">
        <f t="shared" si="98"/>
        <v>0</v>
      </c>
      <c r="R496" t="str">
        <f>IFERROR(VLOOKUP(Q496,tbFactorMes,2,FALSE),"")</f>
        <v/>
      </c>
      <c r="S496">
        <f t="shared" si="99"/>
        <v>0</v>
      </c>
      <c r="V496" t="str">
        <f>IFERROR(VLOOKUP(U496,tbFactorMes,2,FALSE),"")</f>
        <v/>
      </c>
      <c r="W496">
        <f t="shared" si="100"/>
        <v>0</v>
      </c>
      <c r="Z496" t="str">
        <f>IFERROR(VLOOKUP(Y496,tbFactorMes,2,FALSE),"")</f>
        <v/>
      </c>
      <c r="AA496">
        <f t="shared" si="101"/>
        <v>0</v>
      </c>
      <c r="AD496" t="str">
        <f>IFERROR(VLOOKUP(AC496,tbFactorMes,2,FALSE),"")</f>
        <v/>
      </c>
      <c r="AE496">
        <f t="shared" si="102"/>
        <v>0</v>
      </c>
      <c r="AH496" t="str">
        <f>IFERROR(VLOOKUP(AG496,tbFactorMes,2,FALSE),"")</f>
        <v/>
      </c>
      <c r="AI496">
        <f t="shared" si="103"/>
        <v>0</v>
      </c>
      <c r="AL496" t="str">
        <f>IFERROR(VLOOKUP(AK496,tbFactorMes,2,FALSE),"")</f>
        <v/>
      </c>
      <c r="AM496">
        <f t="shared" si="104"/>
        <v>0</v>
      </c>
      <c r="AP496" t="str">
        <f>IFERROR(VLOOKUP(AO496,tbFactorMes,2,FALSE),"")</f>
        <v/>
      </c>
      <c r="AQ496">
        <f t="shared" si="105"/>
        <v>0</v>
      </c>
      <c r="AT496" t="str">
        <f>IFERROR(VLOOKUP(AS496,tbFactorMes,2,FALSE),"")</f>
        <v/>
      </c>
      <c r="AU496">
        <f t="shared" si="106"/>
        <v>0</v>
      </c>
      <c r="AX496" t="str">
        <f>IFERROR(VLOOKUP(AW496,tbFactorMes,2,FALSE),"")</f>
        <v/>
      </c>
      <c r="AY496">
        <f t="shared" si="107"/>
        <v>0</v>
      </c>
      <c r="BB496" t="str">
        <f>IFERROR(VLOOKUP(BA496,tbFactorMes,2,FALSE),"")</f>
        <v/>
      </c>
      <c r="BC496">
        <f t="shared" si="108"/>
        <v>0</v>
      </c>
      <c r="BF496" t="str">
        <f>IFERROR(VLOOKUP(BE496,tbFactorMes,2,FALSE),"")</f>
        <v/>
      </c>
      <c r="BG496">
        <f t="shared" si="109"/>
        <v>0</v>
      </c>
      <c r="BH496">
        <f t="shared" si="110"/>
        <v>0</v>
      </c>
      <c r="BI496">
        <f t="shared" si="111"/>
        <v>0</v>
      </c>
    </row>
    <row r="497" spans="11:61" x14ac:dyDescent="0.35">
      <c r="K497" t="str">
        <f>IFERROR(VLOOKUP(F497,tbTurnos,3,FALSE),"")</f>
        <v/>
      </c>
      <c r="N497" t="str">
        <f>IFERROR(VLOOKUP(M497,tbFactorMes,2,FALSE),"")</f>
        <v/>
      </c>
      <c r="O497">
        <f t="shared" si="98"/>
        <v>0</v>
      </c>
      <c r="R497" t="str">
        <f>IFERROR(VLOOKUP(Q497,tbFactorMes,2,FALSE),"")</f>
        <v/>
      </c>
      <c r="S497">
        <f t="shared" si="99"/>
        <v>0</v>
      </c>
      <c r="V497" t="str">
        <f>IFERROR(VLOOKUP(U497,tbFactorMes,2,FALSE),"")</f>
        <v/>
      </c>
      <c r="W497">
        <f t="shared" si="100"/>
        <v>0</v>
      </c>
      <c r="Z497" t="str">
        <f>IFERROR(VLOOKUP(Y497,tbFactorMes,2,FALSE),"")</f>
        <v/>
      </c>
      <c r="AA497">
        <f t="shared" si="101"/>
        <v>0</v>
      </c>
      <c r="AD497" t="str">
        <f>IFERROR(VLOOKUP(AC497,tbFactorMes,2,FALSE),"")</f>
        <v/>
      </c>
      <c r="AE497">
        <f t="shared" si="102"/>
        <v>0</v>
      </c>
      <c r="AH497" t="str">
        <f>IFERROR(VLOOKUP(AG497,tbFactorMes,2,FALSE),"")</f>
        <v/>
      </c>
      <c r="AI497">
        <f t="shared" si="103"/>
        <v>0</v>
      </c>
      <c r="AL497" t="str">
        <f>IFERROR(VLOOKUP(AK497,tbFactorMes,2,FALSE),"")</f>
        <v/>
      </c>
      <c r="AM497">
        <f t="shared" si="104"/>
        <v>0</v>
      </c>
      <c r="AP497" t="str">
        <f>IFERROR(VLOOKUP(AO497,tbFactorMes,2,FALSE),"")</f>
        <v/>
      </c>
      <c r="AQ497">
        <f t="shared" si="105"/>
        <v>0</v>
      </c>
      <c r="AT497" t="str">
        <f>IFERROR(VLOOKUP(AS497,tbFactorMes,2,FALSE),"")</f>
        <v/>
      </c>
      <c r="AU497">
        <f t="shared" si="106"/>
        <v>0</v>
      </c>
      <c r="AX497" t="str">
        <f>IFERROR(VLOOKUP(AW497,tbFactorMes,2,FALSE),"")</f>
        <v/>
      </c>
      <c r="AY497">
        <f t="shared" si="107"/>
        <v>0</v>
      </c>
      <c r="BB497" t="str">
        <f>IFERROR(VLOOKUP(BA497,tbFactorMes,2,FALSE),"")</f>
        <v/>
      </c>
      <c r="BC497">
        <f t="shared" si="108"/>
        <v>0</v>
      </c>
      <c r="BF497" t="str">
        <f>IFERROR(VLOOKUP(BE497,tbFactorMes,2,FALSE),"")</f>
        <v/>
      </c>
      <c r="BG497">
        <f t="shared" si="109"/>
        <v>0</v>
      </c>
      <c r="BH497">
        <f t="shared" si="110"/>
        <v>0</v>
      </c>
      <c r="BI497">
        <f t="shared" si="111"/>
        <v>0</v>
      </c>
    </row>
    <row r="498" spans="11:61" x14ac:dyDescent="0.35">
      <c r="K498" t="str">
        <f>IFERROR(VLOOKUP(F498,tbTurnos,3,FALSE),"")</f>
        <v/>
      </c>
      <c r="N498" t="str">
        <f>IFERROR(VLOOKUP(M498,tbFactorMes,2,FALSE),"")</f>
        <v/>
      </c>
      <c r="O498">
        <f t="shared" si="98"/>
        <v>0</v>
      </c>
      <c r="R498" t="str">
        <f>IFERROR(VLOOKUP(Q498,tbFactorMes,2,FALSE),"")</f>
        <v/>
      </c>
      <c r="S498">
        <f t="shared" si="99"/>
        <v>0</v>
      </c>
      <c r="V498" t="str">
        <f>IFERROR(VLOOKUP(U498,tbFactorMes,2,FALSE),"")</f>
        <v/>
      </c>
      <c r="W498">
        <f t="shared" si="100"/>
        <v>0</v>
      </c>
      <c r="Z498" t="str">
        <f>IFERROR(VLOOKUP(Y498,tbFactorMes,2,FALSE),"")</f>
        <v/>
      </c>
      <c r="AA498">
        <f t="shared" si="101"/>
        <v>0</v>
      </c>
      <c r="AD498" t="str">
        <f>IFERROR(VLOOKUP(AC498,tbFactorMes,2,FALSE),"")</f>
        <v/>
      </c>
      <c r="AE498">
        <f t="shared" si="102"/>
        <v>0</v>
      </c>
      <c r="AH498" t="str">
        <f>IFERROR(VLOOKUP(AG498,tbFactorMes,2,FALSE),"")</f>
        <v/>
      </c>
      <c r="AI498">
        <f t="shared" si="103"/>
        <v>0</v>
      </c>
      <c r="AL498" t="str">
        <f>IFERROR(VLOOKUP(AK498,tbFactorMes,2,FALSE),"")</f>
        <v/>
      </c>
      <c r="AM498">
        <f t="shared" si="104"/>
        <v>0</v>
      </c>
      <c r="AP498" t="str">
        <f>IFERROR(VLOOKUP(AO498,tbFactorMes,2,FALSE),"")</f>
        <v/>
      </c>
      <c r="AQ498">
        <f t="shared" si="105"/>
        <v>0</v>
      </c>
      <c r="AT498" t="str">
        <f>IFERROR(VLOOKUP(AS498,tbFactorMes,2,FALSE),"")</f>
        <v/>
      </c>
      <c r="AU498">
        <f t="shared" si="106"/>
        <v>0</v>
      </c>
      <c r="AX498" t="str">
        <f>IFERROR(VLOOKUP(AW498,tbFactorMes,2,FALSE),"")</f>
        <v/>
      </c>
      <c r="AY498">
        <f t="shared" si="107"/>
        <v>0</v>
      </c>
      <c r="BB498" t="str">
        <f>IFERROR(VLOOKUP(BA498,tbFactorMes,2,FALSE),"")</f>
        <v/>
      </c>
      <c r="BC498">
        <f t="shared" si="108"/>
        <v>0</v>
      </c>
      <c r="BF498" t="str">
        <f>IFERROR(VLOOKUP(BE498,tbFactorMes,2,FALSE),"")</f>
        <v/>
      </c>
      <c r="BG498">
        <f t="shared" si="109"/>
        <v>0</v>
      </c>
      <c r="BH498">
        <f t="shared" si="110"/>
        <v>0</v>
      </c>
      <c r="BI498">
        <f t="shared" si="111"/>
        <v>0</v>
      </c>
    </row>
    <row r="499" spans="11:61" x14ac:dyDescent="0.35">
      <c r="K499" t="str">
        <f>IFERROR(VLOOKUP(F499,tbTurnos,3,FALSE),"")</f>
        <v/>
      </c>
      <c r="N499" t="str">
        <f>IFERROR(VLOOKUP(M499,tbFactorMes,2,FALSE),"")</f>
        <v/>
      </c>
      <c r="O499">
        <f t="shared" si="98"/>
        <v>0</v>
      </c>
      <c r="R499" t="str">
        <f>IFERROR(VLOOKUP(Q499,tbFactorMes,2,FALSE),"")</f>
        <v/>
      </c>
      <c r="S499">
        <f t="shared" si="99"/>
        <v>0</v>
      </c>
      <c r="V499" t="str">
        <f>IFERROR(VLOOKUP(U499,tbFactorMes,2,FALSE),"")</f>
        <v/>
      </c>
      <c r="W499">
        <f t="shared" si="100"/>
        <v>0</v>
      </c>
      <c r="Z499" t="str">
        <f>IFERROR(VLOOKUP(Y499,tbFactorMes,2,FALSE),"")</f>
        <v/>
      </c>
      <c r="AA499">
        <f t="shared" si="101"/>
        <v>0</v>
      </c>
      <c r="AD499" t="str">
        <f>IFERROR(VLOOKUP(AC499,tbFactorMes,2,FALSE),"")</f>
        <v/>
      </c>
      <c r="AE499">
        <f t="shared" si="102"/>
        <v>0</v>
      </c>
      <c r="AH499" t="str">
        <f>IFERROR(VLOOKUP(AG499,tbFactorMes,2,FALSE),"")</f>
        <v/>
      </c>
      <c r="AI499">
        <f t="shared" si="103"/>
        <v>0</v>
      </c>
      <c r="AL499" t="str">
        <f>IFERROR(VLOOKUP(AK499,tbFactorMes,2,FALSE),"")</f>
        <v/>
      </c>
      <c r="AM499">
        <f t="shared" si="104"/>
        <v>0</v>
      </c>
      <c r="AP499" t="str">
        <f>IFERROR(VLOOKUP(AO499,tbFactorMes,2,FALSE),"")</f>
        <v/>
      </c>
      <c r="AQ499">
        <f t="shared" si="105"/>
        <v>0</v>
      </c>
      <c r="AT499" t="str">
        <f>IFERROR(VLOOKUP(AS499,tbFactorMes,2,FALSE),"")</f>
        <v/>
      </c>
      <c r="AU499">
        <f t="shared" si="106"/>
        <v>0</v>
      </c>
      <c r="AX499" t="str">
        <f>IFERROR(VLOOKUP(AW499,tbFactorMes,2,FALSE),"")</f>
        <v/>
      </c>
      <c r="AY499">
        <f t="shared" si="107"/>
        <v>0</v>
      </c>
      <c r="BB499" t="str">
        <f>IFERROR(VLOOKUP(BA499,tbFactorMes,2,FALSE),"")</f>
        <v/>
      </c>
      <c r="BC499">
        <f t="shared" si="108"/>
        <v>0</v>
      </c>
      <c r="BF499" t="str">
        <f>IFERROR(VLOOKUP(BE499,tbFactorMes,2,FALSE),"")</f>
        <v/>
      </c>
      <c r="BG499">
        <f t="shared" si="109"/>
        <v>0</v>
      </c>
      <c r="BH499">
        <f t="shared" si="110"/>
        <v>0</v>
      </c>
      <c r="BI499">
        <f t="shared" si="111"/>
        <v>0</v>
      </c>
    </row>
    <row r="500" spans="11:61" x14ac:dyDescent="0.35">
      <c r="K500" t="str">
        <f>IFERROR(VLOOKUP(F500,tbTurnos,3,FALSE),"")</f>
        <v/>
      </c>
      <c r="N500" t="str">
        <f>IFERROR(VLOOKUP(M500,tbFactorMes,2,FALSE),"")</f>
        <v/>
      </c>
      <c r="O500">
        <f t="shared" si="98"/>
        <v>0</v>
      </c>
      <c r="R500" t="str">
        <f>IFERROR(VLOOKUP(Q500,tbFactorMes,2,FALSE),"")</f>
        <v/>
      </c>
      <c r="S500">
        <f t="shared" si="99"/>
        <v>0</v>
      </c>
      <c r="V500" t="str">
        <f>IFERROR(VLOOKUP(U500,tbFactorMes,2,FALSE),"")</f>
        <v/>
      </c>
      <c r="W500">
        <f t="shared" si="100"/>
        <v>0</v>
      </c>
      <c r="Z500" t="str">
        <f>IFERROR(VLOOKUP(Y500,tbFactorMes,2,FALSE),"")</f>
        <v/>
      </c>
      <c r="AA500">
        <f t="shared" si="101"/>
        <v>0</v>
      </c>
      <c r="AD500" t="str">
        <f>IFERROR(VLOOKUP(AC500,tbFactorMes,2,FALSE),"")</f>
        <v/>
      </c>
      <c r="AE500">
        <f t="shared" si="102"/>
        <v>0</v>
      </c>
      <c r="AH500" t="str">
        <f>IFERROR(VLOOKUP(AG500,tbFactorMes,2,FALSE),"")</f>
        <v/>
      </c>
      <c r="AI500">
        <f t="shared" si="103"/>
        <v>0</v>
      </c>
      <c r="AL500" t="str">
        <f>IFERROR(VLOOKUP(AK500,tbFactorMes,2,FALSE),"")</f>
        <v/>
      </c>
      <c r="AM500">
        <f t="shared" si="104"/>
        <v>0</v>
      </c>
      <c r="AP500" t="str">
        <f>IFERROR(VLOOKUP(AO500,tbFactorMes,2,FALSE),"")</f>
        <v/>
      </c>
      <c r="AQ500">
        <f t="shared" si="105"/>
        <v>0</v>
      </c>
      <c r="AT500" t="str">
        <f>IFERROR(VLOOKUP(AS500,tbFactorMes,2,FALSE),"")</f>
        <v/>
      </c>
      <c r="AU500">
        <f t="shared" si="106"/>
        <v>0</v>
      </c>
      <c r="AX500" t="str">
        <f>IFERROR(VLOOKUP(AW500,tbFactorMes,2,FALSE),"")</f>
        <v/>
      </c>
      <c r="AY500">
        <f t="shared" si="107"/>
        <v>0</v>
      </c>
      <c r="BB500" t="str">
        <f>IFERROR(VLOOKUP(BA500,tbFactorMes,2,FALSE),"")</f>
        <v/>
      </c>
      <c r="BC500">
        <f t="shared" si="108"/>
        <v>0</v>
      </c>
      <c r="BF500" t="str">
        <f>IFERROR(VLOOKUP(BE500,tbFactorMes,2,FALSE),"")</f>
        <v/>
      </c>
      <c r="BG500">
        <f t="shared" si="109"/>
        <v>0</v>
      </c>
      <c r="BH500">
        <f t="shared" si="110"/>
        <v>0</v>
      </c>
      <c r="BI500">
        <f t="shared" si="111"/>
        <v>0</v>
      </c>
    </row>
    <row r="501" spans="11:61" x14ac:dyDescent="0.35">
      <c r="K501" t="str">
        <f>IFERROR(VLOOKUP(F501,tbTurnos,3,FALSE),"")</f>
        <v/>
      </c>
      <c r="N501" t="str">
        <f>IFERROR(VLOOKUP(M501,tbFactorMes,2,FALSE),"")</f>
        <v/>
      </c>
      <c r="O501">
        <f t="shared" si="98"/>
        <v>0</v>
      </c>
      <c r="R501" t="str">
        <f>IFERROR(VLOOKUP(Q501,tbFactorMes,2,FALSE),"")</f>
        <v/>
      </c>
      <c r="S501">
        <f t="shared" si="99"/>
        <v>0</v>
      </c>
      <c r="V501" t="str">
        <f>IFERROR(VLOOKUP(U501,tbFactorMes,2,FALSE),"")</f>
        <v/>
      </c>
      <c r="W501">
        <f t="shared" si="100"/>
        <v>0</v>
      </c>
      <c r="Z501" t="str">
        <f>IFERROR(VLOOKUP(Y501,tbFactorMes,2,FALSE),"")</f>
        <v/>
      </c>
      <c r="AA501">
        <f t="shared" si="101"/>
        <v>0</v>
      </c>
      <c r="AD501" t="str">
        <f>IFERROR(VLOOKUP(AC501,tbFactorMes,2,FALSE),"")</f>
        <v/>
      </c>
      <c r="AE501">
        <f t="shared" si="102"/>
        <v>0</v>
      </c>
      <c r="AH501" t="str">
        <f>IFERROR(VLOOKUP(AG501,tbFactorMes,2,FALSE),"")</f>
        <v/>
      </c>
      <c r="AI501">
        <f t="shared" si="103"/>
        <v>0</v>
      </c>
      <c r="AL501" t="str">
        <f>IFERROR(VLOOKUP(AK501,tbFactorMes,2,FALSE),"")</f>
        <v/>
      </c>
      <c r="AM501">
        <f t="shared" si="104"/>
        <v>0</v>
      </c>
      <c r="AP501" t="str">
        <f>IFERROR(VLOOKUP(AO501,tbFactorMes,2,FALSE),"")</f>
        <v/>
      </c>
      <c r="AQ501">
        <f t="shared" si="105"/>
        <v>0</v>
      </c>
      <c r="AT501" t="str">
        <f>IFERROR(VLOOKUP(AS501,tbFactorMes,2,FALSE),"")</f>
        <v/>
      </c>
      <c r="AU501">
        <f t="shared" si="106"/>
        <v>0</v>
      </c>
      <c r="AX501" t="str">
        <f>IFERROR(VLOOKUP(AW501,tbFactorMes,2,FALSE),"")</f>
        <v/>
      </c>
      <c r="AY501">
        <f t="shared" si="107"/>
        <v>0</v>
      </c>
      <c r="BB501" t="str">
        <f>IFERROR(VLOOKUP(BA501,tbFactorMes,2,FALSE),"")</f>
        <v/>
      </c>
      <c r="BC501">
        <f t="shared" si="108"/>
        <v>0</v>
      </c>
      <c r="BF501" t="str">
        <f>IFERROR(VLOOKUP(BE501,tbFactorMes,2,FALSE),"")</f>
        <v/>
      </c>
      <c r="BG501">
        <f t="shared" si="109"/>
        <v>0</v>
      </c>
      <c r="BH501">
        <f t="shared" si="110"/>
        <v>0</v>
      </c>
      <c r="BI501">
        <f t="shared" si="111"/>
        <v>0</v>
      </c>
    </row>
    <row r="502" spans="11:61" x14ac:dyDescent="0.35">
      <c r="K502" t="str">
        <f>IFERROR(VLOOKUP(F502,tbTurnos,3,FALSE),"")</f>
        <v/>
      </c>
      <c r="N502" t="str">
        <f>IFERROR(VLOOKUP(M502,tbFactorMes,2,FALSE),"")</f>
        <v/>
      </c>
      <c r="O502">
        <f t="shared" si="98"/>
        <v>0</v>
      </c>
      <c r="R502" t="str">
        <f>IFERROR(VLOOKUP(Q502,tbFactorMes,2,FALSE),"")</f>
        <v/>
      </c>
      <c r="S502">
        <f t="shared" si="99"/>
        <v>0</v>
      </c>
      <c r="V502" t="str">
        <f>IFERROR(VLOOKUP(U502,tbFactorMes,2,FALSE),"")</f>
        <v/>
      </c>
      <c r="W502">
        <f t="shared" si="100"/>
        <v>0</v>
      </c>
      <c r="Z502" t="str">
        <f>IFERROR(VLOOKUP(Y502,tbFactorMes,2,FALSE),"")</f>
        <v/>
      </c>
      <c r="AA502">
        <f t="shared" si="101"/>
        <v>0</v>
      </c>
      <c r="AD502" t="str">
        <f>IFERROR(VLOOKUP(AC502,tbFactorMes,2,FALSE),"")</f>
        <v/>
      </c>
      <c r="AE502">
        <f t="shared" si="102"/>
        <v>0</v>
      </c>
      <c r="AH502" t="str">
        <f>IFERROR(VLOOKUP(AG502,tbFactorMes,2,FALSE),"")</f>
        <v/>
      </c>
      <c r="AI502">
        <f t="shared" si="103"/>
        <v>0</v>
      </c>
      <c r="AL502" t="str">
        <f>IFERROR(VLOOKUP(AK502,tbFactorMes,2,FALSE),"")</f>
        <v/>
      </c>
      <c r="AM502">
        <f t="shared" si="104"/>
        <v>0</v>
      </c>
      <c r="AP502" t="str">
        <f>IFERROR(VLOOKUP(AO502,tbFactorMes,2,FALSE),"")</f>
        <v/>
      </c>
      <c r="AQ502">
        <f t="shared" si="105"/>
        <v>0</v>
      </c>
      <c r="AT502" t="str">
        <f>IFERROR(VLOOKUP(AS502,tbFactorMes,2,FALSE),"")</f>
        <v/>
      </c>
      <c r="AU502">
        <f t="shared" si="106"/>
        <v>0</v>
      </c>
      <c r="AX502" t="str">
        <f>IFERROR(VLOOKUP(AW502,tbFactorMes,2,FALSE),"")</f>
        <v/>
      </c>
      <c r="AY502">
        <f t="shared" si="107"/>
        <v>0</v>
      </c>
      <c r="BB502" t="str">
        <f>IFERROR(VLOOKUP(BA502,tbFactorMes,2,FALSE),"")</f>
        <v/>
      </c>
      <c r="BC502">
        <f t="shared" si="108"/>
        <v>0</v>
      </c>
      <c r="BF502" t="str">
        <f>IFERROR(VLOOKUP(BE502,tbFactorMes,2,FALSE),"")</f>
        <v/>
      </c>
      <c r="BG502">
        <f t="shared" si="109"/>
        <v>0</v>
      </c>
      <c r="BH502">
        <f t="shared" si="110"/>
        <v>0</v>
      </c>
      <c r="BI502">
        <f t="shared" si="111"/>
        <v>0</v>
      </c>
    </row>
    <row r="503" spans="11:61" x14ac:dyDescent="0.35">
      <c r="K503" t="str">
        <f>IFERROR(VLOOKUP(F503,tbTurnos,3,FALSE),"")</f>
        <v/>
      </c>
      <c r="N503" t="str">
        <f>IFERROR(VLOOKUP(M503,tbFactorMes,2,FALSE),"")</f>
        <v/>
      </c>
      <c r="O503">
        <f t="shared" si="98"/>
        <v>0</v>
      </c>
      <c r="R503" t="str">
        <f>IFERROR(VLOOKUP(Q503,tbFactorMes,2,FALSE),"")</f>
        <v/>
      </c>
      <c r="S503">
        <f t="shared" si="99"/>
        <v>0</v>
      </c>
      <c r="V503" t="str">
        <f>IFERROR(VLOOKUP(U503,tbFactorMes,2,FALSE),"")</f>
        <v/>
      </c>
      <c r="W503">
        <f t="shared" si="100"/>
        <v>0</v>
      </c>
      <c r="Z503" t="str">
        <f>IFERROR(VLOOKUP(Y503,tbFactorMes,2,FALSE),"")</f>
        <v/>
      </c>
      <c r="AA503">
        <f t="shared" si="101"/>
        <v>0</v>
      </c>
      <c r="AD503" t="str">
        <f>IFERROR(VLOOKUP(AC503,tbFactorMes,2,FALSE),"")</f>
        <v/>
      </c>
      <c r="AE503">
        <f t="shared" si="102"/>
        <v>0</v>
      </c>
      <c r="AH503" t="str">
        <f>IFERROR(VLOOKUP(AG503,tbFactorMes,2,FALSE),"")</f>
        <v/>
      </c>
      <c r="AI503">
        <f t="shared" si="103"/>
        <v>0</v>
      </c>
      <c r="AL503" t="str">
        <f>IFERROR(VLOOKUP(AK503,tbFactorMes,2,FALSE),"")</f>
        <v/>
      </c>
      <c r="AM503">
        <f t="shared" si="104"/>
        <v>0</v>
      </c>
      <c r="AP503" t="str">
        <f>IFERROR(VLOOKUP(AO503,tbFactorMes,2,FALSE),"")</f>
        <v/>
      </c>
      <c r="AQ503">
        <f t="shared" si="105"/>
        <v>0</v>
      </c>
      <c r="AT503" t="str">
        <f>IFERROR(VLOOKUP(AS503,tbFactorMes,2,FALSE),"")</f>
        <v/>
      </c>
      <c r="AU503">
        <f t="shared" si="106"/>
        <v>0</v>
      </c>
      <c r="AX503" t="str">
        <f>IFERROR(VLOOKUP(AW503,tbFactorMes,2,FALSE),"")</f>
        <v/>
      </c>
      <c r="AY503">
        <f t="shared" si="107"/>
        <v>0</v>
      </c>
      <c r="BB503" t="str">
        <f>IFERROR(VLOOKUP(BA503,tbFactorMes,2,FALSE),"")</f>
        <v/>
      </c>
      <c r="BC503">
        <f t="shared" si="108"/>
        <v>0</v>
      </c>
      <c r="BF503" t="str">
        <f>IFERROR(VLOOKUP(BE503,tbFactorMes,2,FALSE),"")</f>
        <v/>
      </c>
      <c r="BG503">
        <f t="shared" si="109"/>
        <v>0</v>
      </c>
      <c r="BH503">
        <f t="shared" si="110"/>
        <v>0</v>
      </c>
      <c r="BI503">
        <f t="shared" si="111"/>
        <v>0</v>
      </c>
    </row>
    <row r="504" spans="11:61" x14ac:dyDescent="0.35">
      <c r="K504" t="str">
        <f>IFERROR(VLOOKUP(F504,tbTurnos,3,FALSE),"")</f>
        <v/>
      </c>
      <c r="N504" t="str">
        <f>IFERROR(VLOOKUP(M504,tbFactorMes,2,FALSE),"")</f>
        <v/>
      </c>
      <c r="O504">
        <f t="shared" si="98"/>
        <v>0</v>
      </c>
      <c r="R504" t="str">
        <f>IFERROR(VLOOKUP(Q504,tbFactorMes,2,FALSE),"")</f>
        <v/>
      </c>
      <c r="S504">
        <f t="shared" si="99"/>
        <v>0</v>
      </c>
      <c r="V504" t="str">
        <f>IFERROR(VLOOKUP(U504,tbFactorMes,2,FALSE),"")</f>
        <v/>
      </c>
      <c r="W504">
        <f t="shared" si="100"/>
        <v>0</v>
      </c>
      <c r="Z504" t="str">
        <f>IFERROR(VLOOKUP(Y504,tbFactorMes,2,FALSE),"")</f>
        <v/>
      </c>
      <c r="AA504">
        <f t="shared" si="101"/>
        <v>0</v>
      </c>
      <c r="AD504" t="str">
        <f>IFERROR(VLOOKUP(AC504,tbFactorMes,2,FALSE),"")</f>
        <v/>
      </c>
      <c r="AE504">
        <f t="shared" si="102"/>
        <v>0</v>
      </c>
      <c r="AH504" t="str">
        <f>IFERROR(VLOOKUP(AG504,tbFactorMes,2,FALSE),"")</f>
        <v/>
      </c>
      <c r="AI504">
        <f t="shared" si="103"/>
        <v>0</v>
      </c>
      <c r="AL504" t="str">
        <f>IFERROR(VLOOKUP(AK504,tbFactorMes,2,FALSE),"")</f>
        <v/>
      </c>
      <c r="AM504">
        <f t="shared" si="104"/>
        <v>0</v>
      </c>
      <c r="AP504" t="str">
        <f>IFERROR(VLOOKUP(AO504,tbFactorMes,2,FALSE),"")</f>
        <v/>
      </c>
      <c r="AQ504">
        <f t="shared" si="105"/>
        <v>0</v>
      </c>
      <c r="AT504" t="str">
        <f>IFERROR(VLOOKUP(AS504,tbFactorMes,2,FALSE),"")</f>
        <v/>
      </c>
      <c r="AU504">
        <f t="shared" si="106"/>
        <v>0</v>
      </c>
      <c r="AX504" t="str">
        <f>IFERROR(VLOOKUP(AW504,tbFactorMes,2,FALSE),"")</f>
        <v/>
      </c>
      <c r="AY504">
        <f t="shared" si="107"/>
        <v>0</v>
      </c>
      <c r="BB504" t="str">
        <f>IFERROR(VLOOKUP(BA504,tbFactorMes,2,FALSE),"")</f>
        <v/>
      </c>
      <c r="BC504">
        <f t="shared" si="108"/>
        <v>0</v>
      </c>
      <c r="BF504" t="str">
        <f>IFERROR(VLOOKUP(BE504,tbFactorMes,2,FALSE),"")</f>
        <v/>
      </c>
      <c r="BG504">
        <f t="shared" si="109"/>
        <v>0</v>
      </c>
      <c r="BH504">
        <f t="shared" si="110"/>
        <v>0</v>
      </c>
      <c r="BI504">
        <f t="shared" si="111"/>
        <v>0</v>
      </c>
    </row>
    <row r="505" spans="11:61" x14ac:dyDescent="0.35">
      <c r="K505" t="str">
        <f>IFERROR(VLOOKUP(F505,tbTurnos,3,FALSE),"")</f>
        <v/>
      </c>
      <c r="N505" t="str">
        <f>IFERROR(VLOOKUP(M505,tbFactorMes,2,FALSE),"")</f>
        <v/>
      </c>
      <c r="O505">
        <f t="shared" si="98"/>
        <v>0</v>
      </c>
      <c r="R505" t="str">
        <f>IFERROR(VLOOKUP(Q505,tbFactorMes,2,FALSE),"")</f>
        <v/>
      </c>
      <c r="S505">
        <f t="shared" si="99"/>
        <v>0</v>
      </c>
      <c r="V505" t="str">
        <f>IFERROR(VLOOKUP(U505,tbFactorMes,2,FALSE),"")</f>
        <v/>
      </c>
      <c r="W505">
        <f t="shared" si="100"/>
        <v>0</v>
      </c>
      <c r="Z505" t="str">
        <f>IFERROR(VLOOKUP(Y505,tbFactorMes,2,FALSE),"")</f>
        <v/>
      </c>
      <c r="AA505">
        <f t="shared" si="101"/>
        <v>0</v>
      </c>
      <c r="AD505" t="str">
        <f>IFERROR(VLOOKUP(AC505,tbFactorMes,2,FALSE),"")</f>
        <v/>
      </c>
      <c r="AE505">
        <f t="shared" si="102"/>
        <v>0</v>
      </c>
      <c r="AH505" t="str">
        <f>IFERROR(VLOOKUP(AG505,tbFactorMes,2,FALSE),"")</f>
        <v/>
      </c>
      <c r="AI505">
        <f t="shared" si="103"/>
        <v>0</v>
      </c>
      <c r="AL505" t="str">
        <f>IFERROR(VLOOKUP(AK505,tbFactorMes,2,FALSE),"")</f>
        <v/>
      </c>
      <c r="AM505">
        <f t="shared" si="104"/>
        <v>0</v>
      </c>
      <c r="AP505" t="str">
        <f>IFERROR(VLOOKUP(AO505,tbFactorMes,2,FALSE),"")</f>
        <v/>
      </c>
      <c r="AQ505">
        <f t="shared" si="105"/>
        <v>0</v>
      </c>
      <c r="AT505" t="str">
        <f>IFERROR(VLOOKUP(AS505,tbFactorMes,2,FALSE),"")</f>
        <v/>
      </c>
      <c r="AU505">
        <f t="shared" si="106"/>
        <v>0</v>
      </c>
      <c r="AX505" t="str">
        <f>IFERROR(VLOOKUP(AW505,tbFactorMes,2,FALSE),"")</f>
        <v/>
      </c>
      <c r="AY505">
        <f t="shared" si="107"/>
        <v>0</v>
      </c>
      <c r="BB505" t="str">
        <f>IFERROR(VLOOKUP(BA505,tbFactorMes,2,FALSE),"")</f>
        <v/>
      </c>
      <c r="BC505">
        <f t="shared" si="108"/>
        <v>0</v>
      </c>
      <c r="BF505" t="str">
        <f>IFERROR(VLOOKUP(BE505,tbFactorMes,2,FALSE),"")</f>
        <v/>
      </c>
      <c r="BG505">
        <f t="shared" si="109"/>
        <v>0</v>
      </c>
      <c r="BH505">
        <f t="shared" si="110"/>
        <v>0</v>
      </c>
      <c r="BI505">
        <f t="shared" si="111"/>
        <v>0</v>
      </c>
    </row>
    <row r="506" spans="11:61" x14ac:dyDescent="0.35">
      <c r="K506" t="str">
        <f>IFERROR(VLOOKUP(F506,tbTurnos,3,FALSE),"")</f>
        <v/>
      </c>
      <c r="N506" t="str">
        <f>IFERROR(VLOOKUP(M506,tbFactorMes,2,FALSE),"")</f>
        <v/>
      </c>
      <c r="O506">
        <f t="shared" si="98"/>
        <v>0</v>
      </c>
      <c r="R506" t="str">
        <f>IFERROR(VLOOKUP(Q506,tbFactorMes,2,FALSE),"")</f>
        <v/>
      </c>
      <c r="S506">
        <f t="shared" si="99"/>
        <v>0</v>
      </c>
      <c r="V506" t="str">
        <f>IFERROR(VLOOKUP(U506,tbFactorMes,2,FALSE),"")</f>
        <v/>
      </c>
      <c r="W506">
        <f t="shared" si="100"/>
        <v>0</v>
      </c>
      <c r="Z506" t="str">
        <f>IFERROR(VLOOKUP(Y506,tbFactorMes,2,FALSE),"")</f>
        <v/>
      </c>
      <c r="AA506">
        <f t="shared" si="101"/>
        <v>0</v>
      </c>
      <c r="AD506" t="str">
        <f>IFERROR(VLOOKUP(AC506,tbFactorMes,2,FALSE),"")</f>
        <v/>
      </c>
      <c r="AE506">
        <f t="shared" si="102"/>
        <v>0</v>
      </c>
      <c r="AH506" t="str">
        <f>IFERROR(VLOOKUP(AG506,tbFactorMes,2,FALSE),"")</f>
        <v/>
      </c>
      <c r="AI506">
        <f t="shared" si="103"/>
        <v>0</v>
      </c>
      <c r="AL506" t="str">
        <f>IFERROR(VLOOKUP(AK506,tbFactorMes,2,FALSE),"")</f>
        <v/>
      </c>
      <c r="AM506">
        <f t="shared" si="104"/>
        <v>0</v>
      </c>
      <c r="AP506" t="str">
        <f>IFERROR(VLOOKUP(AO506,tbFactorMes,2,FALSE),"")</f>
        <v/>
      </c>
      <c r="AQ506">
        <f t="shared" si="105"/>
        <v>0</v>
      </c>
      <c r="AT506" t="str">
        <f>IFERROR(VLOOKUP(AS506,tbFactorMes,2,FALSE),"")</f>
        <v/>
      </c>
      <c r="AU506">
        <f t="shared" si="106"/>
        <v>0</v>
      </c>
      <c r="AX506" t="str">
        <f>IFERROR(VLOOKUP(AW506,tbFactorMes,2,FALSE),"")</f>
        <v/>
      </c>
      <c r="AY506">
        <f t="shared" si="107"/>
        <v>0</v>
      </c>
      <c r="BB506" t="str">
        <f>IFERROR(VLOOKUP(BA506,tbFactorMes,2,FALSE),"")</f>
        <v/>
      </c>
      <c r="BC506">
        <f t="shared" si="108"/>
        <v>0</v>
      </c>
      <c r="BF506" t="str">
        <f>IFERROR(VLOOKUP(BE506,tbFactorMes,2,FALSE),"")</f>
        <v/>
      </c>
      <c r="BG506">
        <f t="shared" si="109"/>
        <v>0</v>
      </c>
      <c r="BH506">
        <f t="shared" si="110"/>
        <v>0</v>
      </c>
      <c r="BI506">
        <f t="shared" si="111"/>
        <v>0</v>
      </c>
    </row>
    <row r="507" spans="11:61" x14ac:dyDescent="0.35">
      <c r="K507" t="str">
        <f>IFERROR(VLOOKUP(F507,tbTurnos,3,FALSE),"")</f>
        <v/>
      </c>
      <c r="N507" t="str">
        <f>IFERROR(VLOOKUP(M507,tbFactorMes,2,FALSE),"")</f>
        <v/>
      </c>
      <c r="O507">
        <f t="shared" si="98"/>
        <v>0</v>
      </c>
      <c r="R507" t="str">
        <f>IFERROR(VLOOKUP(Q507,tbFactorMes,2,FALSE),"")</f>
        <v/>
      </c>
      <c r="S507">
        <f t="shared" si="99"/>
        <v>0</v>
      </c>
      <c r="V507" t="str">
        <f>IFERROR(VLOOKUP(U507,tbFactorMes,2,FALSE),"")</f>
        <v/>
      </c>
      <c r="W507">
        <f t="shared" si="100"/>
        <v>0</v>
      </c>
      <c r="Z507" t="str">
        <f>IFERROR(VLOOKUP(Y507,tbFactorMes,2,FALSE),"")</f>
        <v/>
      </c>
      <c r="AA507">
        <f t="shared" si="101"/>
        <v>0</v>
      </c>
      <c r="AD507" t="str">
        <f>IFERROR(VLOOKUP(AC507,tbFactorMes,2,FALSE),"")</f>
        <v/>
      </c>
      <c r="AE507">
        <f t="shared" si="102"/>
        <v>0</v>
      </c>
      <c r="AH507" t="str">
        <f>IFERROR(VLOOKUP(AG507,tbFactorMes,2,FALSE),"")</f>
        <v/>
      </c>
      <c r="AI507">
        <f t="shared" si="103"/>
        <v>0</v>
      </c>
      <c r="AL507" t="str">
        <f>IFERROR(VLOOKUP(AK507,tbFactorMes,2,FALSE),"")</f>
        <v/>
      </c>
      <c r="AM507">
        <f t="shared" si="104"/>
        <v>0</v>
      </c>
      <c r="AP507" t="str">
        <f>IFERROR(VLOOKUP(AO507,tbFactorMes,2,FALSE),"")</f>
        <v/>
      </c>
      <c r="AQ507">
        <f t="shared" si="105"/>
        <v>0</v>
      </c>
      <c r="AT507" t="str">
        <f>IFERROR(VLOOKUP(AS507,tbFactorMes,2,FALSE),"")</f>
        <v/>
      </c>
      <c r="AU507">
        <f t="shared" si="106"/>
        <v>0</v>
      </c>
      <c r="AX507" t="str">
        <f>IFERROR(VLOOKUP(AW507,tbFactorMes,2,FALSE),"")</f>
        <v/>
      </c>
      <c r="AY507">
        <f t="shared" si="107"/>
        <v>0</v>
      </c>
      <c r="BB507" t="str">
        <f>IFERROR(VLOOKUP(BA507,tbFactorMes,2,FALSE),"")</f>
        <v/>
      </c>
      <c r="BC507">
        <f t="shared" si="108"/>
        <v>0</v>
      </c>
      <c r="BF507" t="str">
        <f>IFERROR(VLOOKUP(BE507,tbFactorMes,2,FALSE),"")</f>
        <v/>
      </c>
      <c r="BG507">
        <f t="shared" si="109"/>
        <v>0</v>
      </c>
      <c r="BH507">
        <f t="shared" si="110"/>
        <v>0</v>
      </c>
      <c r="BI507">
        <f t="shared" si="111"/>
        <v>0</v>
      </c>
    </row>
    <row r="508" spans="11:61" x14ac:dyDescent="0.35">
      <c r="K508" t="str">
        <f>IFERROR(VLOOKUP(F508,tbTurnos,3,FALSE),"")</f>
        <v/>
      </c>
      <c r="N508" t="str">
        <f>IFERROR(VLOOKUP(M508,tbFactorMes,2,FALSE),"")</f>
        <v/>
      </c>
      <c r="O508">
        <f t="shared" si="98"/>
        <v>0</v>
      </c>
      <c r="R508" t="str">
        <f>IFERROR(VLOOKUP(Q508,tbFactorMes,2,FALSE),"")</f>
        <v/>
      </c>
      <c r="S508">
        <f t="shared" si="99"/>
        <v>0</v>
      </c>
      <c r="V508" t="str">
        <f>IFERROR(VLOOKUP(U508,tbFactorMes,2,FALSE),"")</f>
        <v/>
      </c>
      <c r="W508">
        <f t="shared" si="100"/>
        <v>0</v>
      </c>
      <c r="Z508" t="str">
        <f>IFERROR(VLOOKUP(Y508,tbFactorMes,2,FALSE),"")</f>
        <v/>
      </c>
      <c r="AA508">
        <f t="shared" si="101"/>
        <v>0</v>
      </c>
      <c r="AD508" t="str">
        <f>IFERROR(VLOOKUP(AC508,tbFactorMes,2,FALSE),"")</f>
        <v/>
      </c>
      <c r="AE508">
        <f t="shared" si="102"/>
        <v>0</v>
      </c>
      <c r="AH508" t="str">
        <f>IFERROR(VLOOKUP(AG508,tbFactorMes,2,FALSE),"")</f>
        <v/>
      </c>
      <c r="AI508">
        <f t="shared" si="103"/>
        <v>0</v>
      </c>
      <c r="AL508" t="str">
        <f>IFERROR(VLOOKUP(AK508,tbFactorMes,2,FALSE),"")</f>
        <v/>
      </c>
      <c r="AM508">
        <f t="shared" si="104"/>
        <v>0</v>
      </c>
      <c r="AP508" t="str">
        <f>IFERROR(VLOOKUP(AO508,tbFactorMes,2,FALSE),"")</f>
        <v/>
      </c>
      <c r="AQ508">
        <f t="shared" si="105"/>
        <v>0</v>
      </c>
      <c r="AT508" t="str">
        <f>IFERROR(VLOOKUP(AS508,tbFactorMes,2,FALSE),"")</f>
        <v/>
      </c>
      <c r="AU508">
        <f t="shared" si="106"/>
        <v>0</v>
      </c>
      <c r="AX508" t="str">
        <f>IFERROR(VLOOKUP(AW508,tbFactorMes,2,FALSE),"")</f>
        <v/>
      </c>
      <c r="AY508">
        <f t="shared" si="107"/>
        <v>0</v>
      </c>
      <c r="BB508" t="str">
        <f>IFERROR(VLOOKUP(BA508,tbFactorMes,2,FALSE),"")</f>
        <v/>
      </c>
      <c r="BC508">
        <f t="shared" si="108"/>
        <v>0</v>
      </c>
      <c r="BF508" t="str">
        <f>IFERROR(VLOOKUP(BE508,tbFactorMes,2,FALSE),"")</f>
        <v/>
      </c>
      <c r="BG508">
        <f t="shared" si="109"/>
        <v>0</v>
      </c>
      <c r="BH508">
        <f t="shared" si="110"/>
        <v>0</v>
      </c>
      <c r="BI508">
        <f t="shared" si="111"/>
        <v>0</v>
      </c>
    </row>
    <row r="509" spans="11:61" x14ac:dyDescent="0.35">
      <c r="K509" t="str">
        <f>IFERROR(VLOOKUP(F509,tbTurnos,3,FALSE),"")</f>
        <v/>
      </c>
      <c r="N509" t="str">
        <f>IFERROR(VLOOKUP(M509,tbFactorMes,2,FALSE),"")</f>
        <v/>
      </c>
      <c r="O509">
        <f t="shared" si="98"/>
        <v>0</v>
      </c>
      <c r="R509" t="str">
        <f>IFERROR(VLOOKUP(Q509,tbFactorMes,2,FALSE),"")</f>
        <v/>
      </c>
      <c r="S509">
        <f t="shared" si="99"/>
        <v>0</v>
      </c>
      <c r="V509" t="str">
        <f>IFERROR(VLOOKUP(U509,tbFactorMes,2,FALSE),"")</f>
        <v/>
      </c>
      <c r="W509">
        <f t="shared" si="100"/>
        <v>0</v>
      </c>
      <c r="Z509" t="str">
        <f>IFERROR(VLOOKUP(Y509,tbFactorMes,2,FALSE),"")</f>
        <v/>
      </c>
      <c r="AA509">
        <f t="shared" si="101"/>
        <v>0</v>
      </c>
      <c r="AD509" t="str">
        <f>IFERROR(VLOOKUP(AC509,tbFactorMes,2,FALSE),"")</f>
        <v/>
      </c>
      <c r="AE509">
        <f t="shared" si="102"/>
        <v>0</v>
      </c>
      <c r="AH509" t="str">
        <f>IFERROR(VLOOKUP(AG509,tbFactorMes,2,FALSE),"")</f>
        <v/>
      </c>
      <c r="AI509">
        <f t="shared" si="103"/>
        <v>0</v>
      </c>
      <c r="AL509" t="str">
        <f>IFERROR(VLOOKUP(AK509,tbFactorMes,2,FALSE),"")</f>
        <v/>
      </c>
      <c r="AM509">
        <f t="shared" si="104"/>
        <v>0</v>
      </c>
      <c r="AP509" t="str">
        <f>IFERROR(VLOOKUP(AO509,tbFactorMes,2,FALSE),"")</f>
        <v/>
      </c>
      <c r="AQ509">
        <f t="shared" si="105"/>
        <v>0</v>
      </c>
      <c r="AT509" t="str">
        <f>IFERROR(VLOOKUP(AS509,tbFactorMes,2,FALSE),"")</f>
        <v/>
      </c>
      <c r="AU509">
        <f t="shared" si="106"/>
        <v>0</v>
      </c>
      <c r="AX509" t="str">
        <f>IFERROR(VLOOKUP(AW509,tbFactorMes,2,FALSE),"")</f>
        <v/>
      </c>
      <c r="AY509">
        <f t="shared" si="107"/>
        <v>0</v>
      </c>
      <c r="BB509" t="str">
        <f>IFERROR(VLOOKUP(BA509,tbFactorMes,2,FALSE),"")</f>
        <v/>
      </c>
      <c r="BC509">
        <f t="shared" si="108"/>
        <v>0</v>
      </c>
      <c r="BF509" t="str">
        <f>IFERROR(VLOOKUP(BE509,tbFactorMes,2,FALSE),"")</f>
        <v/>
      </c>
      <c r="BG509">
        <f t="shared" si="109"/>
        <v>0</v>
      </c>
      <c r="BH509">
        <f t="shared" si="110"/>
        <v>0</v>
      </c>
      <c r="BI509">
        <f t="shared" si="111"/>
        <v>0</v>
      </c>
    </row>
    <row r="510" spans="11:61" x14ac:dyDescent="0.35">
      <c r="K510" t="str">
        <f>IFERROR(VLOOKUP(F510,tbTurnos,3,FALSE),"")</f>
        <v/>
      </c>
      <c r="N510" t="str">
        <f>IFERROR(VLOOKUP(M510,tbFactorMes,2,FALSE),"")</f>
        <v/>
      </c>
      <c r="O510">
        <f t="shared" si="98"/>
        <v>0</v>
      </c>
      <c r="R510" t="str">
        <f>IFERROR(VLOOKUP(Q510,tbFactorMes,2,FALSE),"")</f>
        <v/>
      </c>
      <c r="S510">
        <f t="shared" si="99"/>
        <v>0</v>
      </c>
      <c r="V510" t="str">
        <f>IFERROR(VLOOKUP(U510,tbFactorMes,2,FALSE),"")</f>
        <v/>
      </c>
      <c r="W510">
        <f t="shared" si="100"/>
        <v>0</v>
      </c>
      <c r="Z510" t="str">
        <f>IFERROR(VLOOKUP(Y510,tbFactorMes,2,FALSE),"")</f>
        <v/>
      </c>
      <c r="AA510">
        <f t="shared" si="101"/>
        <v>0</v>
      </c>
      <c r="AD510" t="str">
        <f>IFERROR(VLOOKUP(AC510,tbFactorMes,2,FALSE),"")</f>
        <v/>
      </c>
      <c r="AE510">
        <f t="shared" si="102"/>
        <v>0</v>
      </c>
      <c r="AH510" t="str">
        <f>IFERROR(VLOOKUP(AG510,tbFactorMes,2,FALSE),"")</f>
        <v/>
      </c>
      <c r="AI510">
        <f t="shared" si="103"/>
        <v>0</v>
      </c>
      <c r="AL510" t="str">
        <f>IFERROR(VLOOKUP(AK510,tbFactorMes,2,FALSE),"")</f>
        <v/>
      </c>
      <c r="AM510">
        <f t="shared" si="104"/>
        <v>0</v>
      </c>
      <c r="AP510" t="str">
        <f>IFERROR(VLOOKUP(AO510,tbFactorMes,2,FALSE),"")</f>
        <v/>
      </c>
      <c r="AQ510">
        <f t="shared" si="105"/>
        <v>0</v>
      </c>
      <c r="AT510" t="str">
        <f>IFERROR(VLOOKUP(AS510,tbFactorMes,2,FALSE),"")</f>
        <v/>
      </c>
      <c r="AU510">
        <f t="shared" si="106"/>
        <v>0</v>
      </c>
      <c r="AX510" t="str">
        <f>IFERROR(VLOOKUP(AW510,tbFactorMes,2,FALSE),"")</f>
        <v/>
      </c>
      <c r="AY510">
        <f t="shared" si="107"/>
        <v>0</v>
      </c>
      <c r="BB510" t="str">
        <f>IFERROR(VLOOKUP(BA510,tbFactorMes,2,FALSE),"")</f>
        <v/>
      </c>
      <c r="BC510">
        <f t="shared" si="108"/>
        <v>0</v>
      </c>
      <c r="BF510" t="str">
        <f>IFERROR(VLOOKUP(BE510,tbFactorMes,2,FALSE),"")</f>
        <v/>
      </c>
      <c r="BG510">
        <f t="shared" si="109"/>
        <v>0</v>
      </c>
      <c r="BH510">
        <f t="shared" si="110"/>
        <v>0</v>
      </c>
      <c r="BI510">
        <f t="shared" si="111"/>
        <v>0</v>
      </c>
    </row>
    <row r="511" spans="11:61" x14ac:dyDescent="0.35">
      <c r="K511" t="str">
        <f>IFERROR(VLOOKUP(F511,tbTurnos,3,FALSE),"")</f>
        <v/>
      </c>
      <c r="N511" t="str">
        <f>IFERROR(VLOOKUP(M511,tbFactorMes,2,FALSE),"")</f>
        <v/>
      </c>
      <c r="O511">
        <f t="shared" si="98"/>
        <v>0</v>
      </c>
      <c r="R511" t="str">
        <f>IFERROR(VLOOKUP(Q511,tbFactorMes,2,FALSE),"")</f>
        <v/>
      </c>
      <c r="S511">
        <f t="shared" si="99"/>
        <v>0</v>
      </c>
      <c r="V511" t="str">
        <f>IFERROR(VLOOKUP(U511,tbFactorMes,2,FALSE),"")</f>
        <v/>
      </c>
      <c r="W511">
        <f t="shared" si="100"/>
        <v>0</v>
      </c>
      <c r="Z511" t="str">
        <f>IFERROR(VLOOKUP(Y511,tbFactorMes,2,FALSE),"")</f>
        <v/>
      </c>
      <c r="AA511">
        <f t="shared" si="101"/>
        <v>0</v>
      </c>
      <c r="AD511" t="str">
        <f>IFERROR(VLOOKUP(AC511,tbFactorMes,2,FALSE),"")</f>
        <v/>
      </c>
      <c r="AE511">
        <f t="shared" si="102"/>
        <v>0</v>
      </c>
      <c r="AH511" t="str">
        <f>IFERROR(VLOOKUP(AG511,tbFactorMes,2,FALSE),"")</f>
        <v/>
      </c>
      <c r="AI511">
        <f t="shared" si="103"/>
        <v>0</v>
      </c>
      <c r="AL511" t="str">
        <f>IFERROR(VLOOKUP(AK511,tbFactorMes,2,FALSE),"")</f>
        <v/>
      </c>
      <c r="AM511">
        <f t="shared" si="104"/>
        <v>0</v>
      </c>
      <c r="AP511" t="str">
        <f>IFERROR(VLOOKUP(AO511,tbFactorMes,2,FALSE),"")</f>
        <v/>
      </c>
      <c r="AQ511">
        <f t="shared" si="105"/>
        <v>0</v>
      </c>
      <c r="AT511" t="str">
        <f>IFERROR(VLOOKUP(AS511,tbFactorMes,2,FALSE),"")</f>
        <v/>
      </c>
      <c r="AU511">
        <f t="shared" si="106"/>
        <v>0</v>
      </c>
      <c r="AX511" t="str">
        <f>IFERROR(VLOOKUP(AW511,tbFactorMes,2,FALSE),"")</f>
        <v/>
      </c>
      <c r="AY511">
        <f t="shared" si="107"/>
        <v>0</v>
      </c>
      <c r="BB511" t="str">
        <f>IFERROR(VLOOKUP(BA511,tbFactorMes,2,FALSE),"")</f>
        <v/>
      </c>
      <c r="BC511">
        <f t="shared" si="108"/>
        <v>0</v>
      </c>
      <c r="BF511" t="str">
        <f>IFERROR(VLOOKUP(BE511,tbFactorMes,2,FALSE),"")</f>
        <v/>
      </c>
      <c r="BG511">
        <f t="shared" si="109"/>
        <v>0</v>
      </c>
      <c r="BH511">
        <f t="shared" si="110"/>
        <v>0</v>
      </c>
      <c r="BI511">
        <f t="shared" si="111"/>
        <v>0</v>
      </c>
    </row>
    <row r="512" spans="11:61" x14ac:dyDescent="0.35">
      <c r="K512" t="str">
        <f>IFERROR(VLOOKUP(F512,tbTurnos,3,FALSE),"")</f>
        <v/>
      </c>
      <c r="N512" t="str">
        <f>IFERROR(VLOOKUP(M512,tbFactorMes,2,FALSE),"")</f>
        <v/>
      </c>
      <c r="O512">
        <f t="shared" si="98"/>
        <v>0</v>
      </c>
      <c r="R512" t="str">
        <f>IFERROR(VLOOKUP(Q512,tbFactorMes,2,FALSE),"")</f>
        <v/>
      </c>
      <c r="S512">
        <f t="shared" si="99"/>
        <v>0</v>
      </c>
      <c r="V512" t="str">
        <f>IFERROR(VLOOKUP(U512,tbFactorMes,2,FALSE),"")</f>
        <v/>
      </c>
      <c r="W512">
        <f t="shared" si="100"/>
        <v>0</v>
      </c>
      <c r="Z512" t="str">
        <f>IFERROR(VLOOKUP(Y512,tbFactorMes,2,FALSE),"")</f>
        <v/>
      </c>
      <c r="AA512">
        <f t="shared" si="101"/>
        <v>0</v>
      </c>
      <c r="AD512" t="str">
        <f>IFERROR(VLOOKUP(AC512,tbFactorMes,2,FALSE),"")</f>
        <v/>
      </c>
      <c r="AE512">
        <f t="shared" si="102"/>
        <v>0</v>
      </c>
      <c r="AH512" t="str">
        <f>IFERROR(VLOOKUP(AG512,tbFactorMes,2,FALSE),"")</f>
        <v/>
      </c>
      <c r="AI512">
        <f t="shared" si="103"/>
        <v>0</v>
      </c>
      <c r="AL512" t="str">
        <f>IFERROR(VLOOKUP(AK512,tbFactorMes,2,FALSE),"")</f>
        <v/>
      </c>
      <c r="AM512">
        <f t="shared" si="104"/>
        <v>0</v>
      </c>
      <c r="AP512" t="str">
        <f>IFERROR(VLOOKUP(AO512,tbFactorMes,2,FALSE),"")</f>
        <v/>
      </c>
      <c r="AQ512">
        <f t="shared" si="105"/>
        <v>0</v>
      </c>
      <c r="AT512" t="str">
        <f>IFERROR(VLOOKUP(AS512,tbFactorMes,2,FALSE),"")</f>
        <v/>
      </c>
      <c r="AU512">
        <f t="shared" si="106"/>
        <v>0</v>
      </c>
      <c r="AX512" t="str">
        <f>IFERROR(VLOOKUP(AW512,tbFactorMes,2,FALSE),"")</f>
        <v/>
      </c>
      <c r="AY512">
        <f t="shared" si="107"/>
        <v>0</v>
      </c>
      <c r="BB512" t="str">
        <f>IFERROR(VLOOKUP(BA512,tbFactorMes,2,FALSE),"")</f>
        <v/>
      </c>
      <c r="BC512">
        <f t="shared" si="108"/>
        <v>0</v>
      </c>
      <c r="BF512" t="str">
        <f>IFERROR(VLOOKUP(BE512,tbFactorMes,2,FALSE),"")</f>
        <v/>
      </c>
      <c r="BG512">
        <f t="shared" si="109"/>
        <v>0</v>
      </c>
      <c r="BH512">
        <f t="shared" si="110"/>
        <v>0</v>
      </c>
      <c r="BI512">
        <f t="shared" si="111"/>
        <v>0</v>
      </c>
    </row>
    <row r="513" spans="11:61" x14ac:dyDescent="0.35">
      <c r="K513" t="str">
        <f>IFERROR(VLOOKUP(F513,tbTurnos,3,FALSE),"")</f>
        <v/>
      </c>
      <c r="N513" t="str">
        <f>IFERROR(VLOOKUP(M513,tbFactorMes,2,FALSE),"")</f>
        <v/>
      </c>
      <c r="O513">
        <f t="shared" si="98"/>
        <v>0</v>
      </c>
      <c r="R513" t="str">
        <f>IFERROR(VLOOKUP(Q513,tbFactorMes,2,FALSE),"")</f>
        <v/>
      </c>
      <c r="S513">
        <f t="shared" si="99"/>
        <v>0</v>
      </c>
      <c r="V513" t="str">
        <f>IFERROR(VLOOKUP(U513,tbFactorMes,2,FALSE),"")</f>
        <v/>
      </c>
      <c r="W513">
        <f t="shared" si="100"/>
        <v>0</v>
      </c>
      <c r="Z513" t="str">
        <f>IFERROR(VLOOKUP(Y513,tbFactorMes,2,FALSE),"")</f>
        <v/>
      </c>
      <c r="AA513">
        <f t="shared" si="101"/>
        <v>0</v>
      </c>
      <c r="AD513" t="str">
        <f>IFERROR(VLOOKUP(AC513,tbFactorMes,2,FALSE),"")</f>
        <v/>
      </c>
      <c r="AE513">
        <f t="shared" si="102"/>
        <v>0</v>
      </c>
      <c r="AH513" t="str">
        <f>IFERROR(VLOOKUP(AG513,tbFactorMes,2,FALSE),"")</f>
        <v/>
      </c>
      <c r="AI513">
        <f t="shared" si="103"/>
        <v>0</v>
      </c>
      <c r="AL513" t="str">
        <f>IFERROR(VLOOKUP(AK513,tbFactorMes,2,FALSE),"")</f>
        <v/>
      </c>
      <c r="AM513">
        <f t="shared" si="104"/>
        <v>0</v>
      </c>
      <c r="AP513" t="str">
        <f>IFERROR(VLOOKUP(AO513,tbFactorMes,2,FALSE),"")</f>
        <v/>
      </c>
      <c r="AQ513">
        <f t="shared" si="105"/>
        <v>0</v>
      </c>
      <c r="AT513" t="str">
        <f>IFERROR(VLOOKUP(AS513,tbFactorMes,2,FALSE),"")</f>
        <v/>
      </c>
      <c r="AU513">
        <f t="shared" si="106"/>
        <v>0</v>
      </c>
      <c r="AX513" t="str">
        <f>IFERROR(VLOOKUP(AW513,tbFactorMes,2,FALSE),"")</f>
        <v/>
      </c>
      <c r="AY513">
        <f t="shared" si="107"/>
        <v>0</v>
      </c>
      <c r="BB513" t="str">
        <f>IFERROR(VLOOKUP(BA513,tbFactorMes,2,FALSE),"")</f>
        <v/>
      </c>
      <c r="BC513">
        <f t="shared" si="108"/>
        <v>0</v>
      </c>
      <c r="BF513" t="str">
        <f>IFERROR(VLOOKUP(BE513,tbFactorMes,2,FALSE),"")</f>
        <v/>
      </c>
      <c r="BG513">
        <f t="shared" si="109"/>
        <v>0</v>
      </c>
      <c r="BH513">
        <f t="shared" si="110"/>
        <v>0</v>
      </c>
      <c r="BI513">
        <f t="shared" si="111"/>
        <v>0</v>
      </c>
    </row>
    <row r="514" spans="11:61" x14ac:dyDescent="0.35">
      <c r="K514" t="str">
        <f>IFERROR(VLOOKUP(F514,tbTurnos,3,FALSE),"")</f>
        <v/>
      </c>
      <c r="N514" t="str">
        <f>IFERROR(VLOOKUP(M514,tbFactorMes,2,FALSE),"")</f>
        <v/>
      </c>
      <c r="O514">
        <f t="shared" ref="O514:O577" si="112">IFERROR((L514*$K514)/N514,0)*$J514</f>
        <v>0</v>
      </c>
      <c r="R514" t="str">
        <f>IFERROR(VLOOKUP(Q514,tbFactorMes,2,FALSE),"")</f>
        <v/>
      </c>
      <c r="S514">
        <f t="shared" ref="S514:S577" si="113">IFERROR((P514*$K514)/R514,0)*$J514</f>
        <v>0</v>
      </c>
      <c r="V514" t="str">
        <f>IFERROR(VLOOKUP(U514,tbFactorMes,2,FALSE),"")</f>
        <v/>
      </c>
      <c r="W514">
        <f t="shared" ref="W514:W577" si="114">IFERROR((T514*$K514)/V514,0)*$J514</f>
        <v>0</v>
      </c>
      <c r="Z514" t="str">
        <f>IFERROR(VLOOKUP(Y514,tbFactorMes,2,FALSE),"")</f>
        <v/>
      </c>
      <c r="AA514">
        <f t="shared" ref="AA514:AA577" si="115">IFERROR((X514*$K514)/Z514,0)*$J514</f>
        <v>0</v>
      </c>
      <c r="AD514" t="str">
        <f>IFERROR(VLOOKUP(AC514,tbFactorMes,2,FALSE),"")</f>
        <v/>
      </c>
      <c r="AE514">
        <f t="shared" ref="AE514:AE577" si="116">IFERROR((AB514*$K514)/AD514,0)*$J514</f>
        <v>0</v>
      </c>
      <c r="AH514" t="str">
        <f>IFERROR(VLOOKUP(AG514,tbFactorMes,2,FALSE),"")</f>
        <v/>
      </c>
      <c r="AI514">
        <f t="shared" ref="AI514:AI577" si="117">IFERROR((AF514*$K514)/AH514,0)*$J514</f>
        <v>0</v>
      </c>
      <c r="AL514" t="str">
        <f>IFERROR(VLOOKUP(AK514,tbFactorMes,2,FALSE),"")</f>
        <v/>
      </c>
      <c r="AM514">
        <f t="shared" ref="AM514:AM577" si="118">IFERROR((AJ514*$K514)/AL514,0)*$J514</f>
        <v>0</v>
      </c>
      <c r="AP514" t="str">
        <f>IFERROR(VLOOKUP(AO514,tbFactorMes,2,FALSE),"")</f>
        <v/>
      </c>
      <c r="AQ514">
        <f t="shared" ref="AQ514:AQ577" si="119">IFERROR((AN514*$K514)/AP514,0)*$J514</f>
        <v>0</v>
      </c>
      <c r="AT514" t="str">
        <f>IFERROR(VLOOKUP(AS514,tbFactorMes,2,FALSE),"")</f>
        <v/>
      </c>
      <c r="AU514">
        <f t="shared" ref="AU514:AU577" si="120">IFERROR((AR514*$K514)/AT514,0)*$J514</f>
        <v>0</v>
      </c>
      <c r="AX514" t="str">
        <f>IFERROR(VLOOKUP(AW514,tbFactorMes,2,FALSE),"")</f>
        <v/>
      </c>
      <c r="AY514">
        <f t="shared" ref="AY514:AY577" si="121">IFERROR((AV514*$K514)/AX514,0)*$J514</f>
        <v>0</v>
      </c>
      <c r="BB514" t="str">
        <f>IFERROR(VLOOKUP(BA514,tbFactorMes,2,FALSE),"")</f>
        <v/>
      </c>
      <c r="BC514">
        <f t="shared" ref="BC514:BC577" si="122">IFERROR((AZ514*$K514)/BB514,0)*$J514</f>
        <v>0</v>
      </c>
      <c r="BF514" t="str">
        <f>IFERROR(VLOOKUP(BE514,tbFactorMes,2,FALSE),"")</f>
        <v/>
      </c>
      <c r="BG514">
        <f t="shared" ref="BG514:BG577" si="123">IFERROR((BD514*$K514)/BF514,0)*$J514</f>
        <v>0</v>
      </c>
      <c r="BH514">
        <f t="shared" ref="BH514:BH577" si="124">IFERROR(SUM(O514,S514,W514,AA514,AE514,AI514,AM514,AQ514,AU514,AY514,BC514,BG514),0)</f>
        <v>0</v>
      </c>
      <c r="BI514">
        <f t="shared" ref="BI514:BI577" si="125">IFERROR(BH514*(1-$I514),0)</f>
        <v>0</v>
      </c>
    </row>
    <row r="515" spans="11:61" x14ac:dyDescent="0.35">
      <c r="K515" t="str">
        <f>IFERROR(VLOOKUP(F515,tbTurnos,3,FALSE),"")</f>
        <v/>
      </c>
      <c r="N515" t="str">
        <f>IFERROR(VLOOKUP(M515,tbFactorMes,2,FALSE),"")</f>
        <v/>
      </c>
      <c r="O515">
        <f t="shared" si="112"/>
        <v>0</v>
      </c>
      <c r="R515" t="str">
        <f>IFERROR(VLOOKUP(Q515,tbFactorMes,2,FALSE),"")</f>
        <v/>
      </c>
      <c r="S515">
        <f t="shared" si="113"/>
        <v>0</v>
      </c>
      <c r="V515" t="str">
        <f>IFERROR(VLOOKUP(U515,tbFactorMes,2,FALSE),"")</f>
        <v/>
      </c>
      <c r="W515">
        <f t="shared" si="114"/>
        <v>0</v>
      </c>
      <c r="Z515" t="str">
        <f>IFERROR(VLOOKUP(Y515,tbFactorMes,2,FALSE),"")</f>
        <v/>
      </c>
      <c r="AA515">
        <f t="shared" si="115"/>
        <v>0</v>
      </c>
      <c r="AD515" t="str">
        <f>IFERROR(VLOOKUP(AC515,tbFactorMes,2,FALSE),"")</f>
        <v/>
      </c>
      <c r="AE515">
        <f t="shared" si="116"/>
        <v>0</v>
      </c>
      <c r="AH515" t="str">
        <f>IFERROR(VLOOKUP(AG515,tbFactorMes,2,FALSE),"")</f>
        <v/>
      </c>
      <c r="AI515">
        <f t="shared" si="117"/>
        <v>0</v>
      </c>
      <c r="AL515" t="str">
        <f>IFERROR(VLOOKUP(AK515,tbFactorMes,2,FALSE),"")</f>
        <v/>
      </c>
      <c r="AM515">
        <f t="shared" si="118"/>
        <v>0</v>
      </c>
      <c r="AP515" t="str">
        <f>IFERROR(VLOOKUP(AO515,tbFactorMes,2,FALSE),"")</f>
        <v/>
      </c>
      <c r="AQ515">
        <f t="shared" si="119"/>
        <v>0</v>
      </c>
      <c r="AT515" t="str">
        <f>IFERROR(VLOOKUP(AS515,tbFactorMes,2,FALSE),"")</f>
        <v/>
      </c>
      <c r="AU515">
        <f t="shared" si="120"/>
        <v>0</v>
      </c>
      <c r="AX515" t="str">
        <f>IFERROR(VLOOKUP(AW515,tbFactorMes,2,FALSE),"")</f>
        <v/>
      </c>
      <c r="AY515">
        <f t="shared" si="121"/>
        <v>0</v>
      </c>
      <c r="BB515" t="str">
        <f>IFERROR(VLOOKUP(BA515,tbFactorMes,2,FALSE),"")</f>
        <v/>
      </c>
      <c r="BC515">
        <f t="shared" si="122"/>
        <v>0</v>
      </c>
      <c r="BF515" t="str">
        <f>IFERROR(VLOOKUP(BE515,tbFactorMes,2,FALSE),"")</f>
        <v/>
      </c>
      <c r="BG515">
        <f t="shared" si="123"/>
        <v>0</v>
      </c>
      <c r="BH515">
        <f t="shared" si="124"/>
        <v>0</v>
      </c>
      <c r="BI515">
        <f t="shared" si="125"/>
        <v>0</v>
      </c>
    </row>
    <row r="516" spans="11:61" x14ac:dyDescent="0.35">
      <c r="K516" t="str">
        <f>IFERROR(VLOOKUP(F516,tbTurnos,3,FALSE),"")</f>
        <v/>
      </c>
      <c r="N516" t="str">
        <f>IFERROR(VLOOKUP(M516,tbFactorMes,2,FALSE),"")</f>
        <v/>
      </c>
      <c r="O516">
        <f t="shared" si="112"/>
        <v>0</v>
      </c>
      <c r="R516" t="str">
        <f>IFERROR(VLOOKUP(Q516,tbFactorMes,2,FALSE),"")</f>
        <v/>
      </c>
      <c r="S516">
        <f t="shared" si="113"/>
        <v>0</v>
      </c>
      <c r="V516" t="str">
        <f>IFERROR(VLOOKUP(U516,tbFactorMes,2,FALSE),"")</f>
        <v/>
      </c>
      <c r="W516">
        <f t="shared" si="114"/>
        <v>0</v>
      </c>
      <c r="Z516" t="str">
        <f>IFERROR(VLOOKUP(Y516,tbFactorMes,2,FALSE),"")</f>
        <v/>
      </c>
      <c r="AA516">
        <f t="shared" si="115"/>
        <v>0</v>
      </c>
      <c r="AD516" t="str">
        <f>IFERROR(VLOOKUP(AC516,tbFactorMes,2,FALSE),"")</f>
        <v/>
      </c>
      <c r="AE516">
        <f t="shared" si="116"/>
        <v>0</v>
      </c>
      <c r="AH516" t="str">
        <f>IFERROR(VLOOKUP(AG516,tbFactorMes,2,FALSE),"")</f>
        <v/>
      </c>
      <c r="AI516">
        <f t="shared" si="117"/>
        <v>0</v>
      </c>
      <c r="AL516" t="str">
        <f>IFERROR(VLOOKUP(AK516,tbFactorMes,2,FALSE),"")</f>
        <v/>
      </c>
      <c r="AM516">
        <f t="shared" si="118"/>
        <v>0</v>
      </c>
      <c r="AP516" t="str">
        <f>IFERROR(VLOOKUP(AO516,tbFactorMes,2,FALSE),"")</f>
        <v/>
      </c>
      <c r="AQ516">
        <f t="shared" si="119"/>
        <v>0</v>
      </c>
      <c r="AT516" t="str">
        <f>IFERROR(VLOOKUP(AS516,tbFactorMes,2,FALSE),"")</f>
        <v/>
      </c>
      <c r="AU516">
        <f t="shared" si="120"/>
        <v>0</v>
      </c>
      <c r="AX516" t="str">
        <f>IFERROR(VLOOKUP(AW516,tbFactorMes,2,FALSE),"")</f>
        <v/>
      </c>
      <c r="AY516">
        <f t="shared" si="121"/>
        <v>0</v>
      </c>
      <c r="BB516" t="str">
        <f>IFERROR(VLOOKUP(BA516,tbFactorMes,2,FALSE),"")</f>
        <v/>
      </c>
      <c r="BC516">
        <f t="shared" si="122"/>
        <v>0</v>
      </c>
      <c r="BF516" t="str">
        <f>IFERROR(VLOOKUP(BE516,tbFactorMes,2,FALSE),"")</f>
        <v/>
      </c>
      <c r="BG516">
        <f t="shared" si="123"/>
        <v>0</v>
      </c>
      <c r="BH516">
        <f t="shared" si="124"/>
        <v>0</v>
      </c>
      <c r="BI516">
        <f t="shared" si="125"/>
        <v>0</v>
      </c>
    </row>
    <row r="517" spans="11:61" x14ac:dyDescent="0.35">
      <c r="K517" t="str">
        <f>IFERROR(VLOOKUP(F517,tbTurnos,3,FALSE),"")</f>
        <v/>
      </c>
      <c r="N517" t="str">
        <f>IFERROR(VLOOKUP(M517,tbFactorMes,2,FALSE),"")</f>
        <v/>
      </c>
      <c r="O517">
        <f t="shared" si="112"/>
        <v>0</v>
      </c>
      <c r="R517" t="str">
        <f>IFERROR(VLOOKUP(Q517,tbFactorMes,2,FALSE),"")</f>
        <v/>
      </c>
      <c r="S517">
        <f t="shared" si="113"/>
        <v>0</v>
      </c>
      <c r="V517" t="str">
        <f>IFERROR(VLOOKUP(U517,tbFactorMes,2,FALSE),"")</f>
        <v/>
      </c>
      <c r="W517">
        <f t="shared" si="114"/>
        <v>0</v>
      </c>
      <c r="Z517" t="str">
        <f>IFERROR(VLOOKUP(Y517,tbFactorMes,2,FALSE),"")</f>
        <v/>
      </c>
      <c r="AA517">
        <f t="shared" si="115"/>
        <v>0</v>
      </c>
      <c r="AD517" t="str">
        <f>IFERROR(VLOOKUP(AC517,tbFactorMes,2,FALSE),"")</f>
        <v/>
      </c>
      <c r="AE517">
        <f t="shared" si="116"/>
        <v>0</v>
      </c>
      <c r="AH517" t="str">
        <f>IFERROR(VLOOKUP(AG517,tbFactorMes,2,FALSE),"")</f>
        <v/>
      </c>
      <c r="AI517">
        <f t="shared" si="117"/>
        <v>0</v>
      </c>
      <c r="AL517" t="str">
        <f>IFERROR(VLOOKUP(AK517,tbFactorMes,2,FALSE),"")</f>
        <v/>
      </c>
      <c r="AM517">
        <f t="shared" si="118"/>
        <v>0</v>
      </c>
      <c r="AP517" t="str">
        <f>IFERROR(VLOOKUP(AO517,tbFactorMes,2,FALSE),"")</f>
        <v/>
      </c>
      <c r="AQ517">
        <f t="shared" si="119"/>
        <v>0</v>
      </c>
      <c r="AT517" t="str">
        <f>IFERROR(VLOOKUP(AS517,tbFactorMes,2,FALSE),"")</f>
        <v/>
      </c>
      <c r="AU517">
        <f t="shared" si="120"/>
        <v>0</v>
      </c>
      <c r="AX517" t="str">
        <f>IFERROR(VLOOKUP(AW517,tbFactorMes,2,FALSE),"")</f>
        <v/>
      </c>
      <c r="AY517">
        <f t="shared" si="121"/>
        <v>0</v>
      </c>
      <c r="BB517" t="str">
        <f>IFERROR(VLOOKUP(BA517,tbFactorMes,2,FALSE),"")</f>
        <v/>
      </c>
      <c r="BC517">
        <f t="shared" si="122"/>
        <v>0</v>
      </c>
      <c r="BF517" t="str">
        <f>IFERROR(VLOOKUP(BE517,tbFactorMes,2,FALSE),"")</f>
        <v/>
      </c>
      <c r="BG517">
        <f t="shared" si="123"/>
        <v>0</v>
      </c>
      <c r="BH517">
        <f t="shared" si="124"/>
        <v>0</v>
      </c>
      <c r="BI517">
        <f t="shared" si="125"/>
        <v>0</v>
      </c>
    </row>
    <row r="518" spans="11:61" x14ac:dyDescent="0.35">
      <c r="K518" t="str">
        <f>IFERROR(VLOOKUP(F518,tbTurnos,3,FALSE),"")</f>
        <v/>
      </c>
      <c r="N518" t="str">
        <f>IFERROR(VLOOKUP(M518,tbFactorMes,2,FALSE),"")</f>
        <v/>
      </c>
      <c r="O518">
        <f t="shared" si="112"/>
        <v>0</v>
      </c>
      <c r="R518" t="str">
        <f>IFERROR(VLOOKUP(Q518,tbFactorMes,2,FALSE),"")</f>
        <v/>
      </c>
      <c r="S518">
        <f t="shared" si="113"/>
        <v>0</v>
      </c>
      <c r="V518" t="str">
        <f>IFERROR(VLOOKUP(U518,tbFactorMes,2,FALSE),"")</f>
        <v/>
      </c>
      <c r="W518">
        <f t="shared" si="114"/>
        <v>0</v>
      </c>
      <c r="Z518" t="str">
        <f>IFERROR(VLOOKUP(Y518,tbFactorMes,2,FALSE),"")</f>
        <v/>
      </c>
      <c r="AA518">
        <f t="shared" si="115"/>
        <v>0</v>
      </c>
      <c r="AD518" t="str">
        <f>IFERROR(VLOOKUP(AC518,tbFactorMes,2,FALSE),"")</f>
        <v/>
      </c>
      <c r="AE518">
        <f t="shared" si="116"/>
        <v>0</v>
      </c>
      <c r="AH518" t="str">
        <f>IFERROR(VLOOKUP(AG518,tbFactorMes,2,FALSE),"")</f>
        <v/>
      </c>
      <c r="AI518">
        <f t="shared" si="117"/>
        <v>0</v>
      </c>
      <c r="AL518" t="str">
        <f>IFERROR(VLOOKUP(AK518,tbFactorMes,2,FALSE),"")</f>
        <v/>
      </c>
      <c r="AM518">
        <f t="shared" si="118"/>
        <v>0</v>
      </c>
      <c r="AP518" t="str">
        <f>IFERROR(VLOOKUP(AO518,tbFactorMes,2,FALSE),"")</f>
        <v/>
      </c>
      <c r="AQ518">
        <f t="shared" si="119"/>
        <v>0</v>
      </c>
      <c r="AT518" t="str">
        <f>IFERROR(VLOOKUP(AS518,tbFactorMes,2,FALSE),"")</f>
        <v/>
      </c>
      <c r="AU518">
        <f t="shared" si="120"/>
        <v>0</v>
      </c>
      <c r="AX518" t="str">
        <f>IFERROR(VLOOKUP(AW518,tbFactorMes,2,FALSE),"")</f>
        <v/>
      </c>
      <c r="AY518">
        <f t="shared" si="121"/>
        <v>0</v>
      </c>
      <c r="BB518" t="str">
        <f>IFERROR(VLOOKUP(BA518,tbFactorMes,2,FALSE),"")</f>
        <v/>
      </c>
      <c r="BC518">
        <f t="shared" si="122"/>
        <v>0</v>
      </c>
      <c r="BF518" t="str">
        <f>IFERROR(VLOOKUP(BE518,tbFactorMes,2,FALSE),"")</f>
        <v/>
      </c>
      <c r="BG518">
        <f t="shared" si="123"/>
        <v>0</v>
      </c>
      <c r="BH518">
        <f t="shared" si="124"/>
        <v>0</v>
      </c>
      <c r="BI518">
        <f t="shared" si="125"/>
        <v>0</v>
      </c>
    </row>
    <row r="519" spans="11:61" x14ac:dyDescent="0.35">
      <c r="K519" t="str">
        <f>IFERROR(VLOOKUP(F519,tbTurnos,3,FALSE),"")</f>
        <v/>
      </c>
      <c r="N519" t="str">
        <f>IFERROR(VLOOKUP(M519,tbFactorMes,2,FALSE),"")</f>
        <v/>
      </c>
      <c r="O519">
        <f t="shared" si="112"/>
        <v>0</v>
      </c>
      <c r="R519" t="str">
        <f>IFERROR(VLOOKUP(Q519,tbFactorMes,2,FALSE),"")</f>
        <v/>
      </c>
      <c r="S519">
        <f t="shared" si="113"/>
        <v>0</v>
      </c>
      <c r="V519" t="str">
        <f>IFERROR(VLOOKUP(U519,tbFactorMes,2,FALSE),"")</f>
        <v/>
      </c>
      <c r="W519">
        <f t="shared" si="114"/>
        <v>0</v>
      </c>
      <c r="Z519" t="str">
        <f>IFERROR(VLOOKUP(Y519,tbFactorMes,2,FALSE),"")</f>
        <v/>
      </c>
      <c r="AA519">
        <f t="shared" si="115"/>
        <v>0</v>
      </c>
      <c r="AD519" t="str">
        <f>IFERROR(VLOOKUP(AC519,tbFactorMes,2,FALSE),"")</f>
        <v/>
      </c>
      <c r="AE519">
        <f t="shared" si="116"/>
        <v>0</v>
      </c>
      <c r="AH519" t="str">
        <f>IFERROR(VLOOKUP(AG519,tbFactorMes,2,FALSE),"")</f>
        <v/>
      </c>
      <c r="AI519">
        <f t="shared" si="117"/>
        <v>0</v>
      </c>
      <c r="AL519" t="str">
        <f>IFERROR(VLOOKUP(AK519,tbFactorMes,2,FALSE),"")</f>
        <v/>
      </c>
      <c r="AM519">
        <f t="shared" si="118"/>
        <v>0</v>
      </c>
      <c r="AP519" t="str">
        <f>IFERROR(VLOOKUP(AO519,tbFactorMes,2,FALSE),"")</f>
        <v/>
      </c>
      <c r="AQ519">
        <f t="shared" si="119"/>
        <v>0</v>
      </c>
      <c r="AT519" t="str">
        <f>IFERROR(VLOOKUP(AS519,tbFactorMes,2,FALSE),"")</f>
        <v/>
      </c>
      <c r="AU519">
        <f t="shared" si="120"/>
        <v>0</v>
      </c>
      <c r="AX519" t="str">
        <f>IFERROR(VLOOKUP(AW519,tbFactorMes,2,FALSE),"")</f>
        <v/>
      </c>
      <c r="AY519">
        <f t="shared" si="121"/>
        <v>0</v>
      </c>
      <c r="BB519" t="str">
        <f>IFERROR(VLOOKUP(BA519,tbFactorMes,2,FALSE),"")</f>
        <v/>
      </c>
      <c r="BC519">
        <f t="shared" si="122"/>
        <v>0</v>
      </c>
      <c r="BF519" t="str">
        <f>IFERROR(VLOOKUP(BE519,tbFactorMes,2,FALSE),"")</f>
        <v/>
      </c>
      <c r="BG519">
        <f t="shared" si="123"/>
        <v>0</v>
      </c>
      <c r="BH519">
        <f t="shared" si="124"/>
        <v>0</v>
      </c>
      <c r="BI519">
        <f t="shared" si="125"/>
        <v>0</v>
      </c>
    </row>
    <row r="520" spans="11:61" x14ac:dyDescent="0.35">
      <c r="K520" t="str">
        <f>IFERROR(VLOOKUP(F520,tbTurnos,3,FALSE),"")</f>
        <v/>
      </c>
      <c r="N520" t="str">
        <f>IFERROR(VLOOKUP(M520,tbFactorMes,2,FALSE),"")</f>
        <v/>
      </c>
      <c r="O520">
        <f t="shared" si="112"/>
        <v>0</v>
      </c>
      <c r="R520" t="str">
        <f>IFERROR(VLOOKUP(Q520,tbFactorMes,2,FALSE),"")</f>
        <v/>
      </c>
      <c r="S520">
        <f t="shared" si="113"/>
        <v>0</v>
      </c>
      <c r="V520" t="str">
        <f>IFERROR(VLOOKUP(U520,tbFactorMes,2,FALSE),"")</f>
        <v/>
      </c>
      <c r="W520">
        <f t="shared" si="114"/>
        <v>0</v>
      </c>
      <c r="Z520" t="str">
        <f>IFERROR(VLOOKUP(Y520,tbFactorMes,2,FALSE),"")</f>
        <v/>
      </c>
      <c r="AA520">
        <f t="shared" si="115"/>
        <v>0</v>
      </c>
      <c r="AD520" t="str">
        <f>IFERROR(VLOOKUP(AC520,tbFactorMes,2,FALSE),"")</f>
        <v/>
      </c>
      <c r="AE520">
        <f t="shared" si="116"/>
        <v>0</v>
      </c>
      <c r="AH520" t="str">
        <f>IFERROR(VLOOKUP(AG520,tbFactorMes,2,FALSE),"")</f>
        <v/>
      </c>
      <c r="AI520">
        <f t="shared" si="117"/>
        <v>0</v>
      </c>
      <c r="AL520" t="str">
        <f>IFERROR(VLOOKUP(AK520,tbFactorMes,2,FALSE),"")</f>
        <v/>
      </c>
      <c r="AM520">
        <f t="shared" si="118"/>
        <v>0</v>
      </c>
      <c r="AP520" t="str">
        <f>IFERROR(VLOOKUP(AO520,tbFactorMes,2,FALSE),"")</f>
        <v/>
      </c>
      <c r="AQ520">
        <f t="shared" si="119"/>
        <v>0</v>
      </c>
      <c r="AT520" t="str">
        <f>IFERROR(VLOOKUP(AS520,tbFactorMes,2,FALSE),"")</f>
        <v/>
      </c>
      <c r="AU520">
        <f t="shared" si="120"/>
        <v>0</v>
      </c>
      <c r="AX520" t="str">
        <f>IFERROR(VLOOKUP(AW520,tbFactorMes,2,FALSE),"")</f>
        <v/>
      </c>
      <c r="AY520">
        <f t="shared" si="121"/>
        <v>0</v>
      </c>
      <c r="BB520" t="str">
        <f>IFERROR(VLOOKUP(BA520,tbFactorMes,2,FALSE),"")</f>
        <v/>
      </c>
      <c r="BC520">
        <f t="shared" si="122"/>
        <v>0</v>
      </c>
      <c r="BF520" t="str">
        <f>IFERROR(VLOOKUP(BE520,tbFactorMes,2,FALSE),"")</f>
        <v/>
      </c>
      <c r="BG520">
        <f t="shared" si="123"/>
        <v>0</v>
      </c>
      <c r="BH520">
        <f t="shared" si="124"/>
        <v>0</v>
      </c>
      <c r="BI520">
        <f t="shared" si="125"/>
        <v>0</v>
      </c>
    </row>
    <row r="521" spans="11:61" x14ac:dyDescent="0.35">
      <c r="K521" t="str">
        <f>IFERROR(VLOOKUP(F521,tbTurnos,3,FALSE),"")</f>
        <v/>
      </c>
      <c r="N521" t="str">
        <f>IFERROR(VLOOKUP(M521,tbFactorMes,2,FALSE),"")</f>
        <v/>
      </c>
      <c r="O521">
        <f t="shared" si="112"/>
        <v>0</v>
      </c>
      <c r="R521" t="str">
        <f>IFERROR(VLOOKUP(Q521,tbFactorMes,2,FALSE),"")</f>
        <v/>
      </c>
      <c r="S521">
        <f t="shared" si="113"/>
        <v>0</v>
      </c>
      <c r="V521" t="str">
        <f>IFERROR(VLOOKUP(U521,tbFactorMes,2,FALSE),"")</f>
        <v/>
      </c>
      <c r="W521">
        <f t="shared" si="114"/>
        <v>0</v>
      </c>
      <c r="Z521" t="str">
        <f>IFERROR(VLOOKUP(Y521,tbFactorMes,2,FALSE),"")</f>
        <v/>
      </c>
      <c r="AA521">
        <f t="shared" si="115"/>
        <v>0</v>
      </c>
      <c r="AD521" t="str">
        <f>IFERROR(VLOOKUP(AC521,tbFactorMes,2,FALSE),"")</f>
        <v/>
      </c>
      <c r="AE521">
        <f t="shared" si="116"/>
        <v>0</v>
      </c>
      <c r="AH521" t="str">
        <f>IFERROR(VLOOKUP(AG521,tbFactorMes,2,FALSE),"")</f>
        <v/>
      </c>
      <c r="AI521">
        <f t="shared" si="117"/>
        <v>0</v>
      </c>
      <c r="AL521" t="str">
        <f>IFERROR(VLOOKUP(AK521,tbFactorMes,2,FALSE),"")</f>
        <v/>
      </c>
      <c r="AM521">
        <f t="shared" si="118"/>
        <v>0</v>
      </c>
      <c r="AP521" t="str">
        <f>IFERROR(VLOOKUP(AO521,tbFactorMes,2,FALSE),"")</f>
        <v/>
      </c>
      <c r="AQ521">
        <f t="shared" si="119"/>
        <v>0</v>
      </c>
      <c r="AT521" t="str">
        <f>IFERROR(VLOOKUP(AS521,tbFactorMes,2,FALSE),"")</f>
        <v/>
      </c>
      <c r="AU521">
        <f t="shared" si="120"/>
        <v>0</v>
      </c>
      <c r="AX521" t="str">
        <f>IFERROR(VLOOKUP(AW521,tbFactorMes,2,FALSE),"")</f>
        <v/>
      </c>
      <c r="AY521">
        <f t="shared" si="121"/>
        <v>0</v>
      </c>
      <c r="BB521" t="str">
        <f>IFERROR(VLOOKUP(BA521,tbFactorMes,2,FALSE),"")</f>
        <v/>
      </c>
      <c r="BC521">
        <f t="shared" si="122"/>
        <v>0</v>
      </c>
      <c r="BF521" t="str">
        <f>IFERROR(VLOOKUP(BE521,tbFactorMes,2,FALSE),"")</f>
        <v/>
      </c>
      <c r="BG521">
        <f t="shared" si="123"/>
        <v>0</v>
      </c>
      <c r="BH521">
        <f t="shared" si="124"/>
        <v>0</v>
      </c>
      <c r="BI521">
        <f t="shared" si="125"/>
        <v>0</v>
      </c>
    </row>
    <row r="522" spans="11:61" x14ac:dyDescent="0.35">
      <c r="K522" t="str">
        <f>IFERROR(VLOOKUP(F522,tbTurnos,3,FALSE),"")</f>
        <v/>
      </c>
      <c r="N522" t="str">
        <f>IFERROR(VLOOKUP(M522,tbFactorMes,2,FALSE),"")</f>
        <v/>
      </c>
      <c r="O522">
        <f t="shared" si="112"/>
        <v>0</v>
      </c>
      <c r="R522" t="str">
        <f>IFERROR(VLOOKUP(Q522,tbFactorMes,2,FALSE),"")</f>
        <v/>
      </c>
      <c r="S522">
        <f t="shared" si="113"/>
        <v>0</v>
      </c>
      <c r="V522" t="str">
        <f>IFERROR(VLOOKUP(U522,tbFactorMes,2,FALSE),"")</f>
        <v/>
      </c>
      <c r="W522">
        <f t="shared" si="114"/>
        <v>0</v>
      </c>
      <c r="Z522" t="str">
        <f>IFERROR(VLOOKUP(Y522,tbFactorMes,2,FALSE),"")</f>
        <v/>
      </c>
      <c r="AA522">
        <f t="shared" si="115"/>
        <v>0</v>
      </c>
      <c r="AD522" t="str">
        <f>IFERROR(VLOOKUP(AC522,tbFactorMes,2,FALSE),"")</f>
        <v/>
      </c>
      <c r="AE522">
        <f t="shared" si="116"/>
        <v>0</v>
      </c>
      <c r="AH522" t="str">
        <f>IFERROR(VLOOKUP(AG522,tbFactorMes,2,FALSE),"")</f>
        <v/>
      </c>
      <c r="AI522">
        <f t="shared" si="117"/>
        <v>0</v>
      </c>
      <c r="AL522" t="str">
        <f>IFERROR(VLOOKUP(AK522,tbFactorMes,2,FALSE),"")</f>
        <v/>
      </c>
      <c r="AM522">
        <f t="shared" si="118"/>
        <v>0</v>
      </c>
      <c r="AP522" t="str">
        <f>IFERROR(VLOOKUP(AO522,tbFactorMes,2,FALSE),"")</f>
        <v/>
      </c>
      <c r="AQ522">
        <f t="shared" si="119"/>
        <v>0</v>
      </c>
      <c r="AT522" t="str">
        <f>IFERROR(VLOOKUP(AS522,tbFactorMes,2,FALSE),"")</f>
        <v/>
      </c>
      <c r="AU522">
        <f t="shared" si="120"/>
        <v>0</v>
      </c>
      <c r="AX522" t="str">
        <f>IFERROR(VLOOKUP(AW522,tbFactorMes,2,FALSE),"")</f>
        <v/>
      </c>
      <c r="AY522">
        <f t="shared" si="121"/>
        <v>0</v>
      </c>
      <c r="BB522" t="str">
        <f>IFERROR(VLOOKUP(BA522,tbFactorMes,2,FALSE),"")</f>
        <v/>
      </c>
      <c r="BC522">
        <f t="shared" si="122"/>
        <v>0</v>
      </c>
      <c r="BF522" t="str">
        <f>IFERROR(VLOOKUP(BE522,tbFactorMes,2,FALSE),"")</f>
        <v/>
      </c>
      <c r="BG522">
        <f t="shared" si="123"/>
        <v>0</v>
      </c>
      <c r="BH522">
        <f t="shared" si="124"/>
        <v>0</v>
      </c>
      <c r="BI522">
        <f t="shared" si="125"/>
        <v>0</v>
      </c>
    </row>
    <row r="523" spans="11:61" x14ac:dyDescent="0.35">
      <c r="K523" t="str">
        <f>IFERROR(VLOOKUP(F523,tbTurnos,3,FALSE),"")</f>
        <v/>
      </c>
      <c r="N523" t="str">
        <f>IFERROR(VLOOKUP(M523,tbFactorMes,2,FALSE),"")</f>
        <v/>
      </c>
      <c r="O523">
        <f t="shared" si="112"/>
        <v>0</v>
      </c>
      <c r="R523" t="str">
        <f>IFERROR(VLOOKUP(Q523,tbFactorMes,2,FALSE),"")</f>
        <v/>
      </c>
      <c r="S523">
        <f t="shared" si="113"/>
        <v>0</v>
      </c>
      <c r="V523" t="str">
        <f>IFERROR(VLOOKUP(U523,tbFactorMes,2,FALSE),"")</f>
        <v/>
      </c>
      <c r="W523">
        <f t="shared" si="114"/>
        <v>0</v>
      </c>
      <c r="Z523" t="str">
        <f>IFERROR(VLOOKUP(Y523,tbFactorMes,2,FALSE),"")</f>
        <v/>
      </c>
      <c r="AA523">
        <f t="shared" si="115"/>
        <v>0</v>
      </c>
      <c r="AD523" t="str">
        <f>IFERROR(VLOOKUP(AC523,tbFactorMes,2,FALSE),"")</f>
        <v/>
      </c>
      <c r="AE523">
        <f t="shared" si="116"/>
        <v>0</v>
      </c>
      <c r="AH523" t="str">
        <f>IFERROR(VLOOKUP(AG523,tbFactorMes,2,FALSE),"")</f>
        <v/>
      </c>
      <c r="AI523">
        <f t="shared" si="117"/>
        <v>0</v>
      </c>
      <c r="AL523" t="str">
        <f>IFERROR(VLOOKUP(AK523,tbFactorMes,2,FALSE),"")</f>
        <v/>
      </c>
      <c r="AM523">
        <f t="shared" si="118"/>
        <v>0</v>
      </c>
      <c r="AP523" t="str">
        <f>IFERROR(VLOOKUP(AO523,tbFactorMes,2,FALSE),"")</f>
        <v/>
      </c>
      <c r="AQ523">
        <f t="shared" si="119"/>
        <v>0</v>
      </c>
      <c r="AT523" t="str">
        <f>IFERROR(VLOOKUP(AS523,tbFactorMes,2,FALSE),"")</f>
        <v/>
      </c>
      <c r="AU523">
        <f t="shared" si="120"/>
        <v>0</v>
      </c>
      <c r="AX523" t="str">
        <f>IFERROR(VLOOKUP(AW523,tbFactorMes,2,FALSE),"")</f>
        <v/>
      </c>
      <c r="AY523">
        <f t="shared" si="121"/>
        <v>0</v>
      </c>
      <c r="BB523" t="str">
        <f>IFERROR(VLOOKUP(BA523,tbFactorMes,2,FALSE),"")</f>
        <v/>
      </c>
      <c r="BC523">
        <f t="shared" si="122"/>
        <v>0</v>
      </c>
      <c r="BF523" t="str">
        <f>IFERROR(VLOOKUP(BE523,tbFactorMes,2,FALSE),"")</f>
        <v/>
      </c>
      <c r="BG523">
        <f t="shared" si="123"/>
        <v>0</v>
      </c>
      <c r="BH523">
        <f t="shared" si="124"/>
        <v>0</v>
      </c>
      <c r="BI523">
        <f t="shared" si="125"/>
        <v>0</v>
      </c>
    </row>
    <row r="524" spans="11:61" x14ac:dyDescent="0.35">
      <c r="K524" t="str">
        <f>IFERROR(VLOOKUP(F524,tbTurnos,3,FALSE),"")</f>
        <v/>
      </c>
      <c r="N524" t="str">
        <f>IFERROR(VLOOKUP(M524,tbFactorMes,2,FALSE),"")</f>
        <v/>
      </c>
      <c r="O524">
        <f t="shared" si="112"/>
        <v>0</v>
      </c>
      <c r="R524" t="str">
        <f>IFERROR(VLOOKUP(Q524,tbFactorMes,2,FALSE),"")</f>
        <v/>
      </c>
      <c r="S524">
        <f t="shared" si="113"/>
        <v>0</v>
      </c>
      <c r="V524" t="str">
        <f>IFERROR(VLOOKUP(U524,tbFactorMes,2,FALSE),"")</f>
        <v/>
      </c>
      <c r="W524">
        <f t="shared" si="114"/>
        <v>0</v>
      </c>
      <c r="Z524" t="str">
        <f>IFERROR(VLOOKUP(Y524,tbFactorMes,2,FALSE),"")</f>
        <v/>
      </c>
      <c r="AA524">
        <f t="shared" si="115"/>
        <v>0</v>
      </c>
      <c r="AD524" t="str">
        <f>IFERROR(VLOOKUP(AC524,tbFactorMes,2,FALSE),"")</f>
        <v/>
      </c>
      <c r="AE524">
        <f t="shared" si="116"/>
        <v>0</v>
      </c>
      <c r="AH524" t="str">
        <f>IFERROR(VLOOKUP(AG524,tbFactorMes,2,FALSE),"")</f>
        <v/>
      </c>
      <c r="AI524">
        <f t="shared" si="117"/>
        <v>0</v>
      </c>
      <c r="AL524" t="str">
        <f>IFERROR(VLOOKUP(AK524,tbFactorMes,2,FALSE),"")</f>
        <v/>
      </c>
      <c r="AM524">
        <f t="shared" si="118"/>
        <v>0</v>
      </c>
      <c r="AP524" t="str">
        <f>IFERROR(VLOOKUP(AO524,tbFactorMes,2,FALSE),"")</f>
        <v/>
      </c>
      <c r="AQ524">
        <f t="shared" si="119"/>
        <v>0</v>
      </c>
      <c r="AT524" t="str">
        <f>IFERROR(VLOOKUP(AS524,tbFactorMes,2,FALSE),"")</f>
        <v/>
      </c>
      <c r="AU524">
        <f t="shared" si="120"/>
        <v>0</v>
      </c>
      <c r="AX524" t="str">
        <f>IFERROR(VLOOKUP(AW524,tbFactorMes,2,FALSE),"")</f>
        <v/>
      </c>
      <c r="AY524">
        <f t="shared" si="121"/>
        <v>0</v>
      </c>
      <c r="BB524" t="str">
        <f>IFERROR(VLOOKUP(BA524,tbFactorMes,2,FALSE),"")</f>
        <v/>
      </c>
      <c r="BC524">
        <f t="shared" si="122"/>
        <v>0</v>
      </c>
      <c r="BF524" t="str">
        <f>IFERROR(VLOOKUP(BE524,tbFactorMes,2,FALSE),"")</f>
        <v/>
      </c>
      <c r="BG524">
        <f t="shared" si="123"/>
        <v>0</v>
      </c>
      <c r="BH524">
        <f t="shared" si="124"/>
        <v>0</v>
      </c>
      <c r="BI524">
        <f t="shared" si="125"/>
        <v>0</v>
      </c>
    </row>
    <row r="525" spans="11:61" x14ac:dyDescent="0.35">
      <c r="K525" t="str">
        <f>IFERROR(VLOOKUP(F525,tbTurnos,3,FALSE),"")</f>
        <v/>
      </c>
      <c r="N525" t="str">
        <f>IFERROR(VLOOKUP(M525,tbFactorMes,2,FALSE),"")</f>
        <v/>
      </c>
      <c r="O525">
        <f t="shared" si="112"/>
        <v>0</v>
      </c>
      <c r="R525" t="str">
        <f>IFERROR(VLOOKUP(Q525,tbFactorMes,2,FALSE),"")</f>
        <v/>
      </c>
      <c r="S525">
        <f t="shared" si="113"/>
        <v>0</v>
      </c>
      <c r="V525" t="str">
        <f>IFERROR(VLOOKUP(U525,tbFactorMes,2,FALSE),"")</f>
        <v/>
      </c>
      <c r="W525">
        <f t="shared" si="114"/>
        <v>0</v>
      </c>
      <c r="Z525" t="str">
        <f>IFERROR(VLOOKUP(Y525,tbFactorMes,2,FALSE),"")</f>
        <v/>
      </c>
      <c r="AA525">
        <f t="shared" si="115"/>
        <v>0</v>
      </c>
      <c r="AD525" t="str">
        <f>IFERROR(VLOOKUP(AC525,tbFactorMes,2,FALSE),"")</f>
        <v/>
      </c>
      <c r="AE525">
        <f t="shared" si="116"/>
        <v>0</v>
      </c>
      <c r="AH525" t="str">
        <f>IFERROR(VLOOKUP(AG525,tbFactorMes,2,FALSE),"")</f>
        <v/>
      </c>
      <c r="AI525">
        <f t="shared" si="117"/>
        <v>0</v>
      </c>
      <c r="AL525" t="str">
        <f>IFERROR(VLOOKUP(AK525,tbFactorMes,2,FALSE),"")</f>
        <v/>
      </c>
      <c r="AM525">
        <f t="shared" si="118"/>
        <v>0</v>
      </c>
      <c r="AP525" t="str">
        <f>IFERROR(VLOOKUP(AO525,tbFactorMes,2,FALSE),"")</f>
        <v/>
      </c>
      <c r="AQ525">
        <f t="shared" si="119"/>
        <v>0</v>
      </c>
      <c r="AT525" t="str">
        <f>IFERROR(VLOOKUP(AS525,tbFactorMes,2,FALSE),"")</f>
        <v/>
      </c>
      <c r="AU525">
        <f t="shared" si="120"/>
        <v>0</v>
      </c>
      <c r="AX525" t="str">
        <f>IFERROR(VLOOKUP(AW525,tbFactorMes,2,FALSE),"")</f>
        <v/>
      </c>
      <c r="AY525">
        <f t="shared" si="121"/>
        <v>0</v>
      </c>
      <c r="BB525" t="str">
        <f>IFERROR(VLOOKUP(BA525,tbFactorMes,2,FALSE),"")</f>
        <v/>
      </c>
      <c r="BC525">
        <f t="shared" si="122"/>
        <v>0</v>
      </c>
      <c r="BF525" t="str">
        <f>IFERROR(VLOOKUP(BE525,tbFactorMes,2,FALSE),"")</f>
        <v/>
      </c>
      <c r="BG525">
        <f t="shared" si="123"/>
        <v>0</v>
      </c>
      <c r="BH525">
        <f t="shared" si="124"/>
        <v>0</v>
      </c>
      <c r="BI525">
        <f t="shared" si="125"/>
        <v>0</v>
      </c>
    </row>
    <row r="526" spans="11:61" x14ac:dyDescent="0.35">
      <c r="K526" t="str">
        <f>IFERROR(VLOOKUP(F526,tbTurnos,3,FALSE),"")</f>
        <v/>
      </c>
      <c r="N526" t="str">
        <f>IFERROR(VLOOKUP(M526,tbFactorMes,2,FALSE),"")</f>
        <v/>
      </c>
      <c r="O526">
        <f t="shared" si="112"/>
        <v>0</v>
      </c>
      <c r="R526" t="str">
        <f>IFERROR(VLOOKUP(Q526,tbFactorMes,2,FALSE),"")</f>
        <v/>
      </c>
      <c r="S526">
        <f t="shared" si="113"/>
        <v>0</v>
      </c>
      <c r="V526" t="str">
        <f>IFERROR(VLOOKUP(U526,tbFactorMes,2,FALSE),"")</f>
        <v/>
      </c>
      <c r="W526">
        <f t="shared" si="114"/>
        <v>0</v>
      </c>
      <c r="Z526" t="str">
        <f>IFERROR(VLOOKUP(Y526,tbFactorMes,2,FALSE),"")</f>
        <v/>
      </c>
      <c r="AA526">
        <f t="shared" si="115"/>
        <v>0</v>
      </c>
      <c r="AD526" t="str">
        <f>IFERROR(VLOOKUP(AC526,tbFactorMes,2,FALSE),"")</f>
        <v/>
      </c>
      <c r="AE526">
        <f t="shared" si="116"/>
        <v>0</v>
      </c>
      <c r="AH526" t="str">
        <f>IFERROR(VLOOKUP(AG526,tbFactorMes,2,FALSE),"")</f>
        <v/>
      </c>
      <c r="AI526">
        <f t="shared" si="117"/>
        <v>0</v>
      </c>
      <c r="AL526" t="str">
        <f>IFERROR(VLOOKUP(AK526,tbFactorMes,2,FALSE),"")</f>
        <v/>
      </c>
      <c r="AM526">
        <f t="shared" si="118"/>
        <v>0</v>
      </c>
      <c r="AP526" t="str">
        <f>IFERROR(VLOOKUP(AO526,tbFactorMes,2,FALSE),"")</f>
        <v/>
      </c>
      <c r="AQ526">
        <f t="shared" si="119"/>
        <v>0</v>
      </c>
      <c r="AT526" t="str">
        <f>IFERROR(VLOOKUP(AS526,tbFactorMes,2,FALSE),"")</f>
        <v/>
      </c>
      <c r="AU526">
        <f t="shared" si="120"/>
        <v>0</v>
      </c>
      <c r="AX526" t="str">
        <f>IFERROR(VLOOKUP(AW526,tbFactorMes,2,FALSE),"")</f>
        <v/>
      </c>
      <c r="AY526">
        <f t="shared" si="121"/>
        <v>0</v>
      </c>
      <c r="BB526" t="str">
        <f>IFERROR(VLOOKUP(BA526,tbFactorMes,2,FALSE),"")</f>
        <v/>
      </c>
      <c r="BC526">
        <f t="shared" si="122"/>
        <v>0</v>
      </c>
      <c r="BF526" t="str">
        <f>IFERROR(VLOOKUP(BE526,tbFactorMes,2,FALSE),"")</f>
        <v/>
      </c>
      <c r="BG526">
        <f t="shared" si="123"/>
        <v>0</v>
      </c>
      <c r="BH526">
        <f t="shared" si="124"/>
        <v>0</v>
      </c>
      <c r="BI526">
        <f t="shared" si="125"/>
        <v>0</v>
      </c>
    </row>
    <row r="527" spans="11:61" x14ac:dyDescent="0.35">
      <c r="K527" t="str">
        <f>IFERROR(VLOOKUP(F527,tbTurnos,3,FALSE),"")</f>
        <v/>
      </c>
      <c r="N527" t="str">
        <f>IFERROR(VLOOKUP(M527,tbFactorMes,2,FALSE),"")</f>
        <v/>
      </c>
      <c r="O527">
        <f t="shared" si="112"/>
        <v>0</v>
      </c>
      <c r="R527" t="str">
        <f>IFERROR(VLOOKUP(Q527,tbFactorMes,2,FALSE),"")</f>
        <v/>
      </c>
      <c r="S527">
        <f t="shared" si="113"/>
        <v>0</v>
      </c>
      <c r="V527" t="str">
        <f>IFERROR(VLOOKUP(U527,tbFactorMes,2,FALSE),"")</f>
        <v/>
      </c>
      <c r="W527">
        <f t="shared" si="114"/>
        <v>0</v>
      </c>
      <c r="Z527" t="str">
        <f>IFERROR(VLOOKUP(Y527,tbFactorMes,2,FALSE),"")</f>
        <v/>
      </c>
      <c r="AA527">
        <f t="shared" si="115"/>
        <v>0</v>
      </c>
      <c r="AD527" t="str">
        <f>IFERROR(VLOOKUP(AC527,tbFactorMes,2,FALSE),"")</f>
        <v/>
      </c>
      <c r="AE527">
        <f t="shared" si="116"/>
        <v>0</v>
      </c>
      <c r="AH527" t="str">
        <f>IFERROR(VLOOKUP(AG527,tbFactorMes,2,FALSE),"")</f>
        <v/>
      </c>
      <c r="AI527">
        <f t="shared" si="117"/>
        <v>0</v>
      </c>
      <c r="AL527" t="str">
        <f>IFERROR(VLOOKUP(AK527,tbFactorMes,2,FALSE),"")</f>
        <v/>
      </c>
      <c r="AM527">
        <f t="shared" si="118"/>
        <v>0</v>
      </c>
      <c r="AP527" t="str">
        <f>IFERROR(VLOOKUP(AO527,tbFactorMes,2,FALSE),"")</f>
        <v/>
      </c>
      <c r="AQ527">
        <f t="shared" si="119"/>
        <v>0</v>
      </c>
      <c r="AT527" t="str">
        <f>IFERROR(VLOOKUP(AS527,tbFactorMes,2,FALSE),"")</f>
        <v/>
      </c>
      <c r="AU527">
        <f t="shared" si="120"/>
        <v>0</v>
      </c>
      <c r="AX527" t="str">
        <f>IFERROR(VLOOKUP(AW527,tbFactorMes,2,FALSE),"")</f>
        <v/>
      </c>
      <c r="AY527">
        <f t="shared" si="121"/>
        <v>0</v>
      </c>
      <c r="BB527" t="str">
        <f>IFERROR(VLOOKUP(BA527,tbFactorMes,2,FALSE),"")</f>
        <v/>
      </c>
      <c r="BC527">
        <f t="shared" si="122"/>
        <v>0</v>
      </c>
      <c r="BF527" t="str">
        <f>IFERROR(VLOOKUP(BE527,tbFactorMes,2,FALSE),"")</f>
        <v/>
      </c>
      <c r="BG527">
        <f t="shared" si="123"/>
        <v>0</v>
      </c>
      <c r="BH527">
        <f t="shared" si="124"/>
        <v>0</v>
      </c>
      <c r="BI527">
        <f t="shared" si="125"/>
        <v>0</v>
      </c>
    </row>
    <row r="528" spans="11:61" x14ac:dyDescent="0.35">
      <c r="K528" t="str">
        <f>IFERROR(VLOOKUP(F528,tbTurnos,3,FALSE),"")</f>
        <v/>
      </c>
      <c r="N528" t="str">
        <f>IFERROR(VLOOKUP(M528,tbFactorMes,2,FALSE),"")</f>
        <v/>
      </c>
      <c r="O528">
        <f t="shared" si="112"/>
        <v>0</v>
      </c>
      <c r="R528" t="str">
        <f>IFERROR(VLOOKUP(Q528,tbFactorMes,2,FALSE),"")</f>
        <v/>
      </c>
      <c r="S528">
        <f t="shared" si="113"/>
        <v>0</v>
      </c>
      <c r="V528" t="str">
        <f>IFERROR(VLOOKUP(U528,tbFactorMes,2,FALSE),"")</f>
        <v/>
      </c>
      <c r="W528">
        <f t="shared" si="114"/>
        <v>0</v>
      </c>
      <c r="Z528" t="str">
        <f>IFERROR(VLOOKUP(Y528,tbFactorMes,2,FALSE),"")</f>
        <v/>
      </c>
      <c r="AA528">
        <f t="shared" si="115"/>
        <v>0</v>
      </c>
      <c r="AD528" t="str">
        <f>IFERROR(VLOOKUP(AC528,tbFactorMes,2,FALSE),"")</f>
        <v/>
      </c>
      <c r="AE528">
        <f t="shared" si="116"/>
        <v>0</v>
      </c>
      <c r="AH528" t="str">
        <f>IFERROR(VLOOKUP(AG528,tbFactorMes,2,FALSE),"")</f>
        <v/>
      </c>
      <c r="AI528">
        <f t="shared" si="117"/>
        <v>0</v>
      </c>
      <c r="AL528" t="str">
        <f>IFERROR(VLOOKUP(AK528,tbFactorMes,2,FALSE),"")</f>
        <v/>
      </c>
      <c r="AM528">
        <f t="shared" si="118"/>
        <v>0</v>
      </c>
      <c r="AP528" t="str">
        <f>IFERROR(VLOOKUP(AO528,tbFactorMes,2,FALSE),"")</f>
        <v/>
      </c>
      <c r="AQ528">
        <f t="shared" si="119"/>
        <v>0</v>
      </c>
      <c r="AT528" t="str">
        <f>IFERROR(VLOOKUP(AS528,tbFactorMes,2,FALSE),"")</f>
        <v/>
      </c>
      <c r="AU528">
        <f t="shared" si="120"/>
        <v>0</v>
      </c>
      <c r="AX528" t="str">
        <f>IFERROR(VLOOKUP(AW528,tbFactorMes,2,FALSE),"")</f>
        <v/>
      </c>
      <c r="AY528">
        <f t="shared" si="121"/>
        <v>0</v>
      </c>
      <c r="BB528" t="str">
        <f>IFERROR(VLOOKUP(BA528,tbFactorMes,2,FALSE),"")</f>
        <v/>
      </c>
      <c r="BC528">
        <f t="shared" si="122"/>
        <v>0</v>
      </c>
      <c r="BF528" t="str">
        <f>IFERROR(VLOOKUP(BE528,tbFactorMes,2,FALSE),"")</f>
        <v/>
      </c>
      <c r="BG528">
        <f t="shared" si="123"/>
        <v>0</v>
      </c>
      <c r="BH528">
        <f t="shared" si="124"/>
        <v>0</v>
      </c>
      <c r="BI528">
        <f t="shared" si="125"/>
        <v>0</v>
      </c>
    </row>
    <row r="529" spans="11:61" x14ac:dyDescent="0.35">
      <c r="K529" t="str">
        <f>IFERROR(VLOOKUP(F529,tbTurnos,3,FALSE),"")</f>
        <v/>
      </c>
      <c r="N529" t="str">
        <f>IFERROR(VLOOKUP(M529,tbFactorMes,2,FALSE),"")</f>
        <v/>
      </c>
      <c r="O529">
        <f t="shared" si="112"/>
        <v>0</v>
      </c>
      <c r="R529" t="str">
        <f>IFERROR(VLOOKUP(Q529,tbFactorMes,2,FALSE),"")</f>
        <v/>
      </c>
      <c r="S529">
        <f t="shared" si="113"/>
        <v>0</v>
      </c>
      <c r="V529" t="str">
        <f>IFERROR(VLOOKUP(U529,tbFactorMes,2,FALSE),"")</f>
        <v/>
      </c>
      <c r="W529">
        <f t="shared" si="114"/>
        <v>0</v>
      </c>
      <c r="Z529" t="str">
        <f>IFERROR(VLOOKUP(Y529,tbFactorMes,2,FALSE),"")</f>
        <v/>
      </c>
      <c r="AA529">
        <f t="shared" si="115"/>
        <v>0</v>
      </c>
      <c r="AD529" t="str">
        <f>IFERROR(VLOOKUP(AC529,tbFactorMes,2,FALSE),"")</f>
        <v/>
      </c>
      <c r="AE529">
        <f t="shared" si="116"/>
        <v>0</v>
      </c>
      <c r="AH529" t="str">
        <f>IFERROR(VLOOKUP(AG529,tbFactorMes,2,FALSE),"")</f>
        <v/>
      </c>
      <c r="AI529">
        <f t="shared" si="117"/>
        <v>0</v>
      </c>
      <c r="AL529" t="str">
        <f>IFERROR(VLOOKUP(AK529,tbFactorMes,2,FALSE),"")</f>
        <v/>
      </c>
      <c r="AM529">
        <f t="shared" si="118"/>
        <v>0</v>
      </c>
      <c r="AP529" t="str">
        <f>IFERROR(VLOOKUP(AO529,tbFactorMes,2,FALSE),"")</f>
        <v/>
      </c>
      <c r="AQ529">
        <f t="shared" si="119"/>
        <v>0</v>
      </c>
      <c r="AT529" t="str">
        <f>IFERROR(VLOOKUP(AS529,tbFactorMes,2,FALSE),"")</f>
        <v/>
      </c>
      <c r="AU529">
        <f t="shared" si="120"/>
        <v>0</v>
      </c>
      <c r="AX529" t="str">
        <f>IFERROR(VLOOKUP(AW529,tbFactorMes,2,FALSE),"")</f>
        <v/>
      </c>
      <c r="AY529">
        <f t="shared" si="121"/>
        <v>0</v>
      </c>
      <c r="BB529" t="str">
        <f>IFERROR(VLOOKUP(BA529,tbFactorMes,2,FALSE),"")</f>
        <v/>
      </c>
      <c r="BC529">
        <f t="shared" si="122"/>
        <v>0</v>
      </c>
      <c r="BF529" t="str">
        <f>IFERROR(VLOOKUP(BE529,tbFactorMes,2,FALSE),"")</f>
        <v/>
      </c>
      <c r="BG529">
        <f t="shared" si="123"/>
        <v>0</v>
      </c>
      <c r="BH529">
        <f t="shared" si="124"/>
        <v>0</v>
      </c>
      <c r="BI529">
        <f t="shared" si="125"/>
        <v>0</v>
      </c>
    </row>
    <row r="530" spans="11:61" x14ac:dyDescent="0.35">
      <c r="K530" t="str">
        <f>IFERROR(VLOOKUP(F530,tbTurnos,3,FALSE),"")</f>
        <v/>
      </c>
      <c r="N530" t="str">
        <f>IFERROR(VLOOKUP(M530,tbFactorMes,2,FALSE),"")</f>
        <v/>
      </c>
      <c r="O530">
        <f t="shared" si="112"/>
        <v>0</v>
      </c>
      <c r="R530" t="str">
        <f>IFERROR(VLOOKUP(Q530,tbFactorMes,2,FALSE),"")</f>
        <v/>
      </c>
      <c r="S530">
        <f t="shared" si="113"/>
        <v>0</v>
      </c>
      <c r="V530" t="str">
        <f>IFERROR(VLOOKUP(U530,tbFactorMes,2,FALSE),"")</f>
        <v/>
      </c>
      <c r="W530">
        <f t="shared" si="114"/>
        <v>0</v>
      </c>
      <c r="Z530" t="str">
        <f>IFERROR(VLOOKUP(Y530,tbFactorMes,2,FALSE),"")</f>
        <v/>
      </c>
      <c r="AA530">
        <f t="shared" si="115"/>
        <v>0</v>
      </c>
      <c r="AD530" t="str">
        <f>IFERROR(VLOOKUP(AC530,tbFactorMes,2,FALSE),"")</f>
        <v/>
      </c>
      <c r="AE530">
        <f t="shared" si="116"/>
        <v>0</v>
      </c>
      <c r="AH530" t="str">
        <f>IFERROR(VLOOKUP(AG530,tbFactorMes,2,FALSE),"")</f>
        <v/>
      </c>
      <c r="AI530">
        <f t="shared" si="117"/>
        <v>0</v>
      </c>
      <c r="AL530" t="str">
        <f>IFERROR(VLOOKUP(AK530,tbFactorMes,2,FALSE),"")</f>
        <v/>
      </c>
      <c r="AM530">
        <f t="shared" si="118"/>
        <v>0</v>
      </c>
      <c r="AP530" t="str">
        <f>IFERROR(VLOOKUP(AO530,tbFactorMes,2,FALSE),"")</f>
        <v/>
      </c>
      <c r="AQ530">
        <f t="shared" si="119"/>
        <v>0</v>
      </c>
      <c r="AT530" t="str">
        <f>IFERROR(VLOOKUP(AS530,tbFactorMes,2,FALSE),"")</f>
        <v/>
      </c>
      <c r="AU530">
        <f t="shared" si="120"/>
        <v>0</v>
      </c>
      <c r="AX530" t="str">
        <f>IFERROR(VLOOKUP(AW530,tbFactorMes,2,FALSE),"")</f>
        <v/>
      </c>
      <c r="AY530">
        <f t="shared" si="121"/>
        <v>0</v>
      </c>
      <c r="BB530" t="str">
        <f>IFERROR(VLOOKUP(BA530,tbFactorMes,2,FALSE),"")</f>
        <v/>
      </c>
      <c r="BC530">
        <f t="shared" si="122"/>
        <v>0</v>
      </c>
      <c r="BF530" t="str">
        <f>IFERROR(VLOOKUP(BE530,tbFactorMes,2,FALSE),"")</f>
        <v/>
      </c>
      <c r="BG530">
        <f t="shared" si="123"/>
        <v>0</v>
      </c>
      <c r="BH530">
        <f t="shared" si="124"/>
        <v>0</v>
      </c>
      <c r="BI530">
        <f t="shared" si="125"/>
        <v>0</v>
      </c>
    </row>
    <row r="531" spans="11:61" x14ac:dyDescent="0.35">
      <c r="K531" t="str">
        <f>IFERROR(VLOOKUP(F531,tbTurnos,3,FALSE),"")</f>
        <v/>
      </c>
      <c r="N531" t="str">
        <f>IFERROR(VLOOKUP(M531,tbFactorMes,2,FALSE),"")</f>
        <v/>
      </c>
      <c r="O531">
        <f t="shared" si="112"/>
        <v>0</v>
      </c>
      <c r="R531" t="str">
        <f>IFERROR(VLOOKUP(Q531,tbFactorMes,2,FALSE),"")</f>
        <v/>
      </c>
      <c r="S531">
        <f t="shared" si="113"/>
        <v>0</v>
      </c>
      <c r="V531" t="str">
        <f>IFERROR(VLOOKUP(U531,tbFactorMes,2,FALSE),"")</f>
        <v/>
      </c>
      <c r="W531">
        <f t="shared" si="114"/>
        <v>0</v>
      </c>
      <c r="Z531" t="str">
        <f>IFERROR(VLOOKUP(Y531,tbFactorMes,2,FALSE),"")</f>
        <v/>
      </c>
      <c r="AA531">
        <f t="shared" si="115"/>
        <v>0</v>
      </c>
      <c r="AD531" t="str">
        <f>IFERROR(VLOOKUP(AC531,tbFactorMes,2,FALSE),"")</f>
        <v/>
      </c>
      <c r="AE531">
        <f t="shared" si="116"/>
        <v>0</v>
      </c>
      <c r="AH531" t="str">
        <f>IFERROR(VLOOKUP(AG531,tbFactorMes,2,FALSE),"")</f>
        <v/>
      </c>
      <c r="AI531">
        <f t="shared" si="117"/>
        <v>0</v>
      </c>
      <c r="AL531" t="str">
        <f>IFERROR(VLOOKUP(AK531,tbFactorMes,2,FALSE),"")</f>
        <v/>
      </c>
      <c r="AM531">
        <f t="shared" si="118"/>
        <v>0</v>
      </c>
      <c r="AP531" t="str">
        <f>IFERROR(VLOOKUP(AO531,tbFactorMes,2,FALSE),"")</f>
        <v/>
      </c>
      <c r="AQ531">
        <f t="shared" si="119"/>
        <v>0</v>
      </c>
      <c r="AT531" t="str">
        <f>IFERROR(VLOOKUP(AS531,tbFactorMes,2,FALSE),"")</f>
        <v/>
      </c>
      <c r="AU531">
        <f t="shared" si="120"/>
        <v>0</v>
      </c>
      <c r="AX531" t="str">
        <f>IFERROR(VLOOKUP(AW531,tbFactorMes,2,FALSE),"")</f>
        <v/>
      </c>
      <c r="AY531">
        <f t="shared" si="121"/>
        <v>0</v>
      </c>
      <c r="BB531" t="str">
        <f>IFERROR(VLOOKUP(BA531,tbFactorMes,2,FALSE),"")</f>
        <v/>
      </c>
      <c r="BC531">
        <f t="shared" si="122"/>
        <v>0</v>
      </c>
      <c r="BF531" t="str">
        <f>IFERROR(VLOOKUP(BE531,tbFactorMes,2,FALSE),"")</f>
        <v/>
      </c>
      <c r="BG531">
        <f t="shared" si="123"/>
        <v>0</v>
      </c>
      <c r="BH531">
        <f t="shared" si="124"/>
        <v>0</v>
      </c>
      <c r="BI531">
        <f t="shared" si="125"/>
        <v>0</v>
      </c>
    </row>
    <row r="532" spans="11:61" x14ac:dyDescent="0.35">
      <c r="K532" t="str">
        <f>IFERROR(VLOOKUP(F532,tbTurnos,3,FALSE),"")</f>
        <v/>
      </c>
      <c r="N532" t="str">
        <f>IFERROR(VLOOKUP(M532,tbFactorMes,2,FALSE),"")</f>
        <v/>
      </c>
      <c r="O532">
        <f t="shared" si="112"/>
        <v>0</v>
      </c>
      <c r="R532" t="str">
        <f>IFERROR(VLOOKUP(Q532,tbFactorMes,2,FALSE),"")</f>
        <v/>
      </c>
      <c r="S532">
        <f t="shared" si="113"/>
        <v>0</v>
      </c>
      <c r="V532" t="str">
        <f>IFERROR(VLOOKUP(U532,tbFactorMes,2,FALSE),"")</f>
        <v/>
      </c>
      <c r="W532">
        <f t="shared" si="114"/>
        <v>0</v>
      </c>
      <c r="Z532" t="str">
        <f>IFERROR(VLOOKUP(Y532,tbFactorMes,2,FALSE),"")</f>
        <v/>
      </c>
      <c r="AA532">
        <f t="shared" si="115"/>
        <v>0</v>
      </c>
      <c r="AD532" t="str">
        <f>IFERROR(VLOOKUP(AC532,tbFactorMes,2,FALSE),"")</f>
        <v/>
      </c>
      <c r="AE532">
        <f t="shared" si="116"/>
        <v>0</v>
      </c>
      <c r="AH532" t="str">
        <f>IFERROR(VLOOKUP(AG532,tbFactorMes,2,FALSE),"")</f>
        <v/>
      </c>
      <c r="AI532">
        <f t="shared" si="117"/>
        <v>0</v>
      </c>
      <c r="AL532" t="str">
        <f>IFERROR(VLOOKUP(AK532,tbFactorMes,2,FALSE),"")</f>
        <v/>
      </c>
      <c r="AM532">
        <f t="shared" si="118"/>
        <v>0</v>
      </c>
      <c r="AP532" t="str">
        <f>IFERROR(VLOOKUP(AO532,tbFactorMes,2,FALSE),"")</f>
        <v/>
      </c>
      <c r="AQ532">
        <f t="shared" si="119"/>
        <v>0</v>
      </c>
      <c r="AT532" t="str">
        <f>IFERROR(VLOOKUP(AS532,tbFactorMes,2,FALSE),"")</f>
        <v/>
      </c>
      <c r="AU532">
        <f t="shared" si="120"/>
        <v>0</v>
      </c>
      <c r="AX532" t="str">
        <f>IFERROR(VLOOKUP(AW532,tbFactorMes,2,FALSE),"")</f>
        <v/>
      </c>
      <c r="AY532">
        <f t="shared" si="121"/>
        <v>0</v>
      </c>
      <c r="BB532" t="str">
        <f>IFERROR(VLOOKUP(BA532,tbFactorMes,2,FALSE),"")</f>
        <v/>
      </c>
      <c r="BC532">
        <f t="shared" si="122"/>
        <v>0</v>
      </c>
      <c r="BF532" t="str">
        <f>IFERROR(VLOOKUP(BE532,tbFactorMes,2,FALSE),"")</f>
        <v/>
      </c>
      <c r="BG532">
        <f t="shared" si="123"/>
        <v>0</v>
      </c>
      <c r="BH532">
        <f t="shared" si="124"/>
        <v>0</v>
      </c>
      <c r="BI532">
        <f t="shared" si="125"/>
        <v>0</v>
      </c>
    </row>
    <row r="533" spans="11:61" x14ac:dyDescent="0.35">
      <c r="K533" t="str">
        <f>IFERROR(VLOOKUP(F533,tbTurnos,3,FALSE),"")</f>
        <v/>
      </c>
      <c r="N533" t="str">
        <f>IFERROR(VLOOKUP(M533,tbFactorMes,2,FALSE),"")</f>
        <v/>
      </c>
      <c r="O533">
        <f t="shared" si="112"/>
        <v>0</v>
      </c>
      <c r="R533" t="str">
        <f>IFERROR(VLOOKUP(Q533,tbFactorMes,2,FALSE),"")</f>
        <v/>
      </c>
      <c r="S533">
        <f t="shared" si="113"/>
        <v>0</v>
      </c>
      <c r="V533" t="str">
        <f>IFERROR(VLOOKUP(U533,tbFactorMes,2,FALSE),"")</f>
        <v/>
      </c>
      <c r="W533">
        <f t="shared" si="114"/>
        <v>0</v>
      </c>
      <c r="Z533" t="str">
        <f>IFERROR(VLOOKUP(Y533,tbFactorMes,2,FALSE),"")</f>
        <v/>
      </c>
      <c r="AA533">
        <f t="shared" si="115"/>
        <v>0</v>
      </c>
      <c r="AD533" t="str">
        <f>IFERROR(VLOOKUP(AC533,tbFactorMes,2,FALSE),"")</f>
        <v/>
      </c>
      <c r="AE533">
        <f t="shared" si="116"/>
        <v>0</v>
      </c>
      <c r="AH533" t="str">
        <f>IFERROR(VLOOKUP(AG533,tbFactorMes,2,FALSE),"")</f>
        <v/>
      </c>
      <c r="AI533">
        <f t="shared" si="117"/>
        <v>0</v>
      </c>
      <c r="AL533" t="str">
        <f>IFERROR(VLOOKUP(AK533,tbFactorMes,2,FALSE),"")</f>
        <v/>
      </c>
      <c r="AM533">
        <f t="shared" si="118"/>
        <v>0</v>
      </c>
      <c r="AP533" t="str">
        <f>IFERROR(VLOOKUP(AO533,tbFactorMes,2,FALSE),"")</f>
        <v/>
      </c>
      <c r="AQ533">
        <f t="shared" si="119"/>
        <v>0</v>
      </c>
      <c r="AT533" t="str">
        <f>IFERROR(VLOOKUP(AS533,tbFactorMes,2,FALSE),"")</f>
        <v/>
      </c>
      <c r="AU533">
        <f t="shared" si="120"/>
        <v>0</v>
      </c>
      <c r="AX533" t="str">
        <f>IFERROR(VLOOKUP(AW533,tbFactorMes,2,FALSE),"")</f>
        <v/>
      </c>
      <c r="AY533">
        <f t="shared" si="121"/>
        <v>0</v>
      </c>
      <c r="BB533" t="str">
        <f>IFERROR(VLOOKUP(BA533,tbFactorMes,2,FALSE),"")</f>
        <v/>
      </c>
      <c r="BC533">
        <f t="shared" si="122"/>
        <v>0</v>
      </c>
      <c r="BF533" t="str">
        <f>IFERROR(VLOOKUP(BE533,tbFactorMes,2,FALSE),"")</f>
        <v/>
      </c>
      <c r="BG533">
        <f t="shared" si="123"/>
        <v>0</v>
      </c>
      <c r="BH533">
        <f t="shared" si="124"/>
        <v>0</v>
      </c>
      <c r="BI533">
        <f t="shared" si="125"/>
        <v>0</v>
      </c>
    </row>
    <row r="534" spans="11:61" x14ac:dyDescent="0.35">
      <c r="K534" t="str">
        <f>IFERROR(VLOOKUP(F534,tbTurnos,3,FALSE),"")</f>
        <v/>
      </c>
      <c r="N534" t="str">
        <f>IFERROR(VLOOKUP(M534,tbFactorMes,2,FALSE),"")</f>
        <v/>
      </c>
      <c r="O534">
        <f t="shared" si="112"/>
        <v>0</v>
      </c>
      <c r="R534" t="str">
        <f>IFERROR(VLOOKUP(Q534,tbFactorMes,2,FALSE),"")</f>
        <v/>
      </c>
      <c r="S534">
        <f t="shared" si="113"/>
        <v>0</v>
      </c>
      <c r="V534" t="str">
        <f>IFERROR(VLOOKUP(U534,tbFactorMes,2,FALSE),"")</f>
        <v/>
      </c>
      <c r="W534">
        <f t="shared" si="114"/>
        <v>0</v>
      </c>
      <c r="Z534" t="str">
        <f>IFERROR(VLOOKUP(Y534,tbFactorMes,2,FALSE),"")</f>
        <v/>
      </c>
      <c r="AA534">
        <f t="shared" si="115"/>
        <v>0</v>
      </c>
      <c r="AD534" t="str">
        <f>IFERROR(VLOOKUP(AC534,tbFactorMes,2,FALSE),"")</f>
        <v/>
      </c>
      <c r="AE534">
        <f t="shared" si="116"/>
        <v>0</v>
      </c>
      <c r="AH534" t="str">
        <f>IFERROR(VLOOKUP(AG534,tbFactorMes,2,FALSE),"")</f>
        <v/>
      </c>
      <c r="AI534">
        <f t="shared" si="117"/>
        <v>0</v>
      </c>
      <c r="AL534" t="str">
        <f>IFERROR(VLOOKUP(AK534,tbFactorMes,2,FALSE),"")</f>
        <v/>
      </c>
      <c r="AM534">
        <f t="shared" si="118"/>
        <v>0</v>
      </c>
      <c r="AP534" t="str">
        <f>IFERROR(VLOOKUP(AO534,tbFactorMes,2,FALSE),"")</f>
        <v/>
      </c>
      <c r="AQ534">
        <f t="shared" si="119"/>
        <v>0</v>
      </c>
      <c r="AT534" t="str">
        <f>IFERROR(VLOOKUP(AS534,tbFactorMes,2,FALSE),"")</f>
        <v/>
      </c>
      <c r="AU534">
        <f t="shared" si="120"/>
        <v>0</v>
      </c>
      <c r="AX534" t="str">
        <f>IFERROR(VLOOKUP(AW534,tbFactorMes,2,FALSE),"")</f>
        <v/>
      </c>
      <c r="AY534">
        <f t="shared" si="121"/>
        <v>0</v>
      </c>
      <c r="BB534" t="str">
        <f>IFERROR(VLOOKUP(BA534,tbFactorMes,2,FALSE),"")</f>
        <v/>
      </c>
      <c r="BC534">
        <f t="shared" si="122"/>
        <v>0</v>
      </c>
      <c r="BF534" t="str">
        <f>IFERROR(VLOOKUP(BE534,tbFactorMes,2,FALSE),"")</f>
        <v/>
      </c>
      <c r="BG534">
        <f t="shared" si="123"/>
        <v>0</v>
      </c>
      <c r="BH534">
        <f t="shared" si="124"/>
        <v>0</v>
      </c>
      <c r="BI534">
        <f t="shared" si="125"/>
        <v>0</v>
      </c>
    </row>
    <row r="535" spans="11:61" x14ac:dyDescent="0.35">
      <c r="K535" t="str">
        <f>IFERROR(VLOOKUP(F535,tbTurnos,3,FALSE),"")</f>
        <v/>
      </c>
      <c r="N535" t="str">
        <f>IFERROR(VLOOKUP(M535,tbFactorMes,2,FALSE),"")</f>
        <v/>
      </c>
      <c r="O535">
        <f t="shared" si="112"/>
        <v>0</v>
      </c>
      <c r="R535" t="str">
        <f>IFERROR(VLOOKUP(Q535,tbFactorMes,2,FALSE),"")</f>
        <v/>
      </c>
      <c r="S535">
        <f t="shared" si="113"/>
        <v>0</v>
      </c>
      <c r="V535" t="str">
        <f>IFERROR(VLOOKUP(U535,tbFactorMes,2,FALSE),"")</f>
        <v/>
      </c>
      <c r="W535">
        <f t="shared" si="114"/>
        <v>0</v>
      </c>
      <c r="Z535" t="str">
        <f>IFERROR(VLOOKUP(Y535,tbFactorMes,2,FALSE),"")</f>
        <v/>
      </c>
      <c r="AA535">
        <f t="shared" si="115"/>
        <v>0</v>
      </c>
      <c r="AD535" t="str">
        <f>IFERROR(VLOOKUP(AC535,tbFactorMes,2,FALSE),"")</f>
        <v/>
      </c>
      <c r="AE535">
        <f t="shared" si="116"/>
        <v>0</v>
      </c>
      <c r="AH535" t="str">
        <f>IFERROR(VLOOKUP(AG535,tbFactorMes,2,FALSE),"")</f>
        <v/>
      </c>
      <c r="AI535">
        <f t="shared" si="117"/>
        <v>0</v>
      </c>
      <c r="AL535" t="str">
        <f>IFERROR(VLOOKUP(AK535,tbFactorMes,2,FALSE),"")</f>
        <v/>
      </c>
      <c r="AM535">
        <f t="shared" si="118"/>
        <v>0</v>
      </c>
      <c r="AP535" t="str">
        <f>IFERROR(VLOOKUP(AO535,tbFactorMes,2,FALSE),"")</f>
        <v/>
      </c>
      <c r="AQ535">
        <f t="shared" si="119"/>
        <v>0</v>
      </c>
      <c r="AT535" t="str">
        <f>IFERROR(VLOOKUP(AS535,tbFactorMes,2,FALSE),"")</f>
        <v/>
      </c>
      <c r="AU535">
        <f t="shared" si="120"/>
        <v>0</v>
      </c>
      <c r="AX535" t="str">
        <f>IFERROR(VLOOKUP(AW535,tbFactorMes,2,FALSE),"")</f>
        <v/>
      </c>
      <c r="AY535">
        <f t="shared" si="121"/>
        <v>0</v>
      </c>
      <c r="BB535" t="str">
        <f>IFERROR(VLOOKUP(BA535,tbFactorMes,2,FALSE),"")</f>
        <v/>
      </c>
      <c r="BC535">
        <f t="shared" si="122"/>
        <v>0</v>
      </c>
      <c r="BF535" t="str">
        <f>IFERROR(VLOOKUP(BE535,tbFactorMes,2,FALSE),"")</f>
        <v/>
      </c>
      <c r="BG535">
        <f t="shared" si="123"/>
        <v>0</v>
      </c>
      <c r="BH535">
        <f t="shared" si="124"/>
        <v>0</v>
      </c>
      <c r="BI535">
        <f t="shared" si="125"/>
        <v>0</v>
      </c>
    </row>
    <row r="536" spans="11:61" x14ac:dyDescent="0.35">
      <c r="K536" t="str">
        <f>IFERROR(VLOOKUP(F536,tbTurnos,3,FALSE),"")</f>
        <v/>
      </c>
      <c r="N536" t="str">
        <f>IFERROR(VLOOKUP(M536,tbFactorMes,2,FALSE),"")</f>
        <v/>
      </c>
      <c r="O536">
        <f t="shared" si="112"/>
        <v>0</v>
      </c>
      <c r="R536" t="str">
        <f>IFERROR(VLOOKUP(Q536,tbFactorMes,2,FALSE),"")</f>
        <v/>
      </c>
      <c r="S536">
        <f t="shared" si="113"/>
        <v>0</v>
      </c>
      <c r="V536" t="str">
        <f>IFERROR(VLOOKUP(U536,tbFactorMes,2,FALSE),"")</f>
        <v/>
      </c>
      <c r="W536">
        <f t="shared" si="114"/>
        <v>0</v>
      </c>
      <c r="Z536" t="str">
        <f>IFERROR(VLOOKUP(Y536,tbFactorMes,2,FALSE),"")</f>
        <v/>
      </c>
      <c r="AA536">
        <f t="shared" si="115"/>
        <v>0</v>
      </c>
      <c r="AD536" t="str">
        <f>IFERROR(VLOOKUP(AC536,tbFactorMes,2,FALSE),"")</f>
        <v/>
      </c>
      <c r="AE536">
        <f t="shared" si="116"/>
        <v>0</v>
      </c>
      <c r="AH536" t="str">
        <f>IFERROR(VLOOKUP(AG536,tbFactorMes,2,FALSE),"")</f>
        <v/>
      </c>
      <c r="AI536">
        <f t="shared" si="117"/>
        <v>0</v>
      </c>
      <c r="AL536" t="str">
        <f>IFERROR(VLOOKUP(AK536,tbFactorMes,2,FALSE),"")</f>
        <v/>
      </c>
      <c r="AM536">
        <f t="shared" si="118"/>
        <v>0</v>
      </c>
      <c r="AP536" t="str">
        <f>IFERROR(VLOOKUP(AO536,tbFactorMes,2,FALSE),"")</f>
        <v/>
      </c>
      <c r="AQ536">
        <f t="shared" si="119"/>
        <v>0</v>
      </c>
      <c r="AT536" t="str">
        <f>IFERROR(VLOOKUP(AS536,tbFactorMes,2,FALSE),"")</f>
        <v/>
      </c>
      <c r="AU536">
        <f t="shared" si="120"/>
        <v>0</v>
      </c>
      <c r="AX536" t="str">
        <f>IFERROR(VLOOKUP(AW536,tbFactorMes,2,FALSE),"")</f>
        <v/>
      </c>
      <c r="AY536">
        <f t="shared" si="121"/>
        <v>0</v>
      </c>
      <c r="BB536" t="str">
        <f>IFERROR(VLOOKUP(BA536,tbFactorMes,2,FALSE),"")</f>
        <v/>
      </c>
      <c r="BC536">
        <f t="shared" si="122"/>
        <v>0</v>
      </c>
      <c r="BF536" t="str">
        <f>IFERROR(VLOOKUP(BE536,tbFactorMes,2,FALSE),"")</f>
        <v/>
      </c>
      <c r="BG536">
        <f t="shared" si="123"/>
        <v>0</v>
      </c>
      <c r="BH536">
        <f t="shared" si="124"/>
        <v>0</v>
      </c>
      <c r="BI536">
        <f t="shared" si="125"/>
        <v>0</v>
      </c>
    </row>
    <row r="537" spans="11:61" x14ac:dyDescent="0.35">
      <c r="K537" t="str">
        <f>IFERROR(VLOOKUP(F537,tbTurnos,3,FALSE),"")</f>
        <v/>
      </c>
      <c r="N537" t="str">
        <f>IFERROR(VLOOKUP(M537,tbFactorMes,2,FALSE),"")</f>
        <v/>
      </c>
      <c r="O537">
        <f t="shared" si="112"/>
        <v>0</v>
      </c>
      <c r="R537" t="str">
        <f>IFERROR(VLOOKUP(Q537,tbFactorMes,2,FALSE),"")</f>
        <v/>
      </c>
      <c r="S537">
        <f t="shared" si="113"/>
        <v>0</v>
      </c>
      <c r="V537" t="str">
        <f>IFERROR(VLOOKUP(U537,tbFactorMes,2,FALSE),"")</f>
        <v/>
      </c>
      <c r="W537">
        <f t="shared" si="114"/>
        <v>0</v>
      </c>
      <c r="Z537" t="str">
        <f>IFERROR(VLOOKUP(Y537,tbFactorMes,2,FALSE),"")</f>
        <v/>
      </c>
      <c r="AA537">
        <f t="shared" si="115"/>
        <v>0</v>
      </c>
      <c r="AD537" t="str">
        <f>IFERROR(VLOOKUP(AC537,tbFactorMes,2,FALSE),"")</f>
        <v/>
      </c>
      <c r="AE537">
        <f t="shared" si="116"/>
        <v>0</v>
      </c>
      <c r="AH537" t="str">
        <f>IFERROR(VLOOKUP(AG537,tbFactorMes,2,FALSE),"")</f>
        <v/>
      </c>
      <c r="AI537">
        <f t="shared" si="117"/>
        <v>0</v>
      </c>
      <c r="AL537" t="str">
        <f>IFERROR(VLOOKUP(AK537,tbFactorMes,2,FALSE),"")</f>
        <v/>
      </c>
      <c r="AM537">
        <f t="shared" si="118"/>
        <v>0</v>
      </c>
      <c r="AP537" t="str">
        <f>IFERROR(VLOOKUP(AO537,tbFactorMes,2,FALSE),"")</f>
        <v/>
      </c>
      <c r="AQ537">
        <f t="shared" si="119"/>
        <v>0</v>
      </c>
      <c r="AT537" t="str">
        <f>IFERROR(VLOOKUP(AS537,tbFactorMes,2,FALSE),"")</f>
        <v/>
      </c>
      <c r="AU537">
        <f t="shared" si="120"/>
        <v>0</v>
      </c>
      <c r="AX537" t="str">
        <f>IFERROR(VLOOKUP(AW537,tbFactorMes,2,FALSE),"")</f>
        <v/>
      </c>
      <c r="AY537">
        <f t="shared" si="121"/>
        <v>0</v>
      </c>
      <c r="BB537" t="str">
        <f>IFERROR(VLOOKUP(BA537,tbFactorMes,2,FALSE),"")</f>
        <v/>
      </c>
      <c r="BC537">
        <f t="shared" si="122"/>
        <v>0</v>
      </c>
      <c r="BF537" t="str">
        <f>IFERROR(VLOOKUP(BE537,tbFactorMes,2,FALSE),"")</f>
        <v/>
      </c>
      <c r="BG537">
        <f t="shared" si="123"/>
        <v>0</v>
      </c>
      <c r="BH537">
        <f t="shared" si="124"/>
        <v>0</v>
      </c>
      <c r="BI537">
        <f t="shared" si="125"/>
        <v>0</v>
      </c>
    </row>
    <row r="538" spans="11:61" x14ac:dyDescent="0.35">
      <c r="K538" t="str">
        <f>IFERROR(VLOOKUP(F538,tbTurnos,3,FALSE),"")</f>
        <v/>
      </c>
      <c r="N538" t="str">
        <f>IFERROR(VLOOKUP(M538,tbFactorMes,2,FALSE),"")</f>
        <v/>
      </c>
      <c r="O538">
        <f t="shared" si="112"/>
        <v>0</v>
      </c>
      <c r="R538" t="str">
        <f>IFERROR(VLOOKUP(Q538,tbFactorMes,2,FALSE),"")</f>
        <v/>
      </c>
      <c r="S538">
        <f t="shared" si="113"/>
        <v>0</v>
      </c>
      <c r="V538" t="str">
        <f>IFERROR(VLOOKUP(U538,tbFactorMes,2,FALSE),"")</f>
        <v/>
      </c>
      <c r="W538">
        <f t="shared" si="114"/>
        <v>0</v>
      </c>
      <c r="Z538" t="str">
        <f>IFERROR(VLOOKUP(Y538,tbFactorMes,2,FALSE),"")</f>
        <v/>
      </c>
      <c r="AA538">
        <f t="shared" si="115"/>
        <v>0</v>
      </c>
      <c r="AD538" t="str">
        <f>IFERROR(VLOOKUP(AC538,tbFactorMes,2,FALSE),"")</f>
        <v/>
      </c>
      <c r="AE538">
        <f t="shared" si="116"/>
        <v>0</v>
      </c>
      <c r="AH538" t="str">
        <f>IFERROR(VLOOKUP(AG538,tbFactorMes,2,FALSE),"")</f>
        <v/>
      </c>
      <c r="AI538">
        <f t="shared" si="117"/>
        <v>0</v>
      </c>
      <c r="AL538" t="str">
        <f>IFERROR(VLOOKUP(AK538,tbFactorMes,2,FALSE),"")</f>
        <v/>
      </c>
      <c r="AM538">
        <f t="shared" si="118"/>
        <v>0</v>
      </c>
      <c r="AP538" t="str">
        <f>IFERROR(VLOOKUP(AO538,tbFactorMes,2,FALSE),"")</f>
        <v/>
      </c>
      <c r="AQ538">
        <f t="shared" si="119"/>
        <v>0</v>
      </c>
      <c r="AT538" t="str">
        <f>IFERROR(VLOOKUP(AS538,tbFactorMes,2,FALSE),"")</f>
        <v/>
      </c>
      <c r="AU538">
        <f t="shared" si="120"/>
        <v>0</v>
      </c>
      <c r="AX538" t="str">
        <f>IFERROR(VLOOKUP(AW538,tbFactorMes,2,FALSE),"")</f>
        <v/>
      </c>
      <c r="AY538">
        <f t="shared" si="121"/>
        <v>0</v>
      </c>
      <c r="BB538" t="str">
        <f>IFERROR(VLOOKUP(BA538,tbFactorMes,2,FALSE),"")</f>
        <v/>
      </c>
      <c r="BC538">
        <f t="shared" si="122"/>
        <v>0</v>
      </c>
      <c r="BF538" t="str">
        <f>IFERROR(VLOOKUP(BE538,tbFactorMes,2,FALSE),"")</f>
        <v/>
      </c>
      <c r="BG538">
        <f t="shared" si="123"/>
        <v>0</v>
      </c>
      <c r="BH538">
        <f t="shared" si="124"/>
        <v>0</v>
      </c>
      <c r="BI538">
        <f t="shared" si="125"/>
        <v>0</v>
      </c>
    </row>
    <row r="539" spans="11:61" x14ac:dyDescent="0.35">
      <c r="K539" t="str">
        <f>IFERROR(VLOOKUP(F539,tbTurnos,3,FALSE),"")</f>
        <v/>
      </c>
      <c r="N539" t="str">
        <f>IFERROR(VLOOKUP(M539,tbFactorMes,2,FALSE),"")</f>
        <v/>
      </c>
      <c r="O539">
        <f t="shared" si="112"/>
        <v>0</v>
      </c>
      <c r="R539" t="str">
        <f>IFERROR(VLOOKUP(Q539,tbFactorMes,2,FALSE),"")</f>
        <v/>
      </c>
      <c r="S539">
        <f t="shared" si="113"/>
        <v>0</v>
      </c>
      <c r="V539" t="str">
        <f>IFERROR(VLOOKUP(U539,tbFactorMes,2,FALSE),"")</f>
        <v/>
      </c>
      <c r="W539">
        <f t="shared" si="114"/>
        <v>0</v>
      </c>
      <c r="Z539" t="str">
        <f>IFERROR(VLOOKUP(Y539,tbFactorMes,2,FALSE),"")</f>
        <v/>
      </c>
      <c r="AA539">
        <f t="shared" si="115"/>
        <v>0</v>
      </c>
      <c r="AD539" t="str">
        <f>IFERROR(VLOOKUP(AC539,tbFactorMes,2,FALSE),"")</f>
        <v/>
      </c>
      <c r="AE539">
        <f t="shared" si="116"/>
        <v>0</v>
      </c>
      <c r="AH539" t="str">
        <f>IFERROR(VLOOKUP(AG539,tbFactorMes,2,FALSE),"")</f>
        <v/>
      </c>
      <c r="AI539">
        <f t="shared" si="117"/>
        <v>0</v>
      </c>
      <c r="AL539" t="str">
        <f>IFERROR(VLOOKUP(AK539,tbFactorMes,2,FALSE),"")</f>
        <v/>
      </c>
      <c r="AM539">
        <f t="shared" si="118"/>
        <v>0</v>
      </c>
      <c r="AP539" t="str">
        <f>IFERROR(VLOOKUP(AO539,tbFactorMes,2,FALSE),"")</f>
        <v/>
      </c>
      <c r="AQ539">
        <f t="shared" si="119"/>
        <v>0</v>
      </c>
      <c r="AT539" t="str">
        <f>IFERROR(VLOOKUP(AS539,tbFactorMes,2,FALSE),"")</f>
        <v/>
      </c>
      <c r="AU539">
        <f t="shared" si="120"/>
        <v>0</v>
      </c>
      <c r="AX539" t="str">
        <f>IFERROR(VLOOKUP(AW539,tbFactorMes,2,FALSE),"")</f>
        <v/>
      </c>
      <c r="AY539">
        <f t="shared" si="121"/>
        <v>0</v>
      </c>
      <c r="BB539" t="str">
        <f>IFERROR(VLOOKUP(BA539,tbFactorMes,2,FALSE),"")</f>
        <v/>
      </c>
      <c r="BC539">
        <f t="shared" si="122"/>
        <v>0</v>
      </c>
      <c r="BF539" t="str">
        <f>IFERROR(VLOOKUP(BE539,tbFactorMes,2,FALSE),"")</f>
        <v/>
      </c>
      <c r="BG539">
        <f t="shared" si="123"/>
        <v>0</v>
      </c>
      <c r="BH539">
        <f t="shared" si="124"/>
        <v>0</v>
      </c>
      <c r="BI539">
        <f t="shared" si="125"/>
        <v>0</v>
      </c>
    </row>
    <row r="540" spans="11:61" x14ac:dyDescent="0.35">
      <c r="K540" t="str">
        <f>IFERROR(VLOOKUP(F540,tbTurnos,3,FALSE),"")</f>
        <v/>
      </c>
      <c r="N540" t="str">
        <f>IFERROR(VLOOKUP(M540,tbFactorMes,2,FALSE),"")</f>
        <v/>
      </c>
      <c r="O540">
        <f t="shared" si="112"/>
        <v>0</v>
      </c>
      <c r="R540" t="str">
        <f>IFERROR(VLOOKUP(Q540,tbFactorMes,2,FALSE),"")</f>
        <v/>
      </c>
      <c r="S540">
        <f t="shared" si="113"/>
        <v>0</v>
      </c>
      <c r="V540" t="str">
        <f>IFERROR(VLOOKUP(U540,tbFactorMes,2,FALSE),"")</f>
        <v/>
      </c>
      <c r="W540">
        <f t="shared" si="114"/>
        <v>0</v>
      </c>
      <c r="Z540" t="str">
        <f>IFERROR(VLOOKUP(Y540,tbFactorMes,2,FALSE),"")</f>
        <v/>
      </c>
      <c r="AA540">
        <f t="shared" si="115"/>
        <v>0</v>
      </c>
      <c r="AD540" t="str">
        <f>IFERROR(VLOOKUP(AC540,tbFactorMes,2,FALSE),"")</f>
        <v/>
      </c>
      <c r="AE540">
        <f t="shared" si="116"/>
        <v>0</v>
      </c>
      <c r="AH540" t="str">
        <f>IFERROR(VLOOKUP(AG540,tbFactorMes,2,FALSE),"")</f>
        <v/>
      </c>
      <c r="AI540">
        <f t="shared" si="117"/>
        <v>0</v>
      </c>
      <c r="AL540" t="str">
        <f>IFERROR(VLOOKUP(AK540,tbFactorMes,2,FALSE),"")</f>
        <v/>
      </c>
      <c r="AM540">
        <f t="shared" si="118"/>
        <v>0</v>
      </c>
      <c r="AP540" t="str">
        <f>IFERROR(VLOOKUP(AO540,tbFactorMes,2,FALSE),"")</f>
        <v/>
      </c>
      <c r="AQ540">
        <f t="shared" si="119"/>
        <v>0</v>
      </c>
      <c r="AT540" t="str">
        <f>IFERROR(VLOOKUP(AS540,tbFactorMes,2,FALSE),"")</f>
        <v/>
      </c>
      <c r="AU540">
        <f t="shared" si="120"/>
        <v>0</v>
      </c>
      <c r="AX540" t="str">
        <f>IFERROR(VLOOKUP(AW540,tbFactorMes,2,FALSE),"")</f>
        <v/>
      </c>
      <c r="AY540">
        <f t="shared" si="121"/>
        <v>0</v>
      </c>
      <c r="BB540" t="str">
        <f>IFERROR(VLOOKUP(BA540,tbFactorMes,2,FALSE),"")</f>
        <v/>
      </c>
      <c r="BC540">
        <f t="shared" si="122"/>
        <v>0</v>
      </c>
      <c r="BF540" t="str">
        <f>IFERROR(VLOOKUP(BE540,tbFactorMes,2,FALSE),"")</f>
        <v/>
      </c>
      <c r="BG540">
        <f t="shared" si="123"/>
        <v>0</v>
      </c>
      <c r="BH540">
        <f t="shared" si="124"/>
        <v>0</v>
      </c>
      <c r="BI540">
        <f t="shared" si="125"/>
        <v>0</v>
      </c>
    </row>
    <row r="541" spans="11:61" x14ac:dyDescent="0.35">
      <c r="K541" t="str">
        <f>IFERROR(VLOOKUP(F541,tbTurnos,3,FALSE),"")</f>
        <v/>
      </c>
      <c r="N541" t="str">
        <f>IFERROR(VLOOKUP(M541,tbFactorMes,2,FALSE),"")</f>
        <v/>
      </c>
      <c r="O541">
        <f t="shared" si="112"/>
        <v>0</v>
      </c>
      <c r="R541" t="str">
        <f>IFERROR(VLOOKUP(Q541,tbFactorMes,2,FALSE),"")</f>
        <v/>
      </c>
      <c r="S541">
        <f t="shared" si="113"/>
        <v>0</v>
      </c>
      <c r="V541" t="str">
        <f>IFERROR(VLOOKUP(U541,tbFactorMes,2,FALSE),"")</f>
        <v/>
      </c>
      <c r="W541">
        <f t="shared" si="114"/>
        <v>0</v>
      </c>
      <c r="Z541" t="str">
        <f>IFERROR(VLOOKUP(Y541,tbFactorMes,2,FALSE),"")</f>
        <v/>
      </c>
      <c r="AA541">
        <f t="shared" si="115"/>
        <v>0</v>
      </c>
      <c r="AD541" t="str">
        <f>IFERROR(VLOOKUP(AC541,tbFactorMes,2,FALSE),"")</f>
        <v/>
      </c>
      <c r="AE541">
        <f t="shared" si="116"/>
        <v>0</v>
      </c>
      <c r="AH541" t="str">
        <f>IFERROR(VLOOKUP(AG541,tbFactorMes,2,FALSE),"")</f>
        <v/>
      </c>
      <c r="AI541">
        <f t="shared" si="117"/>
        <v>0</v>
      </c>
      <c r="AL541" t="str">
        <f>IFERROR(VLOOKUP(AK541,tbFactorMes,2,FALSE),"")</f>
        <v/>
      </c>
      <c r="AM541">
        <f t="shared" si="118"/>
        <v>0</v>
      </c>
      <c r="AP541" t="str">
        <f>IFERROR(VLOOKUP(AO541,tbFactorMes,2,FALSE),"")</f>
        <v/>
      </c>
      <c r="AQ541">
        <f t="shared" si="119"/>
        <v>0</v>
      </c>
      <c r="AT541" t="str">
        <f>IFERROR(VLOOKUP(AS541,tbFactorMes,2,FALSE),"")</f>
        <v/>
      </c>
      <c r="AU541">
        <f t="shared" si="120"/>
        <v>0</v>
      </c>
      <c r="AX541" t="str">
        <f>IFERROR(VLOOKUP(AW541,tbFactorMes,2,FALSE),"")</f>
        <v/>
      </c>
      <c r="AY541">
        <f t="shared" si="121"/>
        <v>0</v>
      </c>
      <c r="BB541" t="str">
        <f>IFERROR(VLOOKUP(BA541,tbFactorMes,2,FALSE),"")</f>
        <v/>
      </c>
      <c r="BC541">
        <f t="shared" si="122"/>
        <v>0</v>
      </c>
      <c r="BF541" t="str">
        <f>IFERROR(VLOOKUP(BE541,tbFactorMes,2,FALSE),"")</f>
        <v/>
      </c>
      <c r="BG541">
        <f t="shared" si="123"/>
        <v>0</v>
      </c>
      <c r="BH541">
        <f t="shared" si="124"/>
        <v>0</v>
      </c>
      <c r="BI541">
        <f t="shared" si="125"/>
        <v>0</v>
      </c>
    </row>
    <row r="542" spans="11:61" x14ac:dyDescent="0.35">
      <c r="K542" t="str">
        <f>IFERROR(VLOOKUP(F542,tbTurnos,3,FALSE),"")</f>
        <v/>
      </c>
      <c r="N542" t="str">
        <f>IFERROR(VLOOKUP(M542,tbFactorMes,2,FALSE),"")</f>
        <v/>
      </c>
      <c r="O542">
        <f t="shared" si="112"/>
        <v>0</v>
      </c>
      <c r="R542" t="str">
        <f>IFERROR(VLOOKUP(Q542,tbFactorMes,2,FALSE),"")</f>
        <v/>
      </c>
      <c r="S542">
        <f t="shared" si="113"/>
        <v>0</v>
      </c>
      <c r="V542" t="str">
        <f>IFERROR(VLOOKUP(U542,tbFactorMes,2,FALSE),"")</f>
        <v/>
      </c>
      <c r="W542">
        <f t="shared" si="114"/>
        <v>0</v>
      </c>
      <c r="Z542" t="str">
        <f>IFERROR(VLOOKUP(Y542,tbFactorMes,2,FALSE),"")</f>
        <v/>
      </c>
      <c r="AA542">
        <f t="shared" si="115"/>
        <v>0</v>
      </c>
      <c r="AD542" t="str">
        <f>IFERROR(VLOOKUP(AC542,tbFactorMes,2,FALSE),"")</f>
        <v/>
      </c>
      <c r="AE542">
        <f t="shared" si="116"/>
        <v>0</v>
      </c>
      <c r="AH542" t="str">
        <f>IFERROR(VLOOKUP(AG542,tbFactorMes,2,FALSE),"")</f>
        <v/>
      </c>
      <c r="AI542">
        <f t="shared" si="117"/>
        <v>0</v>
      </c>
      <c r="AL542" t="str">
        <f>IFERROR(VLOOKUP(AK542,tbFactorMes,2,FALSE),"")</f>
        <v/>
      </c>
      <c r="AM542">
        <f t="shared" si="118"/>
        <v>0</v>
      </c>
      <c r="AP542" t="str">
        <f>IFERROR(VLOOKUP(AO542,tbFactorMes,2,FALSE),"")</f>
        <v/>
      </c>
      <c r="AQ542">
        <f t="shared" si="119"/>
        <v>0</v>
      </c>
      <c r="AT542" t="str">
        <f>IFERROR(VLOOKUP(AS542,tbFactorMes,2,FALSE),"")</f>
        <v/>
      </c>
      <c r="AU542">
        <f t="shared" si="120"/>
        <v>0</v>
      </c>
      <c r="AX542" t="str">
        <f>IFERROR(VLOOKUP(AW542,tbFactorMes,2,FALSE),"")</f>
        <v/>
      </c>
      <c r="AY542">
        <f t="shared" si="121"/>
        <v>0</v>
      </c>
      <c r="BB542" t="str">
        <f>IFERROR(VLOOKUP(BA542,tbFactorMes,2,FALSE),"")</f>
        <v/>
      </c>
      <c r="BC542">
        <f t="shared" si="122"/>
        <v>0</v>
      </c>
      <c r="BF542" t="str">
        <f>IFERROR(VLOOKUP(BE542,tbFactorMes,2,FALSE),"")</f>
        <v/>
      </c>
      <c r="BG542">
        <f t="shared" si="123"/>
        <v>0</v>
      </c>
      <c r="BH542">
        <f t="shared" si="124"/>
        <v>0</v>
      </c>
      <c r="BI542">
        <f t="shared" si="125"/>
        <v>0</v>
      </c>
    </row>
    <row r="543" spans="11:61" x14ac:dyDescent="0.35">
      <c r="K543" t="str">
        <f>IFERROR(VLOOKUP(F543,tbTurnos,3,FALSE),"")</f>
        <v/>
      </c>
      <c r="N543" t="str">
        <f>IFERROR(VLOOKUP(M543,tbFactorMes,2,FALSE),"")</f>
        <v/>
      </c>
      <c r="O543">
        <f t="shared" si="112"/>
        <v>0</v>
      </c>
      <c r="R543" t="str">
        <f>IFERROR(VLOOKUP(Q543,tbFactorMes,2,FALSE),"")</f>
        <v/>
      </c>
      <c r="S543">
        <f t="shared" si="113"/>
        <v>0</v>
      </c>
      <c r="V543" t="str">
        <f>IFERROR(VLOOKUP(U543,tbFactorMes,2,FALSE),"")</f>
        <v/>
      </c>
      <c r="W543">
        <f t="shared" si="114"/>
        <v>0</v>
      </c>
      <c r="Z543" t="str">
        <f>IFERROR(VLOOKUP(Y543,tbFactorMes,2,FALSE),"")</f>
        <v/>
      </c>
      <c r="AA543">
        <f t="shared" si="115"/>
        <v>0</v>
      </c>
      <c r="AD543" t="str">
        <f>IFERROR(VLOOKUP(AC543,tbFactorMes,2,FALSE),"")</f>
        <v/>
      </c>
      <c r="AE543">
        <f t="shared" si="116"/>
        <v>0</v>
      </c>
      <c r="AH543" t="str">
        <f>IFERROR(VLOOKUP(AG543,tbFactorMes,2,FALSE),"")</f>
        <v/>
      </c>
      <c r="AI543">
        <f t="shared" si="117"/>
        <v>0</v>
      </c>
      <c r="AL543" t="str">
        <f>IFERROR(VLOOKUP(AK543,tbFactorMes,2,FALSE),"")</f>
        <v/>
      </c>
      <c r="AM543">
        <f t="shared" si="118"/>
        <v>0</v>
      </c>
      <c r="AP543" t="str">
        <f>IFERROR(VLOOKUP(AO543,tbFactorMes,2,FALSE),"")</f>
        <v/>
      </c>
      <c r="AQ543">
        <f t="shared" si="119"/>
        <v>0</v>
      </c>
      <c r="AT543" t="str">
        <f>IFERROR(VLOOKUP(AS543,tbFactorMes,2,FALSE),"")</f>
        <v/>
      </c>
      <c r="AU543">
        <f t="shared" si="120"/>
        <v>0</v>
      </c>
      <c r="AX543" t="str">
        <f>IFERROR(VLOOKUP(AW543,tbFactorMes,2,FALSE),"")</f>
        <v/>
      </c>
      <c r="AY543">
        <f t="shared" si="121"/>
        <v>0</v>
      </c>
      <c r="BB543" t="str">
        <f>IFERROR(VLOOKUP(BA543,tbFactorMes,2,FALSE),"")</f>
        <v/>
      </c>
      <c r="BC543">
        <f t="shared" si="122"/>
        <v>0</v>
      </c>
      <c r="BF543" t="str">
        <f>IFERROR(VLOOKUP(BE543,tbFactorMes,2,FALSE),"")</f>
        <v/>
      </c>
      <c r="BG543">
        <f t="shared" si="123"/>
        <v>0</v>
      </c>
      <c r="BH543">
        <f t="shared" si="124"/>
        <v>0</v>
      </c>
      <c r="BI543">
        <f t="shared" si="125"/>
        <v>0</v>
      </c>
    </row>
    <row r="544" spans="11:61" x14ac:dyDescent="0.35">
      <c r="K544" t="str">
        <f>IFERROR(VLOOKUP(F544,tbTurnos,3,FALSE),"")</f>
        <v/>
      </c>
      <c r="N544" t="str">
        <f>IFERROR(VLOOKUP(M544,tbFactorMes,2,FALSE),"")</f>
        <v/>
      </c>
      <c r="O544">
        <f t="shared" si="112"/>
        <v>0</v>
      </c>
      <c r="R544" t="str">
        <f>IFERROR(VLOOKUP(Q544,tbFactorMes,2,FALSE),"")</f>
        <v/>
      </c>
      <c r="S544">
        <f t="shared" si="113"/>
        <v>0</v>
      </c>
      <c r="V544" t="str">
        <f>IFERROR(VLOOKUP(U544,tbFactorMes,2,FALSE),"")</f>
        <v/>
      </c>
      <c r="W544">
        <f t="shared" si="114"/>
        <v>0</v>
      </c>
      <c r="Z544" t="str">
        <f>IFERROR(VLOOKUP(Y544,tbFactorMes,2,FALSE),"")</f>
        <v/>
      </c>
      <c r="AA544">
        <f t="shared" si="115"/>
        <v>0</v>
      </c>
      <c r="AD544" t="str">
        <f>IFERROR(VLOOKUP(AC544,tbFactorMes,2,FALSE),"")</f>
        <v/>
      </c>
      <c r="AE544">
        <f t="shared" si="116"/>
        <v>0</v>
      </c>
      <c r="AH544" t="str">
        <f>IFERROR(VLOOKUP(AG544,tbFactorMes,2,FALSE),"")</f>
        <v/>
      </c>
      <c r="AI544">
        <f t="shared" si="117"/>
        <v>0</v>
      </c>
      <c r="AL544" t="str">
        <f>IFERROR(VLOOKUP(AK544,tbFactorMes,2,FALSE),"")</f>
        <v/>
      </c>
      <c r="AM544">
        <f t="shared" si="118"/>
        <v>0</v>
      </c>
      <c r="AP544" t="str">
        <f>IFERROR(VLOOKUP(AO544,tbFactorMes,2,FALSE),"")</f>
        <v/>
      </c>
      <c r="AQ544">
        <f t="shared" si="119"/>
        <v>0</v>
      </c>
      <c r="AT544" t="str">
        <f>IFERROR(VLOOKUP(AS544,tbFactorMes,2,FALSE),"")</f>
        <v/>
      </c>
      <c r="AU544">
        <f t="shared" si="120"/>
        <v>0</v>
      </c>
      <c r="AX544" t="str">
        <f>IFERROR(VLOOKUP(AW544,tbFactorMes,2,FALSE),"")</f>
        <v/>
      </c>
      <c r="AY544">
        <f t="shared" si="121"/>
        <v>0</v>
      </c>
      <c r="BB544" t="str">
        <f>IFERROR(VLOOKUP(BA544,tbFactorMes,2,FALSE),"")</f>
        <v/>
      </c>
      <c r="BC544">
        <f t="shared" si="122"/>
        <v>0</v>
      </c>
      <c r="BF544" t="str">
        <f>IFERROR(VLOOKUP(BE544,tbFactorMes,2,FALSE),"")</f>
        <v/>
      </c>
      <c r="BG544">
        <f t="shared" si="123"/>
        <v>0</v>
      </c>
      <c r="BH544">
        <f t="shared" si="124"/>
        <v>0</v>
      </c>
      <c r="BI544">
        <f t="shared" si="125"/>
        <v>0</v>
      </c>
    </row>
    <row r="545" spans="11:61" x14ac:dyDescent="0.35">
      <c r="K545" t="str">
        <f>IFERROR(VLOOKUP(F545,tbTurnos,3,FALSE),"")</f>
        <v/>
      </c>
      <c r="N545" t="str">
        <f>IFERROR(VLOOKUP(M545,tbFactorMes,2,FALSE),"")</f>
        <v/>
      </c>
      <c r="O545">
        <f t="shared" si="112"/>
        <v>0</v>
      </c>
      <c r="R545" t="str">
        <f>IFERROR(VLOOKUP(Q545,tbFactorMes,2,FALSE),"")</f>
        <v/>
      </c>
      <c r="S545">
        <f t="shared" si="113"/>
        <v>0</v>
      </c>
      <c r="V545" t="str">
        <f>IFERROR(VLOOKUP(U545,tbFactorMes,2,FALSE),"")</f>
        <v/>
      </c>
      <c r="W545">
        <f t="shared" si="114"/>
        <v>0</v>
      </c>
      <c r="Z545" t="str">
        <f>IFERROR(VLOOKUP(Y545,tbFactorMes,2,FALSE),"")</f>
        <v/>
      </c>
      <c r="AA545">
        <f t="shared" si="115"/>
        <v>0</v>
      </c>
      <c r="AD545" t="str">
        <f>IFERROR(VLOOKUP(AC545,tbFactorMes,2,FALSE),"")</f>
        <v/>
      </c>
      <c r="AE545">
        <f t="shared" si="116"/>
        <v>0</v>
      </c>
      <c r="AH545" t="str">
        <f>IFERROR(VLOOKUP(AG545,tbFactorMes,2,FALSE),"")</f>
        <v/>
      </c>
      <c r="AI545">
        <f t="shared" si="117"/>
        <v>0</v>
      </c>
      <c r="AL545" t="str">
        <f>IFERROR(VLOOKUP(AK545,tbFactorMes,2,FALSE),"")</f>
        <v/>
      </c>
      <c r="AM545">
        <f t="shared" si="118"/>
        <v>0</v>
      </c>
      <c r="AP545" t="str">
        <f>IFERROR(VLOOKUP(AO545,tbFactorMes,2,FALSE),"")</f>
        <v/>
      </c>
      <c r="AQ545">
        <f t="shared" si="119"/>
        <v>0</v>
      </c>
      <c r="AT545" t="str">
        <f>IFERROR(VLOOKUP(AS545,tbFactorMes,2,FALSE),"")</f>
        <v/>
      </c>
      <c r="AU545">
        <f t="shared" si="120"/>
        <v>0</v>
      </c>
      <c r="AX545" t="str">
        <f>IFERROR(VLOOKUP(AW545,tbFactorMes,2,FALSE),"")</f>
        <v/>
      </c>
      <c r="AY545">
        <f t="shared" si="121"/>
        <v>0</v>
      </c>
      <c r="BB545" t="str">
        <f>IFERROR(VLOOKUP(BA545,tbFactorMes,2,FALSE),"")</f>
        <v/>
      </c>
      <c r="BC545">
        <f t="shared" si="122"/>
        <v>0</v>
      </c>
      <c r="BF545" t="str">
        <f>IFERROR(VLOOKUP(BE545,tbFactorMes,2,FALSE),"")</f>
        <v/>
      </c>
      <c r="BG545">
        <f t="shared" si="123"/>
        <v>0</v>
      </c>
      <c r="BH545">
        <f t="shared" si="124"/>
        <v>0</v>
      </c>
      <c r="BI545">
        <f t="shared" si="125"/>
        <v>0</v>
      </c>
    </row>
    <row r="546" spans="11:61" x14ac:dyDescent="0.35">
      <c r="K546" t="str">
        <f>IFERROR(VLOOKUP(F546,tbTurnos,3,FALSE),"")</f>
        <v/>
      </c>
      <c r="N546" t="str">
        <f>IFERROR(VLOOKUP(M546,tbFactorMes,2,FALSE),"")</f>
        <v/>
      </c>
      <c r="O546">
        <f t="shared" si="112"/>
        <v>0</v>
      </c>
      <c r="R546" t="str">
        <f>IFERROR(VLOOKUP(Q546,tbFactorMes,2,FALSE),"")</f>
        <v/>
      </c>
      <c r="S546">
        <f t="shared" si="113"/>
        <v>0</v>
      </c>
      <c r="V546" t="str">
        <f>IFERROR(VLOOKUP(U546,tbFactorMes,2,FALSE),"")</f>
        <v/>
      </c>
      <c r="W546">
        <f t="shared" si="114"/>
        <v>0</v>
      </c>
      <c r="Z546" t="str">
        <f>IFERROR(VLOOKUP(Y546,tbFactorMes,2,FALSE),"")</f>
        <v/>
      </c>
      <c r="AA546">
        <f t="shared" si="115"/>
        <v>0</v>
      </c>
      <c r="AD546" t="str">
        <f>IFERROR(VLOOKUP(AC546,tbFactorMes,2,FALSE),"")</f>
        <v/>
      </c>
      <c r="AE546">
        <f t="shared" si="116"/>
        <v>0</v>
      </c>
      <c r="AH546" t="str">
        <f>IFERROR(VLOOKUP(AG546,tbFactorMes,2,FALSE),"")</f>
        <v/>
      </c>
      <c r="AI546">
        <f t="shared" si="117"/>
        <v>0</v>
      </c>
      <c r="AL546" t="str">
        <f>IFERROR(VLOOKUP(AK546,tbFactorMes,2,FALSE),"")</f>
        <v/>
      </c>
      <c r="AM546">
        <f t="shared" si="118"/>
        <v>0</v>
      </c>
      <c r="AP546" t="str">
        <f>IFERROR(VLOOKUP(AO546,tbFactorMes,2,FALSE),"")</f>
        <v/>
      </c>
      <c r="AQ546">
        <f t="shared" si="119"/>
        <v>0</v>
      </c>
      <c r="AT546" t="str">
        <f>IFERROR(VLOOKUP(AS546,tbFactorMes,2,FALSE),"")</f>
        <v/>
      </c>
      <c r="AU546">
        <f t="shared" si="120"/>
        <v>0</v>
      </c>
      <c r="AX546" t="str">
        <f>IFERROR(VLOOKUP(AW546,tbFactorMes,2,FALSE),"")</f>
        <v/>
      </c>
      <c r="AY546">
        <f t="shared" si="121"/>
        <v>0</v>
      </c>
      <c r="BB546" t="str">
        <f>IFERROR(VLOOKUP(BA546,tbFactorMes,2,FALSE),"")</f>
        <v/>
      </c>
      <c r="BC546">
        <f t="shared" si="122"/>
        <v>0</v>
      </c>
      <c r="BF546" t="str">
        <f>IFERROR(VLOOKUP(BE546,tbFactorMes,2,FALSE),"")</f>
        <v/>
      </c>
      <c r="BG546">
        <f t="shared" si="123"/>
        <v>0</v>
      </c>
      <c r="BH546">
        <f t="shared" si="124"/>
        <v>0</v>
      </c>
      <c r="BI546">
        <f t="shared" si="125"/>
        <v>0</v>
      </c>
    </row>
    <row r="547" spans="11:61" x14ac:dyDescent="0.35">
      <c r="K547" t="str">
        <f>IFERROR(VLOOKUP(F547,tbTurnos,3,FALSE),"")</f>
        <v/>
      </c>
      <c r="N547" t="str">
        <f>IFERROR(VLOOKUP(M547,tbFactorMes,2,FALSE),"")</f>
        <v/>
      </c>
      <c r="O547">
        <f t="shared" si="112"/>
        <v>0</v>
      </c>
      <c r="R547" t="str">
        <f>IFERROR(VLOOKUP(Q547,tbFactorMes,2,FALSE),"")</f>
        <v/>
      </c>
      <c r="S547">
        <f t="shared" si="113"/>
        <v>0</v>
      </c>
      <c r="V547" t="str">
        <f>IFERROR(VLOOKUP(U547,tbFactorMes,2,FALSE),"")</f>
        <v/>
      </c>
      <c r="W547">
        <f t="shared" si="114"/>
        <v>0</v>
      </c>
      <c r="Z547" t="str">
        <f>IFERROR(VLOOKUP(Y547,tbFactorMes,2,FALSE),"")</f>
        <v/>
      </c>
      <c r="AA547">
        <f t="shared" si="115"/>
        <v>0</v>
      </c>
      <c r="AD547" t="str">
        <f>IFERROR(VLOOKUP(AC547,tbFactorMes,2,FALSE),"")</f>
        <v/>
      </c>
      <c r="AE547">
        <f t="shared" si="116"/>
        <v>0</v>
      </c>
      <c r="AH547" t="str">
        <f>IFERROR(VLOOKUP(AG547,tbFactorMes,2,FALSE),"")</f>
        <v/>
      </c>
      <c r="AI547">
        <f t="shared" si="117"/>
        <v>0</v>
      </c>
      <c r="AL547" t="str">
        <f>IFERROR(VLOOKUP(AK547,tbFactorMes,2,FALSE),"")</f>
        <v/>
      </c>
      <c r="AM547">
        <f t="shared" si="118"/>
        <v>0</v>
      </c>
      <c r="AP547" t="str">
        <f>IFERROR(VLOOKUP(AO547,tbFactorMes,2,FALSE),"")</f>
        <v/>
      </c>
      <c r="AQ547">
        <f t="shared" si="119"/>
        <v>0</v>
      </c>
      <c r="AT547" t="str">
        <f>IFERROR(VLOOKUP(AS547,tbFactorMes,2,FALSE),"")</f>
        <v/>
      </c>
      <c r="AU547">
        <f t="shared" si="120"/>
        <v>0</v>
      </c>
      <c r="AX547" t="str">
        <f>IFERROR(VLOOKUP(AW547,tbFactorMes,2,FALSE),"")</f>
        <v/>
      </c>
      <c r="AY547">
        <f t="shared" si="121"/>
        <v>0</v>
      </c>
      <c r="BB547" t="str">
        <f>IFERROR(VLOOKUP(BA547,tbFactorMes,2,FALSE),"")</f>
        <v/>
      </c>
      <c r="BC547">
        <f t="shared" si="122"/>
        <v>0</v>
      </c>
      <c r="BF547" t="str">
        <f>IFERROR(VLOOKUP(BE547,tbFactorMes,2,FALSE),"")</f>
        <v/>
      </c>
      <c r="BG547">
        <f t="shared" si="123"/>
        <v>0</v>
      </c>
      <c r="BH547">
        <f t="shared" si="124"/>
        <v>0</v>
      </c>
      <c r="BI547">
        <f t="shared" si="125"/>
        <v>0</v>
      </c>
    </row>
    <row r="548" spans="11:61" x14ac:dyDescent="0.35">
      <c r="K548" t="str">
        <f>IFERROR(VLOOKUP(F548,tbTurnos,3,FALSE),"")</f>
        <v/>
      </c>
      <c r="N548" t="str">
        <f>IFERROR(VLOOKUP(M548,tbFactorMes,2,FALSE),"")</f>
        <v/>
      </c>
      <c r="O548">
        <f t="shared" si="112"/>
        <v>0</v>
      </c>
      <c r="R548" t="str">
        <f>IFERROR(VLOOKUP(Q548,tbFactorMes,2,FALSE),"")</f>
        <v/>
      </c>
      <c r="S548">
        <f t="shared" si="113"/>
        <v>0</v>
      </c>
      <c r="V548" t="str">
        <f>IFERROR(VLOOKUP(U548,tbFactorMes,2,FALSE),"")</f>
        <v/>
      </c>
      <c r="W548">
        <f t="shared" si="114"/>
        <v>0</v>
      </c>
      <c r="Z548" t="str">
        <f>IFERROR(VLOOKUP(Y548,tbFactorMes,2,FALSE),"")</f>
        <v/>
      </c>
      <c r="AA548">
        <f t="shared" si="115"/>
        <v>0</v>
      </c>
      <c r="AD548" t="str">
        <f>IFERROR(VLOOKUP(AC548,tbFactorMes,2,FALSE),"")</f>
        <v/>
      </c>
      <c r="AE548">
        <f t="shared" si="116"/>
        <v>0</v>
      </c>
      <c r="AH548" t="str">
        <f>IFERROR(VLOOKUP(AG548,tbFactorMes,2,FALSE),"")</f>
        <v/>
      </c>
      <c r="AI548">
        <f t="shared" si="117"/>
        <v>0</v>
      </c>
      <c r="AL548" t="str">
        <f>IFERROR(VLOOKUP(AK548,tbFactorMes,2,FALSE),"")</f>
        <v/>
      </c>
      <c r="AM548">
        <f t="shared" si="118"/>
        <v>0</v>
      </c>
      <c r="AP548" t="str">
        <f>IFERROR(VLOOKUP(AO548,tbFactorMes,2,FALSE),"")</f>
        <v/>
      </c>
      <c r="AQ548">
        <f t="shared" si="119"/>
        <v>0</v>
      </c>
      <c r="AT548" t="str">
        <f>IFERROR(VLOOKUP(AS548,tbFactorMes,2,FALSE),"")</f>
        <v/>
      </c>
      <c r="AU548">
        <f t="shared" si="120"/>
        <v>0</v>
      </c>
      <c r="AX548" t="str">
        <f>IFERROR(VLOOKUP(AW548,tbFactorMes,2,FALSE),"")</f>
        <v/>
      </c>
      <c r="AY548">
        <f t="shared" si="121"/>
        <v>0</v>
      </c>
      <c r="BB548" t="str">
        <f>IFERROR(VLOOKUP(BA548,tbFactorMes,2,FALSE),"")</f>
        <v/>
      </c>
      <c r="BC548">
        <f t="shared" si="122"/>
        <v>0</v>
      </c>
      <c r="BF548" t="str">
        <f>IFERROR(VLOOKUP(BE548,tbFactorMes,2,FALSE),"")</f>
        <v/>
      </c>
      <c r="BG548">
        <f t="shared" si="123"/>
        <v>0</v>
      </c>
      <c r="BH548">
        <f t="shared" si="124"/>
        <v>0</v>
      </c>
      <c r="BI548">
        <f t="shared" si="125"/>
        <v>0</v>
      </c>
    </row>
    <row r="549" spans="11:61" x14ac:dyDescent="0.35">
      <c r="K549" t="str">
        <f>IFERROR(VLOOKUP(F549,tbTurnos,3,FALSE),"")</f>
        <v/>
      </c>
      <c r="N549" t="str">
        <f>IFERROR(VLOOKUP(M549,tbFactorMes,2,FALSE),"")</f>
        <v/>
      </c>
      <c r="O549">
        <f t="shared" si="112"/>
        <v>0</v>
      </c>
      <c r="R549" t="str">
        <f>IFERROR(VLOOKUP(Q549,tbFactorMes,2,FALSE),"")</f>
        <v/>
      </c>
      <c r="S549">
        <f t="shared" si="113"/>
        <v>0</v>
      </c>
      <c r="V549" t="str">
        <f>IFERROR(VLOOKUP(U549,tbFactorMes,2,FALSE),"")</f>
        <v/>
      </c>
      <c r="W549">
        <f t="shared" si="114"/>
        <v>0</v>
      </c>
      <c r="Z549" t="str">
        <f>IFERROR(VLOOKUP(Y549,tbFactorMes,2,FALSE),"")</f>
        <v/>
      </c>
      <c r="AA549">
        <f t="shared" si="115"/>
        <v>0</v>
      </c>
      <c r="AD549" t="str">
        <f>IFERROR(VLOOKUP(AC549,tbFactorMes,2,FALSE),"")</f>
        <v/>
      </c>
      <c r="AE549">
        <f t="shared" si="116"/>
        <v>0</v>
      </c>
      <c r="AH549" t="str">
        <f>IFERROR(VLOOKUP(AG549,tbFactorMes,2,FALSE),"")</f>
        <v/>
      </c>
      <c r="AI549">
        <f t="shared" si="117"/>
        <v>0</v>
      </c>
      <c r="AL549" t="str">
        <f>IFERROR(VLOOKUP(AK549,tbFactorMes,2,FALSE),"")</f>
        <v/>
      </c>
      <c r="AM549">
        <f t="shared" si="118"/>
        <v>0</v>
      </c>
      <c r="AP549" t="str">
        <f>IFERROR(VLOOKUP(AO549,tbFactorMes,2,FALSE),"")</f>
        <v/>
      </c>
      <c r="AQ549">
        <f t="shared" si="119"/>
        <v>0</v>
      </c>
      <c r="AT549" t="str">
        <f>IFERROR(VLOOKUP(AS549,tbFactorMes,2,FALSE),"")</f>
        <v/>
      </c>
      <c r="AU549">
        <f t="shared" si="120"/>
        <v>0</v>
      </c>
      <c r="AX549" t="str">
        <f>IFERROR(VLOOKUP(AW549,tbFactorMes,2,FALSE),"")</f>
        <v/>
      </c>
      <c r="AY549">
        <f t="shared" si="121"/>
        <v>0</v>
      </c>
      <c r="BB549" t="str">
        <f>IFERROR(VLOOKUP(BA549,tbFactorMes,2,FALSE),"")</f>
        <v/>
      </c>
      <c r="BC549">
        <f t="shared" si="122"/>
        <v>0</v>
      </c>
      <c r="BF549" t="str">
        <f>IFERROR(VLOOKUP(BE549,tbFactorMes,2,FALSE),"")</f>
        <v/>
      </c>
      <c r="BG549">
        <f t="shared" si="123"/>
        <v>0</v>
      </c>
      <c r="BH549">
        <f t="shared" si="124"/>
        <v>0</v>
      </c>
      <c r="BI549">
        <f t="shared" si="125"/>
        <v>0</v>
      </c>
    </row>
    <row r="550" spans="11:61" x14ac:dyDescent="0.35">
      <c r="K550" t="str">
        <f>IFERROR(VLOOKUP(F550,tbTurnos,3,FALSE),"")</f>
        <v/>
      </c>
      <c r="N550" t="str">
        <f>IFERROR(VLOOKUP(M550,tbFactorMes,2,FALSE),"")</f>
        <v/>
      </c>
      <c r="O550">
        <f t="shared" si="112"/>
        <v>0</v>
      </c>
      <c r="R550" t="str">
        <f>IFERROR(VLOOKUP(Q550,tbFactorMes,2,FALSE),"")</f>
        <v/>
      </c>
      <c r="S550">
        <f t="shared" si="113"/>
        <v>0</v>
      </c>
      <c r="V550" t="str">
        <f>IFERROR(VLOOKUP(U550,tbFactorMes,2,FALSE),"")</f>
        <v/>
      </c>
      <c r="W550">
        <f t="shared" si="114"/>
        <v>0</v>
      </c>
      <c r="Z550" t="str">
        <f>IFERROR(VLOOKUP(Y550,tbFactorMes,2,FALSE),"")</f>
        <v/>
      </c>
      <c r="AA550">
        <f t="shared" si="115"/>
        <v>0</v>
      </c>
      <c r="AD550" t="str">
        <f>IFERROR(VLOOKUP(AC550,tbFactorMes,2,FALSE),"")</f>
        <v/>
      </c>
      <c r="AE550">
        <f t="shared" si="116"/>
        <v>0</v>
      </c>
      <c r="AH550" t="str">
        <f>IFERROR(VLOOKUP(AG550,tbFactorMes,2,FALSE),"")</f>
        <v/>
      </c>
      <c r="AI550">
        <f t="shared" si="117"/>
        <v>0</v>
      </c>
      <c r="AL550" t="str">
        <f>IFERROR(VLOOKUP(AK550,tbFactorMes,2,FALSE),"")</f>
        <v/>
      </c>
      <c r="AM550">
        <f t="shared" si="118"/>
        <v>0</v>
      </c>
      <c r="AP550" t="str">
        <f>IFERROR(VLOOKUP(AO550,tbFactorMes,2,FALSE),"")</f>
        <v/>
      </c>
      <c r="AQ550">
        <f t="shared" si="119"/>
        <v>0</v>
      </c>
      <c r="AT550" t="str">
        <f>IFERROR(VLOOKUP(AS550,tbFactorMes,2,FALSE),"")</f>
        <v/>
      </c>
      <c r="AU550">
        <f t="shared" si="120"/>
        <v>0</v>
      </c>
      <c r="AX550" t="str">
        <f>IFERROR(VLOOKUP(AW550,tbFactorMes,2,FALSE),"")</f>
        <v/>
      </c>
      <c r="AY550">
        <f t="shared" si="121"/>
        <v>0</v>
      </c>
      <c r="BB550" t="str">
        <f>IFERROR(VLOOKUP(BA550,tbFactorMes,2,FALSE),"")</f>
        <v/>
      </c>
      <c r="BC550">
        <f t="shared" si="122"/>
        <v>0</v>
      </c>
      <c r="BF550" t="str">
        <f>IFERROR(VLOOKUP(BE550,tbFactorMes,2,FALSE),"")</f>
        <v/>
      </c>
      <c r="BG550">
        <f t="shared" si="123"/>
        <v>0</v>
      </c>
      <c r="BH550">
        <f t="shared" si="124"/>
        <v>0</v>
      </c>
      <c r="BI550">
        <f t="shared" si="125"/>
        <v>0</v>
      </c>
    </row>
    <row r="551" spans="11:61" x14ac:dyDescent="0.35">
      <c r="K551" t="str">
        <f>IFERROR(VLOOKUP(F551,tbTurnos,3,FALSE),"")</f>
        <v/>
      </c>
      <c r="N551" t="str">
        <f>IFERROR(VLOOKUP(M551,tbFactorMes,2,FALSE),"")</f>
        <v/>
      </c>
      <c r="O551">
        <f t="shared" si="112"/>
        <v>0</v>
      </c>
      <c r="R551" t="str">
        <f>IFERROR(VLOOKUP(Q551,tbFactorMes,2,FALSE),"")</f>
        <v/>
      </c>
      <c r="S551">
        <f t="shared" si="113"/>
        <v>0</v>
      </c>
      <c r="V551" t="str">
        <f>IFERROR(VLOOKUP(U551,tbFactorMes,2,FALSE),"")</f>
        <v/>
      </c>
      <c r="W551">
        <f t="shared" si="114"/>
        <v>0</v>
      </c>
      <c r="Z551" t="str">
        <f>IFERROR(VLOOKUP(Y551,tbFactorMes,2,FALSE),"")</f>
        <v/>
      </c>
      <c r="AA551">
        <f t="shared" si="115"/>
        <v>0</v>
      </c>
      <c r="AD551" t="str">
        <f>IFERROR(VLOOKUP(AC551,tbFactorMes,2,FALSE),"")</f>
        <v/>
      </c>
      <c r="AE551">
        <f t="shared" si="116"/>
        <v>0</v>
      </c>
      <c r="AH551" t="str">
        <f>IFERROR(VLOOKUP(AG551,tbFactorMes,2,FALSE),"")</f>
        <v/>
      </c>
      <c r="AI551">
        <f t="shared" si="117"/>
        <v>0</v>
      </c>
      <c r="AL551" t="str">
        <f>IFERROR(VLOOKUP(AK551,tbFactorMes,2,FALSE),"")</f>
        <v/>
      </c>
      <c r="AM551">
        <f t="shared" si="118"/>
        <v>0</v>
      </c>
      <c r="AP551" t="str">
        <f>IFERROR(VLOOKUP(AO551,tbFactorMes,2,FALSE),"")</f>
        <v/>
      </c>
      <c r="AQ551">
        <f t="shared" si="119"/>
        <v>0</v>
      </c>
      <c r="AT551" t="str">
        <f>IFERROR(VLOOKUP(AS551,tbFactorMes,2,FALSE),"")</f>
        <v/>
      </c>
      <c r="AU551">
        <f t="shared" si="120"/>
        <v>0</v>
      </c>
      <c r="AX551" t="str">
        <f>IFERROR(VLOOKUP(AW551,tbFactorMes,2,FALSE),"")</f>
        <v/>
      </c>
      <c r="AY551">
        <f t="shared" si="121"/>
        <v>0</v>
      </c>
      <c r="BB551" t="str">
        <f>IFERROR(VLOOKUP(BA551,tbFactorMes,2,FALSE),"")</f>
        <v/>
      </c>
      <c r="BC551">
        <f t="shared" si="122"/>
        <v>0</v>
      </c>
      <c r="BF551" t="str">
        <f>IFERROR(VLOOKUP(BE551,tbFactorMes,2,FALSE),"")</f>
        <v/>
      </c>
      <c r="BG551">
        <f t="shared" si="123"/>
        <v>0</v>
      </c>
      <c r="BH551">
        <f t="shared" si="124"/>
        <v>0</v>
      </c>
      <c r="BI551">
        <f t="shared" si="125"/>
        <v>0</v>
      </c>
    </row>
    <row r="552" spans="11:61" x14ac:dyDescent="0.35">
      <c r="K552" t="str">
        <f>IFERROR(VLOOKUP(F552,tbTurnos,3,FALSE),"")</f>
        <v/>
      </c>
      <c r="N552" t="str">
        <f>IFERROR(VLOOKUP(M552,tbFactorMes,2,FALSE),"")</f>
        <v/>
      </c>
      <c r="O552">
        <f t="shared" si="112"/>
        <v>0</v>
      </c>
      <c r="R552" t="str">
        <f>IFERROR(VLOOKUP(Q552,tbFactorMes,2,FALSE),"")</f>
        <v/>
      </c>
      <c r="S552">
        <f t="shared" si="113"/>
        <v>0</v>
      </c>
      <c r="V552" t="str">
        <f>IFERROR(VLOOKUP(U552,tbFactorMes,2,FALSE),"")</f>
        <v/>
      </c>
      <c r="W552">
        <f t="shared" si="114"/>
        <v>0</v>
      </c>
      <c r="Z552" t="str">
        <f>IFERROR(VLOOKUP(Y552,tbFactorMes,2,FALSE),"")</f>
        <v/>
      </c>
      <c r="AA552">
        <f t="shared" si="115"/>
        <v>0</v>
      </c>
      <c r="AD552" t="str">
        <f>IFERROR(VLOOKUP(AC552,tbFactorMes,2,FALSE),"")</f>
        <v/>
      </c>
      <c r="AE552">
        <f t="shared" si="116"/>
        <v>0</v>
      </c>
      <c r="AH552" t="str">
        <f>IFERROR(VLOOKUP(AG552,tbFactorMes,2,FALSE),"")</f>
        <v/>
      </c>
      <c r="AI552">
        <f t="shared" si="117"/>
        <v>0</v>
      </c>
      <c r="AL552" t="str">
        <f>IFERROR(VLOOKUP(AK552,tbFactorMes,2,FALSE),"")</f>
        <v/>
      </c>
      <c r="AM552">
        <f t="shared" si="118"/>
        <v>0</v>
      </c>
      <c r="AP552" t="str">
        <f>IFERROR(VLOOKUP(AO552,tbFactorMes,2,FALSE),"")</f>
        <v/>
      </c>
      <c r="AQ552">
        <f t="shared" si="119"/>
        <v>0</v>
      </c>
      <c r="AT552" t="str">
        <f>IFERROR(VLOOKUP(AS552,tbFactorMes,2,FALSE),"")</f>
        <v/>
      </c>
      <c r="AU552">
        <f t="shared" si="120"/>
        <v>0</v>
      </c>
      <c r="AX552" t="str">
        <f>IFERROR(VLOOKUP(AW552,tbFactorMes,2,FALSE),"")</f>
        <v/>
      </c>
      <c r="AY552">
        <f t="shared" si="121"/>
        <v>0</v>
      </c>
      <c r="BB552" t="str">
        <f>IFERROR(VLOOKUP(BA552,tbFactorMes,2,FALSE),"")</f>
        <v/>
      </c>
      <c r="BC552">
        <f t="shared" si="122"/>
        <v>0</v>
      </c>
      <c r="BF552" t="str">
        <f>IFERROR(VLOOKUP(BE552,tbFactorMes,2,FALSE),"")</f>
        <v/>
      </c>
      <c r="BG552">
        <f t="shared" si="123"/>
        <v>0</v>
      </c>
      <c r="BH552">
        <f t="shared" si="124"/>
        <v>0</v>
      </c>
      <c r="BI552">
        <f t="shared" si="125"/>
        <v>0</v>
      </c>
    </row>
    <row r="553" spans="11:61" x14ac:dyDescent="0.35">
      <c r="K553" t="str">
        <f>IFERROR(VLOOKUP(F553,tbTurnos,3,FALSE),"")</f>
        <v/>
      </c>
      <c r="N553" t="str">
        <f>IFERROR(VLOOKUP(M553,tbFactorMes,2,FALSE),"")</f>
        <v/>
      </c>
      <c r="O553">
        <f t="shared" si="112"/>
        <v>0</v>
      </c>
      <c r="R553" t="str">
        <f>IFERROR(VLOOKUP(Q553,tbFactorMes,2,FALSE),"")</f>
        <v/>
      </c>
      <c r="S553">
        <f t="shared" si="113"/>
        <v>0</v>
      </c>
      <c r="V553" t="str">
        <f>IFERROR(VLOOKUP(U553,tbFactorMes,2,FALSE),"")</f>
        <v/>
      </c>
      <c r="W553">
        <f t="shared" si="114"/>
        <v>0</v>
      </c>
      <c r="Z553" t="str">
        <f>IFERROR(VLOOKUP(Y553,tbFactorMes,2,FALSE),"")</f>
        <v/>
      </c>
      <c r="AA553">
        <f t="shared" si="115"/>
        <v>0</v>
      </c>
      <c r="AD553" t="str">
        <f>IFERROR(VLOOKUP(AC553,tbFactorMes,2,FALSE),"")</f>
        <v/>
      </c>
      <c r="AE553">
        <f t="shared" si="116"/>
        <v>0</v>
      </c>
      <c r="AH553" t="str">
        <f>IFERROR(VLOOKUP(AG553,tbFactorMes,2,FALSE),"")</f>
        <v/>
      </c>
      <c r="AI553">
        <f t="shared" si="117"/>
        <v>0</v>
      </c>
      <c r="AL553" t="str">
        <f>IFERROR(VLOOKUP(AK553,tbFactorMes,2,FALSE),"")</f>
        <v/>
      </c>
      <c r="AM553">
        <f t="shared" si="118"/>
        <v>0</v>
      </c>
      <c r="AP553" t="str">
        <f>IFERROR(VLOOKUP(AO553,tbFactorMes,2,FALSE),"")</f>
        <v/>
      </c>
      <c r="AQ553">
        <f t="shared" si="119"/>
        <v>0</v>
      </c>
      <c r="AT553" t="str">
        <f>IFERROR(VLOOKUP(AS553,tbFactorMes,2,FALSE),"")</f>
        <v/>
      </c>
      <c r="AU553">
        <f t="shared" si="120"/>
        <v>0</v>
      </c>
      <c r="AX553" t="str">
        <f>IFERROR(VLOOKUP(AW553,tbFactorMes,2,FALSE),"")</f>
        <v/>
      </c>
      <c r="AY553">
        <f t="shared" si="121"/>
        <v>0</v>
      </c>
      <c r="BB553" t="str">
        <f>IFERROR(VLOOKUP(BA553,tbFactorMes,2,FALSE),"")</f>
        <v/>
      </c>
      <c r="BC553">
        <f t="shared" si="122"/>
        <v>0</v>
      </c>
      <c r="BF553" t="str">
        <f>IFERROR(VLOOKUP(BE553,tbFactorMes,2,FALSE),"")</f>
        <v/>
      </c>
      <c r="BG553">
        <f t="shared" si="123"/>
        <v>0</v>
      </c>
      <c r="BH553">
        <f t="shared" si="124"/>
        <v>0</v>
      </c>
      <c r="BI553">
        <f t="shared" si="125"/>
        <v>0</v>
      </c>
    </row>
    <row r="554" spans="11:61" x14ac:dyDescent="0.35">
      <c r="K554" t="str">
        <f>IFERROR(VLOOKUP(F554,tbTurnos,3,FALSE),"")</f>
        <v/>
      </c>
      <c r="N554" t="str">
        <f>IFERROR(VLOOKUP(M554,tbFactorMes,2,FALSE),"")</f>
        <v/>
      </c>
      <c r="O554">
        <f t="shared" si="112"/>
        <v>0</v>
      </c>
      <c r="R554" t="str">
        <f>IFERROR(VLOOKUP(Q554,tbFactorMes,2,FALSE),"")</f>
        <v/>
      </c>
      <c r="S554">
        <f t="shared" si="113"/>
        <v>0</v>
      </c>
      <c r="V554" t="str">
        <f>IFERROR(VLOOKUP(U554,tbFactorMes,2,FALSE),"")</f>
        <v/>
      </c>
      <c r="W554">
        <f t="shared" si="114"/>
        <v>0</v>
      </c>
      <c r="Z554" t="str">
        <f>IFERROR(VLOOKUP(Y554,tbFactorMes,2,FALSE),"")</f>
        <v/>
      </c>
      <c r="AA554">
        <f t="shared" si="115"/>
        <v>0</v>
      </c>
      <c r="AD554" t="str">
        <f>IFERROR(VLOOKUP(AC554,tbFactorMes,2,FALSE),"")</f>
        <v/>
      </c>
      <c r="AE554">
        <f t="shared" si="116"/>
        <v>0</v>
      </c>
      <c r="AH554" t="str">
        <f>IFERROR(VLOOKUP(AG554,tbFactorMes,2,FALSE),"")</f>
        <v/>
      </c>
      <c r="AI554">
        <f t="shared" si="117"/>
        <v>0</v>
      </c>
      <c r="AL554" t="str">
        <f>IFERROR(VLOOKUP(AK554,tbFactorMes,2,FALSE),"")</f>
        <v/>
      </c>
      <c r="AM554">
        <f t="shared" si="118"/>
        <v>0</v>
      </c>
      <c r="AP554" t="str">
        <f>IFERROR(VLOOKUP(AO554,tbFactorMes,2,FALSE),"")</f>
        <v/>
      </c>
      <c r="AQ554">
        <f t="shared" si="119"/>
        <v>0</v>
      </c>
      <c r="AT554" t="str">
        <f>IFERROR(VLOOKUP(AS554,tbFactorMes,2,FALSE),"")</f>
        <v/>
      </c>
      <c r="AU554">
        <f t="shared" si="120"/>
        <v>0</v>
      </c>
      <c r="AX554" t="str">
        <f>IFERROR(VLOOKUP(AW554,tbFactorMes,2,FALSE),"")</f>
        <v/>
      </c>
      <c r="AY554">
        <f t="shared" si="121"/>
        <v>0</v>
      </c>
      <c r="BB554" t="str">
        <f>IFERROR(VLOOKUP(BA554,tbFactorMes,2,FALSE),"")</f>
        <v/>
      </c>
      <c r="BC554">
        <f t="shared" si="122"/>
        <v>0</v>
      </c>
      <c r="BF554" t="str">
        <f>IFERROR(VLOOKUP(BE554,tbFactorMes,2,FALSE),"")</f>
        <v/>
      </c>
      <c r="BG554">
        <f t="shared" si="123"/>
        <v>0</v>
      </c>
      <c r="BH554">
        <f t="shared" si="124"/>
        <v>0</v>
      </c>
      <c r="BI554">
        <f t="shared" si="125"/>
        <v>0</v>
      </c>
    </row>
    <row r="555" spans="11:61" x14ac:dyDescent="0.35">
      <c r="K555" t="str">
        <f>IFERROR(VLOOKUP(F555,tbTurnos,3,FALSE),"")</f>
        <v/>
      </c>
      <c r="N555" t="str">
        <f>IFERROR(VLOOKUP(M555,tbFactorMes,2,FALSE),"")</f>
        <v/>
      </c>
      <c r="O555">
        <f t="shared" si="112"/>
        <v>0</v>
      </c>
      <c r="R555" t="str">
        <f>IFERROR(VLOOKUP(Q555,tbFactorMes,2,FALSE),"")</f>
        <v/>
      </c>
      <c r="S555">
        <f t="shared" si="113"/>
        <v>0</v>
      </c>
      <c r="V555" t="str">
        <f>IFERROR(VLOOKUP(U555,tbFactorMes,2,FALSE),"")</f>
        <v/>
      </c>
      <c r="W555">
        <f t="shared" si="114"/>
        <v>0</v>
      </c>
      <c r="Z555" t="str">
        <f>IFERROR(VLOOKUP(Y555,tbFactorMes,2,FALSE),"")</f>
        <v/>
      </c>
      <c r="AA555">
        <f t="shared" si="115"/>
        <v>0</v>
      </c>
      <c r="AD555" t="str">
        <f>IFERROR(VLOOKUP(AC555,tbFactorMes,2,FALSE),"")</f>
        <v/>
      </c>
      <c r="AE555">
        <f t="shared" si="116"/>
        <v>0</v>
      </c>
      <c r="AH555" t="str">
        <f>IFERROR(VLOOKUP(AG555,tbFactorMes,2,FALSE),"")</f>
        <v/>
      </c>
      <c r="AI555">
        <f t="shared" si="117"/>
        <v>0</v>
      </c>
      <c r="AL555" t="str">
        <f>IFERROR(VLOOKUP(AK555,tbFactorMes,2,FALSE),"")</f>
        <v/>
      </c>
      <c r="AM555">
        <f t="shared" si="118"/>
        <v>0</v>
      </c>
      <c r="AP555" t="str">
        <f>IFERROR(VLOOKUP(AO555,tbFactorMes,2,FALSE),"")</f>
        <v/>
      </c>
      <c r="AQ555">
        <f t="shared" si="119"/>
        <v>0</v>
      </c>
      <c r="AT555" t="str">
        <f>IFERROR(VLOOKUP(AS555,tbFactorMes,2,FALSE),"")</f>
        <v/>
      </c>
      <c r="AU555">
        <f t="shared" si="120"/>
        <v>0</v>
      </c>
      <c r="AX555" t="str">
        <f>IFERROR(VLOOKUP(AW555,tbFactorMes,2,FALSE),"")</f>
        <v/>
      </c>
      <c r="AY555">
        <f t="shared" si="121"/>
        <v>0</v>
      </c>
      <c r="BB555" t="str">
        <f>IFERROR(VLOOKUP(BA555,tbFactorMes,2,FALSE),"")</f>
        <v/>
      </c>
      <c r="BC555">
        <f t="shared" si="122"/>
        <v>0</v>
      </c>
      <c r="BF555" t="str">
        <f>IFERROR(VLOOKUP(BE555,tbFactorMes,2,FALSE),"")</f>
        <v/>
      </c>
      <c r="BG555">
        <f t="shared" si="123"/>
        <v>0</v>
      </c>
      <c r="BH555">
        <f t="shared" si="124"/>
        <v>0</v>
      </c>
      <c r="BI555">
        <f t="shared" si="125"/>
        <v>0</v>
      </c>
    </row>
    <row r="556" spans="11:61" x14ac:dyDescent="0.35">
      <c r="K556" t="str">
        <f>IFERROR(VLOOKUP(F556,tbTurnos,3,FALSE),"")</f>
        <v/>
      </c>
      <c r="N556" t="str">
        <f>IFERROR(VLOOKUP(M556,tbFactorMes,2,FALSE),"")</f>
        <v/>
      </c>
      <c r="O556">
        <f t="shared" si="112"/>
        <v>0</v>
      </c>
      <c r="R556" t="str">
        <f>IFERROR(VLOOKUP(Q556,tbFactorMes,2,FALSE),"")</f>
        <v/>
      </c>
      <c r="S556">
        <f t="shared" si="113"/>
        <v>0</v>
      </c>
      <c r="V556" t="str">
        <f>IFERROR(VLOOKUP(U556,tbFactorMes,2,FALSE),"")</f>
        <v/>
      </c>
      <c r="W556">
        <f t="shared" si="114"/>
        <v>0</v>
      </c>
      <c r="Z556" t="str">
        <f>IFERROR(VLOOKUP(Y556,tbFactorMes,2,FALSE),"")</f>
        <v/>
      </c>
      <c r="AA556">
        <f t="shared" si="115"/>
        <v>0</v>
      </c>
      <c r="AD556" t="str">
        <f>IFERROR(VLOOKUP(AC556,tbFactorMes,2,FALSE),"")</f>
        <v/>
      </c>
      <c r="AE556">
        <f t="shared" si="116"/>
        <v>0</v>
      </c>
      <c r="AH556" t="str">
        <f>IFERROR(VLOOKUP(AG556,tbFactorMes,2,FALSE),"")</f>
        <v/>
      </c>
      <c r="AI556">
        <f t="shared" si="117"/>
        <v>0</v>
      </c>
      <c r="AL556" t="str">
        <f>IFERROR(VLOOKUP(AK556,tbFactorMes,2,FALSE),"")</f>
        <v/>
      </c>
      <c r="AM556">
        <f t="shared" si="118"/>
        <v>0</v>
      </c>
      <c r="AP556" t="str">
        <f>IFERROR(VLOOKUP(AO556,tbFactorMes,2,FALSE),"")</f>
        <v/>
      </c>
      <c r="AQ556">
        <f t="shared" si="119"/>
        <v>0</v>
      </c>
      <c r="AT556" t="str">
        <f>IFERROR(VLOOKUP(AS556,tbFactorMes,2,FALSE),"")</f>
        <v/>
      </c>
      <c r="AU556">
        <f t="shared" si="120"/>
        <v>0</v>
      </c>
      <c r="AX556" t="str">
        <f>IFERROR(VLOOKUP(AW556,tbFactorMes,2,FALSE),"")</f>
        <v/>
      </c>
      <c r="AY556">
        <f t="shared" si="121"/>
        <v>0</v>
      </c>
      <c r="BB556" t="str">
        <f>IFERROR(VLOOKUP(BA556,tbFactorMes,2,FALSE),"")</f>
        <v/>
      </c>
      <c r="BC556">
        <f t="shared" si="122"/>
        <v>0</v>
      </c>
      <c r="BF556" t="str">
        <f>IFERROR(VLOOKUP(BE556,tbFactorMes,2,FALSE),"")</f>
        <v/>
      </c>
      <c r="BG556">
        <f t="shared" si="123"/>
        <v>0</v>
      </c>
      <c r="BH556">
        <f t="shared" si="124"/>
        <v>0</v>
      </c>
      <c r="BI556">
        <f t="shared" si="125"/>
        <v>0</v>
      </c>
    </row>
    <row r="557" spans="11:61" x14ac:dyDescent="0.35">
      <c r="K557" t="str">
        <f>IFERROR(VLOOKUP(F557,tbTurnos,3,FALSE),"")</f>
        <v/>
      </c>
      <c r="N557" t="str">
        <f>IFERROR(VLOOKUP(M557,tbFactorMes,2,FALSE),"")</f>
        <v/>
      </c>
      <c r="O557">
        <f t="shared" si="112"/>
        <v>0</v>
      </c>
      <c r="R557" t="str">
        <f>IFERROR(VLOOKUP(Q557,tbFactorMes,2,FALSE),"")</f>
        <v/>
      </c>
      <c r="S557">
        <f t="shared" si="113"/>
        <v>0</v>
      </c>
      <c r="V557" t="str">
        <f>IFERROR(VLOOKUP(U557,tbFactorMes,2,FALSE),"")</f>
        <v/>
      </c>
      <c r="W557">
        <f t="shared" si="114"/>
        <v>0</v>
      </c>
      <c r="Z557" t="str">
        <f>IFERROR(VLOOKUP(Y557,tbFactorMes,2,FALSE),"")</f>
        <v/>
      </c>
      <c r="AA557">
        <f t="shared" si="115"/>
        <v>0</v>
      </c>
      <c r="AD557" t="str">
        <f>IFERROR(VLOOKUP(AC557,tbFactorMes,2,FALSE),"")</f>
        <v/>
      </c>
      <c r="AE557">
        <f t="shared" si="116"/>
        <v>0</v>
      </c>
      <c r="AH557" t="str">
        <f>IFERROR(VLOOKUP(AG557,tbFactorMes,2,FALSE),"")</f>
        <v/>
      </c>
      <c r="AI557">
        <f t="shared" si="117"/>
        <v>0</v>
      </c>
      <c r="AL557" t="str">
        <f>IFERROR(VLOOKUP(AK557,tbFactorMes,2,FALSE),"")</f>
        <v/>
      </c>
      <c r="AM557">
        <f t="shared" si="118"/>
        <v>0</v>
      </c>
      <c r="AP557" t="str">
        <f>IFERROR(VLOOKUP(AO557,tbFactorMes,2,FALSE),"")</f>
        <v/>
      </c>
      <c r="AQ557">
        <f t="shared" si="119"/>
        <v>0</v>
      </c>
      <c r="AT557" t="str">
        <f>IFERROR(VLOOKUP(AS557,tbFactorMes,2,FALSE),"")</f>
        <v/>
      </c>
      <c r="AU557">
        <f t="shared" si="120"/>
        <v>0</v>
      </c>
      <c r="AX557" t="str">
        <f>IFERROR(VLOOKUP(AW557,tbFactorMes,2,FALSE),"")</f>
        <v/>
      </c>
      <c r="AY557">
        <f t="shared" si="121"/>
        <v>0</v>
      </c>
      <c r="BB557" t="str">
        <f>IFERROR(VLOOKUP(BA557,tbFactorMes,2,FALSE),"")</f>
        <v/>
      </c>
      <c r="BC557">
        <f t="shared" si="122"/>
        <v>0</v>
      </c>
      <c r="BF557" t="str">
        <f>IFERROR(VLOOKUP(BE557,tbFactorMes,2,FALSE),"")</f>
        <v/>
      </c>
      <c r="BG557">
        <f t="shared" si="123"/>
        <v>0</v>
      </c>
      <c r="BH557">
        <f t="shared" si="124"/>
        <v>0</v>
      </c>
      <c r="BI557">
        <f t="shared" si="125"/>
        <v>0</v>
      </c>
    </row>
    <row r="558" spans="11:61" x14ac:dyDescent="0.35">
      <c r="K558" t="str">
        <f>IFERROR(VLOOKUP(F558,tbTurnos,3,FALSE),"")</f>
        <v/>
      </c>
      <c r="N558" t="str">
        <f>IFERROR(VLOOKUP(M558,tbFactorMes,2,FALSE),"")</f>
        <v/>
      </c>
      <c r="O558">
        <f t="shared" si="112"/>
        <v>0</v>
      </c>
      <c r="R558" t="str">
        <f>IFERROR(VLOOKUP(Q558,tbFactorMes,2,FALSE),"")</f>
        <v/>
      </c>
      <c r="S558">
        <f t="shared" si="113"/>
        <v>0</v>
      </c>
      <c r="V558" t="str">
        <f>IFERROR(VLOOKUP(U558,tbFactorMes,2,FALSE),"")</f>
        <v/>
      </c>
      <c r="W558">
        <f t="shared" si="114"/>
        <v>0</v>
      </c>
      <c r="Z558" t="str">
        <f>IFERROR(VLOOKUP(Y558,tbFactorMes,2,FALSE),"")</f>
        <v/>
      </c>
      <c r="AA558">
        <f t="shared" si="115"/>
        <v>0</v>
      </c>
      <c r="AD558" t="str">
        <f>IFERROR(VLOOKUP(AC558,tbFactorMes,2,FALSE),"")</f>
        <v/>
      </c>
      <c r="AE558">
        <f t="shared" si="116"/>
        <v>0</v>
      </c>
      <c r="AH558" t="str">
        <f>IFERROR(VLOOKUP(AG558,tbFactorMes,2,FALSE),"")</f>
        <v/>
      </c>
      <c r="AI558">
        <f t="shared" si="117"/>
        <v>0</v>
      </c>
      <c r="AL558" t="str">
        <f>IFERROR(VLOOKUP(AK558,tbFactorMes,2,FALSE),"")</f>
        <v/>
      </c>
      <c r="AM558">
        <f t="shared" si="118"/>
        <v>0</v>
      </c>
      <c r="AP558" t="str">
        <f>IFERROR(VLOOKUP(AO558,tbFactorMes,2,FALSE),"")</f>
        <v/>
      </c>
      <c r="AQ558">
        <f t="shared" si="119"/>
        <v>0</v>
      </c>
      <c r="AT558" t="str">
        <f>IFERROR(VLOOKUP(AS558,tbFactorMes,2,FALSE),"")</f>
        <v/>
      </c>
      <c r="AU558">
        <f t="shared" si="120"/>
        <v>0</v>
      </c>
      <c r="AX558" t="str">
        <f>IFERROR(VLOOKUP(AW558,tbFactorMes,2,FALSE),"")</f>
        <v/>
      </c>
      <c r="AY558">
        <f t="shared" si="121"/>
        <v>0</v>
      </c>
      <c r="BB558" t="str">
        <f>IFERROR(VLOOKUP(BA558,tbFactorMes,2,FALSE),"")</f>
        <v/>
      </c>
      <c r="BC558">
        <f t="shared" si="122"/>
        <v>0</v>
      </c>
      <c r="BF558" t="str">
        <f>IFERROR(VLOOKUP(BE558,tbFactorMes,2,FALSE),"")</f>
        <v/>
      </c>
      <c r="BG558">
        <f t="shared" si="123"/>
        <v>0</v>
      </c>
      <c r="BH558">
        <f t="shared" si="124"/>
        <v>0</v>
      </c>
      <c r="BI558">
        <f t="shared" si="125"/>
        <v>0</v>
      </c>
    </row>
    <row r="559" spans="11:61" x14ac:dyDescent="0.35">
      <c r="K559" t="str">
        <f>IFERROR(VLOOKUP(F559,tbTurnos,3,FALSE),"")</f>
        <v/>
      </c>
      <c r="N559" t="str">
        <f>IFERROR(VLOOKUP(M559,tbFactorMes,2,FALSE),"")</f>
        <v/>
      </c>
      <c r="O559">
        <f t="shared" si="112"/>
        <v>0</v>
      </c>
      <c r="R559" t="str">
        <f>IFERROR(VLOOKUP(Q559,tbFactorMes,2,FALSE),"")</f>
        <v/>
      </c>
      <c r="S559">
        <f t="shared" si="113"/>
        <v>0</v>
      </c>
      <c r="V559" t="str">
        <f>IFERROR(VLOOKUP(U559,tbFactorMes,2,FALSE),"")</f>
        <v/>
      </c>
      <c r="W559">
        <f t="shared" si="114"/>
        <v>0</v>
      </c>
      <c r="Z559" t="str">
        <f>IFERROR(VLOOKUP(Y559,tbFactorMes,2,FALSE),"")</f>
        <v/>
      </c>
      <c r="AA559">
        <f t="shared" si="115"/>
        <v>0</v>
      </c>
      <c r="AD559" t="str">
        <f>IFERROR(VLOOKUP(AC559,tbFactorMes,2,FALSE),"")</f>
        <v/>
      </c>
      <c r="AE559">
        <f t="shared" si="116"/>
        <v>0</v>
      </c>
      <c r="AH559" t="str">
        <f>IFERROR(VLOOKUP(AG559,tbFactorMes,2,FALSE),"")</f>
        <v/>
      </c>
      <c r="AI559">
        <f t="shared" si="117"/>
        <v>0</v>
      </c>
      <c r="AL559" t="str">
        <f>IFERROR(VLOOKUP(AK559,tbFactorMes,2,FALSE),"")</f>
        <v/>
      </c>
      <c r="AM559">
        <f t="shared" si="118"/>
        <v>0</v>
      </c>
      <c r="AP559" t="str">
        <f>IFERROR(VLOOKUP(AO559,tbFactorMes,2,FALSE),"")</f>
        <v/>
      </c>
      <c r="AQ559">
        <f t="shared" si="119"/>
        <v>0</v>
      </c>
      <c r="AT559" t="str">
        <f>IFERROR(VLOOKUP(AS559,tbFactorMes,2,FALSE),"")</f>
        <v/>
      </c>
      <c r="AU559">
        <f t="shared" si="120"/>
        <v>0</v>
      </c>
      <c r="AX559" t="str">
        <f>IFERROR(VLOOKUP(AW559,tbFactorMes,2,FALSE),"")</f>
        <v/>
      </c>
      <c r="AY559">
        <f t="shared" si="121"/>
        <v>0</v>
      </c>
      <c r="BB559" t="str">
        <f>IFERROR(VLOOKUP(BA559,tbFactorMes,2,FALSE),"")</f>
        <v/>
      </c>
      <c r="BC559">
        <f t="shared" si="122"/>
        <v>0</v>
      </c>
      <c r="BF559" t="str">
        <f>IFERROR(VLOOKUP(BE559,tbFactorMes,2,FALSE),"")</f>
        <v/>
      </c>
      <c r="BG559">
        <f t="shared" si="123"/>
        <v>0</v>
      </c>
      <c r="BH559">
        <f t="shared" si="124"/>
        <v>0</v>
      </c>
      <c r="BI559">
        <f t="shared" si="125"/>
        <v>0</v>
      </c>
    </row>
    <row r="560" spans="11:61" x14ac:dyDescent="0.35">
      <c r="K560" t="str">
        <f>IFERROR(VLOOKUP(F560,tbTurnos,3,FALSE),"")</f>
        <v/>
      </c>
      <c r="N560" t="str">
        <f>IFERROR(VLOOKUP(M560,tbFactorMes,2,FALSE),"")</f>
        <v/>
      </c>
      <c r="O560">
        <f t="shared" si="112"/>
        <v>0</v>
      </c>
      <c r="R560" t="str">
        <f>IFERROR(VLOOKUP(Q560,tbFactorMes,2,FALSE),"")</f>
        <v/>
      </c>
      <c r="S560">
        <f t="shared" si="113"/>
        <v>0</v>
      </c>
      <c r="V560" t="str">
        <f>IFERROR(VLOOKUP(U560,tbFactorMes,2,FALSE),"")</f>
        <v/>
      </c>
      <c r="W560">
        <f t="shared" si="114"/>
        <v>0</v>
      </c>
      <c r="Z560" t="str">
        <f>IFERROR(VLOOKUP(Y560,tbFactorMes,2,FALSE),"")</f>
        <v/>
      </c>
      <c r="AA560">
        <f t="shared" si="115"/>
        <v>0</v>
      </c>
      <c r="AD560" t="str">
        <f>IFERROR(VLOOKUP(AC560,tbFactorMes,2,FALSE),"")</f>
        <v/>
      </c>
      <c r="AE560">
        <f t="shared" si="116"/>
        <v>0</v>
      </c>
      <c r="AH560" t="str">
        <f>IFERROR(VLOOKUP(AG560,tbFactorMes,2,FALSE),"")</f>
        <v/>
      </c>
      <c r="AI560">
        <f t="shared" si="117"/>
        <v>0</v>
      </c>
      <c r="AL560" t="str">
        <f>IFERROR(VLOOKUP(AK560,tbFactorMes,2,FALSE),"")</f>
        <v/>
      </c>
      <c r="AM560">
        <f t="shared" si="118"/>
        <v>0</v>
      </c>
      <c r="AP560" t="str">
        <f>IFERROR(VLOOKUP(AO560,tbFactorMes,2,FALSE),"")</f>
        <v/>
      </c>
      <c r="AQ560">
        <f t="shared" si="119"/>
        <v>0</v>
      </c>
      <c r="AT560" t="str">
        <f>IFERROR(VLOOKUP(AS560,tbFactorMes,2,FALSE),"")</f>
        <v/>
      </c>
      <c r="AU560">
        <f t="shared" si="120"/>
        <v>0</v>
      </c>
      <c r="AX560" t="str">
        <f>IFERROR(VLOOKUP(AW560,tbFactorMes,2,FALSE),"")</f>
        <v/>
      </c>
      <c r="AY560">
        <f t="shared" si="121"/>
        <v>0</v>
      </c>
      <c r="BB560" t="str">
        <f>IFERROR(VLOOKUP(BA560,tbFactorMes,2,FALSE),"")</f>
        <v/>
      </c>
      <c r="BC560">
        <f t="shared" si="122"/>
        <v>0</v>
      </c>
      <c r="BF560" t="str">
        <f>IFERROR(VLOOKUP(BE560,tbFactorMes,2,FALSE),"")</f>
        <v/>
      </c>
      <c r="BG560">
        <f t="shared" si="123"/>
        <v>0</v>
      </c>
      <c r="BH560">
        <f t="shared" si="124"/>
        <v>0</v>
      </c>
      <c r="BI560">
        <f t="shared" si="125"/>
        <v>0</v>
      </c>
    </row>
    <row r="561" spans="11:61" x14ac:dyDescent="0.35">
      <c r="K561" t="str">
        <f>IFERROR(VLOOKUP(F561,tbTurnos,3,FALSE),"")</f>
        <v/>
      </c>
      <c r="N561" t="str">
        <f>IFERROR(VLOOKUP(M561,tbFactorMes,2,FALSE),"")</f>
        <v/>
      </c>
      <c r="O561">
        <f t="shared" si="112"/>
        <v>0</v>
      </c>
      <c r="R561" t="str">
        <f>IFERROR(VLOOKUP(Q561,tbFactorMes,2,FALSE),"")</f>
        <v/>
      </c>
      <c r="S561">
        <f t="shared" si="113"/>
        <v>0</v>
      </c>
      <c r="V561" t="str">
        <f>IFERROR(VLOOKUP(U561,tbFactorMes,2,FALSE),"")</f>
        <v/>
      </c>
      <c r="W561">
        <f t="shared" si="114"/>
        <v>0</v>
      </c>
      <c r="Z561" t="str">
        <f>IFERROR(VLOOKUP(Y561,tbFactorMes,2,FALSE),"")</f>
        <v/>
      </c>
      <c r="AA561">
        <f t="shared" si="115"/>
        <v>0</v>
      </c>
      <c r="AD561" t="str">
        <f>IFERROR(VLOOKUP(AC561,tbFactorMes,2,FALSE),"")</f>
        <v/>
      </c>
      <c r="AE561">
        <f t="shared" si="116"/>
        <v>0</v>
      </c>
      <c r="AH561" t="str">
        <f>IFERROR(VLOOKUP(AG561,tbFactorMes,2,FALSE),"")</f>
        <v/>
      </c>
      <c r="AI561">
        <f t="shared" si="117"/>
        <v>0</v>
      </c>
      <c r="AL561" t="str">
        <f>IFERROR(VLOOKUP(AK561,tbFactorMes,2,FALSE),"")</f>
        <v/>
      </c>
      <c r="AM561">
        <f t="shared" si="118"/>
        <v>0</v>
      </c>
      <c r="AP561" t="str">
        <f>IFERROR(VLOOKUP(AO561,tbFactorMes,2,FALSE),"")</f>
        <v/>
      </c>
      <c r="AQ561">
        <f t="shared" si="119"/>
        <v>0</v>
      </c>
      <c r="AT561" t="str">
        <f>IFERROR(VLOOKUP(AS561,tbFactorMes,2,FALSE),"")</f>
        <v/>
      </c>
      <c r="AU561">
        <f t="shared" si="120"/>
        <v>0</v>
      </c>
      <c r="AX561" t="str">
        <f>IFERROR(VLOOKUP(AW561,tbFactorMes,2,FALSE),"")</f>
        <v/>
      </c>
      <c r="AY561">
        <f t="shared" si="121"/>
        <v>0</v>
      </c>
      <c r="BB561" t="str">
        <f>IFERROR(VLOOKUP(BA561,tbFactorMes,2,FALSE),"")</f>
        <v/>
      </c>
      <c r="BC561">
        <f t="shared" si="122"/>
        <v>0</v>
      </c>
      <c r="BF561" t="str">
        <f>IFERROR(VLOOKUP(BE561,tbFactorMes,2,FALSE),"")</f>
        <v/>
      </c>
      <c r="BG561">
        <f t="shared" si="123"/>
        <v>0</v>
      </c>
      <c r="BH561">
        <f t="shared" si="124"/>
        <v>0</v>
      </c>
      <c r="BI561">
        <f t="shared" si="125"/>
        <v>0</v>
      </c>
    </row>
    <row r="562" spans="11:61" x14ac:dyDescent="0.35">
      <c r="K562" t="str">
        <f>IFERROR(VLOOKUP(F562,tbTurnos,3,FALSE),"")</f>
        <v/>
      </c>
      <c r="N562" t="str">
        <f>IFERROR(VLOOKUP(M562,tbFactorMes,2,FALSE),"")</f>
        <v/>
      </c>
      <c r="O562">
        <f t="shared" si="112"/>
        <v>0</v>
      </c>
      <c r="R562" t="str">
        <f>IFERROR(VLOOKUP(Q562,tbFactorMes,2,FALSE),"")</f>
        <v/>
      </c>
      <c r="S562">
        <f t="shared" si="113"/>
        <v>0</v>
      </c>
      <c r="V562" t="str">
        <f>IFERROR(VLOOKUP(U562,tbFactorMes,2,FALSE),"")</f>
        <v/>
      </c>
      <c r="W562">
        <f t="shared" si="114"/>
        <v>0</v>
      </c>
      <c r="Z562" t="str">
        <f>IFERROR(VLOOKUP(Y562,tbFactorMes,2,FALSE),"")</f>
        <v/>
      </c>
      <c r="AA562">
        <f t="shared" si="115"/>
        <v>0</v>
      </c>
      <c r="AD562" t="str">
        <f>IFERROR(VLOOKUP(AC562,tbFactorMes,2,FALSE),"")</f>
        <v/>
      </c>
      <c r="AE562">
        <f t="shared" si="116"/>
        <v>0</v>
      </c>
      <c r="AH562" t="str">
        <f>IFERROR(VLOOKUP(AG562,tbFactorMes,2,FALSE),"")</f>
        <v/>
      </c>
      <c r="AI562">
        <f t="shared" si="117"/>
        <v>0</v>
      </c>
      <c r="AL562" t="str">
        <f>IFERROR(VLOOKUP(AK562,tbFactorMes,2,FALSE),"")</f>
        <v/>
      </c>
      <c r="AM562">
        <f t="shared" si="118"/>
        <v>0</v>
      </c>
      <c r="AP562" t="str">
        <f>IFERROR(VLOOKUP(AO562,tbFactorMes,2,FALSE),"")</f>
        <v/>
      </c>
      <c r="AQ562">
        <f t="shared" si="119"/>
        <v>0</v>
      </c>
      <c r="AT562" t="str">
        <f>IFERROR(VLOOKUP(AS562,tbFactorMes,2,FALSE),"")</f>
        <v/>
      </c>
      <c r="AU562">
        <f t="shared" si="120"/>
        <v>0</v>
      </c>
      <c r="AX562" t="str">
        <f>IFERROR(VLOOKUP(AW562,tbFactorMes,2,FALSE),"")</f>
        <v/>
      </c>
      <c r="AY562">
        <f t="shared" si="121"/>
        <v>0</v>
      </c>
      <c r="BB562" t="str">
        <f>IFERROR(VLOOKUP(BA562,tbFactorMes,2,FALSE),"")</f>
        <v/>
      </c>
      <c r="BC562">
        <f t="shared" si="122"/>
        <v>0</v>
      </c>
      <c r="BF562" t="str">
        <f>IFERROR(VLOOKUP(BE562,tbFactorMes,2,FALSE),"")</f>
        <v/>
      </c>
      <c r="BG562">
        <f t="shared" si="123"/>
        <v>0</v>
      </c>
      <c r="BH562">
        <f t="shared" si="124"/>
        <v>0</v>
      </c>
      <c r="BI562">
        <f t="shared" si="125"/>
        <v>0</v>
      </c>
    </row>
    <row r="563" spans="11:61" x14ac:dyDescent="0.35">
      <c r="K563" t="str">
        <f>IFERROR(VLOOKUP(F563,tbTurnos,3,FALSE),"")</f>
        <v/>
      </c>
      <c r="N563" t="str">
        <f>IFERROR(VLOOKUP(M563,tbFactorMes,2,FALSE),"")</f>
        <v/>
      </c>
      <c r="O563">
        <f t="shared" si="112"/>
        <v>0</v>
      </c>
      <c r="R563" t="str">
        <f>IFERROR(VLOOKUP(Q563,tbFactorMes,2,FALSE),"")</f>
        <v/>
      </c>
      <c r="S563">
        <f t="shared" si="113"/>
        <v>0</v>
      </c>
      <c r="V563" t="str">
        <f>IFERROR(VLOOKUP(U563,tbFactorMes,2,FALSE),"")</f>
        <v/>
      </c>
      <c r="W563">
        <f t="shared" si="114"/>
        <v>0</v>
      </c>
      <c r="Z563" t="str">
        <f>IFERROR(VLOOKUP(Y563,tbFactorMes,2,FALSE),"")</f>
        <v/>
      </c>
      <c r="AA563">
        <f t="shared" si="115"/>
        <v>0</v>
      </c>
      <c r="AD563" t="str">
        <f>IFERROR(VLOOKUP(AC563,tbFactorMes,2,FALSE),"")</f>
        <v/>
      </c>
      <c r="AE563">
        <f t="shared" si="116"/>
        <v>0</v>
      </c>
      <c r="AH563" t="str">
        <f>IFERROR(VLOOKUP(AG563,tbFactorMes,2,FALSE),"")</f>
        <v/>
      </c>
      <c r="AI563">
        <f t="shared" si="117"/>
        <v>0</v>
      </c>
      <c r="AL563" t="str">
        <f>IFERROR(VLOOKUP(AK563,tbFactorMes,2,FALSE),"")</f>
        <v/>
      </c>
      <c r="AM563">
        <f t="shared" si="118"/>
        <v>0</v>
      </c>
      <c r="AP563" t="str">
        <f>IFERROR(VLOOKUP(AO563,tbFactorMes,2,FALSE),"")</f>
        <v/>
      </c>
      <c r="AQ563">
        <f t="shared" si="119"/>
        <v>0</v>
      </c>
      <c r="AT563" t="str">
        <f>IFERROR(VLOOKUP(AS563,tbFactorMes,2,FALSE),"")</f>
        <v/>
      </c>
      <c r="AU563">
        <f t="shared" si="120"/>
        <v>0</v>
      </c>
      <c r="AX563" t="str">
        <f>IFERROR(VLOOKUP(AW563,tbFactorMes,2,FALSE),"")</f>
        <v/>
      </c>
      <c r="AY563">
        <f t="shared" si="121"/>
        <v>0</v>
      </c>
      <c r="BB563" t="str">
        <f>IFERROR(VLOOKUP(BA563,tbFactorMes,2,FALSE),"")</f>
        <v/>
      </c>
      <c r="BC563">
        <f t="shared" si="122"/>
        <v>0</v>
      </c>
      <c r="BF563" t="str">
        <f>IFERROR(VLOOKUP(BE563,tbFactorMes,2,FALSE),"")</f>
        <v/>
      </c>
      <c r="BG563">
        <f t="shared" si="123"/>
        <v>0</v>
      </c>
      <c r="BH563">
        <f t="shared" si="124"/>
        <v>0</v>
      </c>
      <c r="BI563">
        <f t="shared" si="125"/>
        <v>0</v>
      </c>
    </row>
    <row r="564" spans="11:61" x14ac:dyDescent="0.35">
      <c r="K564" t="str">
        <f>IFERROR(VLOOKUP(F564,tbTurnos,3,FALSE),"")</f>
        <v/>
      </c>
      <c r="N564" t="str">
        <f>IFERROR(VLOOKUP(M564,tbFactorMes,2,FALSE),"")</f>
        <v/>
      </c>
      <c r="O564">
        <f t="shared" si="112"/>
        <v>0</v>
      </c>
      <c r="R564" t="str">
        <f>IFERROR(VLOOKUP(Q564,tbFactorMes,2,FALSE),"")</f>
        <v/>
      </c>
      <c r="S564">
        <f t="shared" si="113"/>
        <v>0</v>
      </c>
      <c r="V564" t="str">
        <f>IFERROR(VLOOKUP(U564,tbFactorMes,2,FALSE),"")</f>
        <v/>
      </c>
      <c r="W564">
        <f t="shared" si="114"/>
        <v>0</v>
      </c>
      <c r="Z564" t="str">
        <f>IFERROR(VLOOKUP(Y564,tbFactorMes,2,FALSE),"")</f>
        <v/>
      </c>
      <c r="AA564">
        <f t="shared" si="115"/>
        <v>0</v>
      </c>
      <c r="AD564" t="str">
        <f>IFERROR(VLOOKUP(AC564,tbFactorMes,2,FALSE),"")</f>
        <v/>
      </c>
      <c r="AE564">
        <f t="shared" si="116"/>
        <v>0</v>
      </c>
      <c r="AH564" t="str">
        <f>IFERROR(VLOOKUP(AG564,tbFactorMes,2,FALSE),"")</f>
        <v/>
      </c>
      <c r="AI564">
        <f t="shared" si="117"/>
        <v>0</v>
      </c>
      <c r="AL564" t="str">
        <f>IFERROR(VLOOKUP(AK564,tbFactorMes,2,FALSE),"")</f>
        <v/>
      </c>
      <c r="AM564">
        <f t="shared" si="118"/>
        <v>0</v>
      </c>
      <c r="AP564" t="str">
        <f>IFERROR(VLOOKUP(AO564,tbFactorMes,2,FALSE),"")</f>
        <v/>
      </c>
      <c r="AQ564">
        <f t="shared" si="119"/>
        <v>0</v>
      </c>
      <c r="AT564" t="str">
        <f>IFERROR(VLOOKUP(AS564,tbFactorMes,2,FALSE),"")</f>
        <v/>
      </c>
      <c r="AU564">
        <f t="shared" si="120"/>
        <v>0</v>
      </c>
      <c r="AX564" t="str">
        <f>IFERROR(VLOOKUP(AW564,tbFactorMes,2,FALSE),"")</f>
        <v/>
      </c>
      <c r="AY564">
        <f t="shared" si="121"/>
        <v>0</v>
      </c>
      <c r="BB564" t="str">
        <f>IFERROR(VLOOKUP(BA564,tbFactorMes,2,FALSE),"")</f>
        <v/>
      </c>
      <c r="BC564">
        <f t="shared" si="122"/>
        <v>0</v>
      </c>
      <c r="BF564" t="str">
        <f>IFERROR(VLOOKUP(BE564,tbFactorMes,2,FALSE),"")</f>
        <v/>
      </c>
      <c r="BG564">
        <f t="shared" si="123"/>
        <v>0</v>
      </c>
      <c r="BH564">
        <f t="shared" si="124"/>
        <v>0</v>
      </c>
      <c r="BI564">
        <f t="shared" si="125"/>
        <v>0</v>
      </c>
    </row>
    <row r="565" spans="11:61" x14ac:dyDescent="0.35">
      <c r="K565" t="str">
        <f>IFERROR(VLOOKUP(F565,tbTurnos,3,FALSE),"")</f>
        <v/>
      </c>
      <c r="N565" t="str">
        <f>IFERROR(VLOOKUP(M565,tbFactorMes,2,FALSE),"")</f>
        <v/>
      </c>
      <c r="O565">
        <f t="shared" si="112"/>
        <v>0</v>
      </c>
      <c r="R565" t="str">
        <f>IFERROR(VLOOKUP(Q565,tbFactorMes,2,FALSE),"")</f>
        <v/>
      </c>
      <c r="S565">
        <f t="shared" si="113"/>
        <v>0</v>
      </c>
      <c r="V565" t="str">
        <f>IFERROR(VLOOKUP(U565,tbFactorMes,2,FALSE),"")</f>
        <v/>
      </c>
      <c r="W565">
        <f t="shared" si="114"/>
        <v>0</v>
      </c>
      <c r="Z565" t="str">
        <f>IFERROR(VLOOKUP(Y565,tbFactorMes,2,FALSE),"")</f>
        <v/>
      </c>
      <c r="AA565">
        <f t="shared" si="115"/>
        <v>0</v>
      </c>
      <c r="AD565" t="str">
        <f>IFERROR(VLOOKUP(AC565,tbFactorMes,2,FALSE),"")</f>
        <v/>
      </c>
      <c r="AE565">
        <f t="shared" si="116"/>
        <v>0</v>
      </c>
      <c r="AH565" t="str">
        <f>IFERROR(VLOOKUP(AG565,tbFactorMes,2,FALSE),"")</f>
        <v/>
      </c>
      <c r="AI565">
        <f t="shared" si="117"/>
        <v>0</v>
      </c>
      <c r="AL565" t="str">
        <f>IFERROR(VLOOKUP(AK565,tbFactorMes,2,FALSE),"")</f>
        <v/>
      </c>
      <c r="AM565">
        <f t="shared" si="118"/>
        <v>0</v>
      </c>
      <c r="AP565" t="str">
        <f>IFERROR(VLOOKUP(AO565,tbFactorMes,2,FALSE),"")</f>
        <v/>
      </c>
      <c r="AQ565">
        <f t="shared" si="119"/>
        <v>0</v>
      </c>
      <c r="AT565" t="str">
        <f>IFERROR(VLOOKUP(AS565,tbFactorMes,2,FALSE),"")</f>
        <v/>
      </c>
      <c r="AU565">
        <f t="shared" si="120"/>
        <v>0</v>
      </c>
      <c r="AX565" t="str">
        <f>IFERROR(VLOOKUP(AW565,tbFactorMes,2,FALSE),"")</f>
        <v/>
      </c>
      <c r="AY565">
        <f t="shared" si="121"/>
        <v>0</v>
      </c>
      <c r="BB565" t="str">
        <f>IFERROR(VLOOKUP(BA565,tbFactorMes,2,FALSE),"")</f>
        <v/>
      </c>
      <c r="BC565">
        <f t="shared" si="122"/>
        <v>0</v>
      </c>
      <c r="BF565" t="str">
        <f>IFERROR(VLOOKUP(BE565,tbFactorMes,2,FALSE),"")</f>
        <v/>
      </c>
      <c r="BG565">
        <f t="shared" si="123"/>
        <v>0</v>
      </c>
      <c r="BH565">
        <f t="shared" si="124"/>
        <v>0</v>
      </c>
      <c r="BI565">
        <f t="shared" si="125"/>
        <v>0</v>
      </c>
    </row>
    <row r="566" spans="11:61" x14ac:dyDescent="0.35">
      <c r="K566" t="str">
        <f>IFERROR(VLOOKUP(F566,tbTurnos,3,FALSE),"")</f>
        <v/>
      </c>
      <c r="N566" t="str">
        <f>IFERROR(VLOOKUP(M566,tbFactorMes,2,FALSE),"")</f>
        <v/>
      </c>
      <c r="O566">
        <f t="shared" si="112"/>
        <v>0</v>
      </c>
      <c r="R566" t="str">
        <f>IFERROR(VLOOKUP(Q566,tbFactorMes,2,FALSE),"")</f>
        <v/>
      </c>
      <c r="S566">
        <f t="shared" si="113"/>
        <v>0</v>
      </c>
      <c r="V566" t="str">
        <f>IFERROR(VLOOKUP(U566,tbFactorMes,2,FALSE),"")</f>
        <v/>
      </c>
      <c r="W566">
        <f t="shared" si="114"/>
        <v>0</v>
      </c>
      <c r="Z566" t="str">
        <f>IFERROR(VLOOKUP(Y566,tbFactorMes,2,FALSE),"")</f>
        <v/>
      </c>
      <c r="AA566">
        <f t="shared" si="115"/>
        <v>0</v>
      </c>
      <c r="AD566" t="str">
        <f>IFERROR(VLOOKUP(AC566,tbFactorMes,2,FALSE),"")</f>
        <v/>
      </c>
      <c r="AE566">
        <f t="shared" si="116"/>
        <v>0</v>
      </c>
      <c r="AH566" t="str">
        <f>IFERROR(VLOOKUP(AG566,tbFactorMes,2,FALSE),"")</f>
        <v/>
      </c>
      <c r="AI566">
        <f t="shared" si="117"/>
        <v>0</v>
      </c>
      <c r="AL566" t="str">
        <f>IFERROR(VLOOKUP(AK566,tbFactorMes,2,FALSE),"")</f>
        <v/>
      </c>
      <c r="AM566">
        <f t="shared" si="118"/>
        <v>0</v>
      </c>
      <c r="AP566" t="str">
        <f>IFERROR(VLOOKUP(AO566,tbFactorMes,2,FALSE),"")</f>
        <v/>
      </c>
      <c r="AQ566">
        <f t="shared" si="119"/>
        <v>0</v>
      </c>
      <c r="AT566" t="str">
        <f>IFERROR(VLOOKUP(AS566,tbFactorMes,2,FALSE),"")</f>
        <v/>
      </c>
      <c r="AU566">
        <f t="shared" si="120"/>
        <v>0</v>
      </c>
      <c r="AX566" t="str">
        <f>IFERROR(VLOOKUP(AW566,tbFactorMes,2,FALSE),"")</f>
        <v/>
      </c>
      <c r="AY566">
        <f t="shared" si="121"/>
        <v>0</v>
      </c>
      <c r="BB566" t="str">
        <f>IFERROR(VLOOKUP(BA566,tbFactorMes,2,FALSE),"")</f>
        <v/>
      </c>
      <c r="BC566">
        <f t="shared" si="122"/>
        <v>0</v>
      </c>
      <c r="BF566" t="str">
        <f>IFERROR(VLOOKUP(BE566,tbFactorMes,2,FALSE),"")</f>
        <v/>
      </c>
      <c r="BG566">
        <f t="shared" si="123"/>
        <v>0</v>
      </c>
      <c r="BH566">
        <f t="shared" si="124"/>
        <v>0</v>
      </c>
      <c r="BI566">
        <f t="shared" si="125"/>
        <v>0</v>
      </c>
    </row>
    <row r="567" spans="11:61" x14ac:dyDescent="0.35">
      <c r="K567" t="str">
        <f>IFERROR(VLOOKUP(F567,tbTurnos,3,FALSE),"")</f>
        <v/>
      </c>
      <c r="N567" t="str">
        <f>IFERROR(VLOOKUP(M567,tbFactorMes,2,FALSE),"")</f>
        <v/>
      </c>
      <c r="O567">
        <f t="shared" si="112"/>
        <v>0</v>
      </c>
      <c r="R567" t="str">
        <f>IFERROR(VLOOKUP(Q567,tbFactorMes,2,FALSE),"")</f>
        <v/>
      </c>
      <c r="S567">
        <f t="shared" si="113"/>
        <v>0</v>
      </c>
      <c r="V567" t="str">
        <f>IFERROR(VLOOKUP(U567,tbFactorMes,2,FALSE),"")</f>
        <v/>
      </c>
      <c r="W567">
        <f t="shared" si="114"/>
        <v>0</v>
      </c>
      <c r="Z567" t="str">
        <f>IFERROR(VLOOKUP(Y567,tbFactorMes,2,FALSE),"")</f>
        <v/>
      </c>
      <c r="AA567">
        <f t="shared" si="115"/>
        <v>0</v>
      </c>
      <c r="AD567" t="str">
        <f>IFERROR(VLOOKUP(AC567,tbFactorMes,2,FALSE),"")</f>
        <v/>
      </c>
      <c r="AE567">
        <f t="shared" si="116"/>
        <v>0</v>
      </c>
      <c r="AH567" t="str">
        <f>IFERROR(VLOOKUP(AG567,tbFactorMes,2,FALSE),"")</f>
        <v/>
      </c>
      <c r="AI567">
        <f t="shared" si="117"/>
        <v>0</v>
      </c>
      <c r="AL567" t="str">
        <f>IFERROR(VLOOKUP(AK567,tbFactorMes,2,FALSE),"")</f>
        <v/>
      </c>
      <c r="AM567">
        <f t="shared" si="118"/>
        <v>0</v>
      </c>
      <c r="AP567" t="str">
        <f>IFERROR(VLOOKUP(AO567,tbFactorMes,2,FALSE),"")</f>
        <v/>
      </c>
      <c r="AQ567">
        <f t="shared" si="119"/>
        <v>0</v>
      </c>
      <c r="AT567" t="str">
        <f>IFERROR(VLOOKUP(AS567,tbFactorMes,2,FALSE),"")</f>
        <v/>
      </c>
      <c r="AU567">
        <f t="shared" si="120"/>
        <v>0</v>
      </c>
      <c r="AX567" t="str">
        <f>IFERROR(VLOOKUP(AW567,tbFactorMes,2,FALSE),"")</f>
        <v/>
      </c>
      <c r="AY567">
        <f t="shared" si="121"/>
        <v>0</v>
      </c>
      <c r="BB567" t="str">
        <f>IFERROR(VLOOKUP(BA567,tbFactorMes,2,FALSE),"")</f>
        <v/>
      </c>
      <c r="BC567">
        <f t="shared" si="122"/>
        <v>0</v>
      </c>
      <c r="BF567" t="str">
        <f>IFERROR(VLOOKUP(BE567,tbFactorMes,2,FALSE),"")</f>
        <v/>
      </c>
      <c r="BG567">
        <f t="shared" si="123"/>
        <v>0</v>
      </c>
      <c r="BH567">
        <f t="shared" si="124"/>
        <v>0</v>
      </c>
      <c r="BI567">
        <f t="shared" si="125"/>
        <v>0</v>
      </c>
    </row>
    <row r="568" spans="11:61" x14ac:dyDescent="0.35">
      <c r="K568" t="str">
        <f>IFERROR(VLOOKUP(F568,tbTurnos,3,FALSE),"")</f>
        <v/>
      </c>
      <c r="N568" t="str">
        <f>IFERROR(VLOOKUP(M568,tbFactorMes,2,FALSE),"")</f>
        <v/>
      </c>
      <c r="O568">
        <f t="shared" si="112"/>
        <v>0</v>
      </c>
      <c r="R568" t="str">
        <f>IFERROR(VLOOKUP(Q568,tbFactorMes,2,FALSE),"")</f>
        <v/>
      </c>
      <c r="S568">
        <f t="shared" si="113"/>
        <v>0</v>
      </c>
      <c r="V568" t="str">
        <f>IFERROR(VLOOKUP(U568,tbFactorMes,2,FALSE),"")</f>
        <v/>
      </c>
      <c r="W568">
        <f t="shared" si="114"/>
        <v>0</v>
      </c>
      <c r="Z568" t="str">
        <f>IFERROR(VLOOKUP(Y568,tbFactorMes,2,FALSE),"")</f>
        <v/>
      </c>
      <c r="AA568">
        <f t="shared" si="115"/>
        <v>0</v>
      </c>
      <c r="AD568" t="str">
        <f>IFERROR(VLOOKUP(AC568,tbFactorMes,2,FALSE),"")</f>
        <v/>
      </c>
      <c r="AE568">
        <f t="shared" si="116"/>
        <v>0</v>
      </c>
      <c r="AH568" t="str">
        <f>IFERROR(VLOOKUP(AG568,tbFactorMes,2,FALSE),"")</f>
        <v/>
      </c>
      <c r="AI568">
        <f t="shared" si="117"/>
        <v>0</v>
      </c>
      <c r="AL568" t="str">
        <f>IFERROR(VLOOKUP(AK568,tbFactorMes,2,FALSE),"")</f>
        <v/>
      </c>
      <c r="AM568">
        <f t="shared" si="118"/>
        <v>0</v>
      </c>
      <c r="AP568" t="str">
        <f>IFERROR(VLOOKUP(AO568,tbFactorMes,2,FALSE),"")</f>
        <v/>
      </c>
      <c r="AQ568">
        <f t="shared" si="119"/>
        <v>0</v>
      </c>
      <c r="AT568" t="str">
        <f>IFERROR(VLOOKUP(AS568,tbFactorMes,2,FALSE),"")</f>
        <v/>
      </c>
      <c r="AU568">
        <f t="shared" si="120"/>
        <v>0</v>
      </c>
      <c r="AX568" t="str">
        <f>IFERROR(VLOOKUP(AW568,tbFactorMes,2,FALSE),"")</f>
        <v/>
      </c>
      <c r="AY568">
        <f t="shared" si="121"/>
        <v>0</v>
      </c>
      <c r="BB568" t="str">
        <f>IFERROR(VLOOKUP(BA568,tbFactorMes,2,FALSE),"")</f>
        <v/>
      </c>
      <c r="BC568">
        <f t="shared" si="122"/>
        <v>0</v>
      </c>
      <c r="BF568" t="str">
        <f>IFERROR(VLOOKUP(BE568,tbFactorMes,2,FALSE),"")</f>
        <v/>
      </c>
      <c r="BG568">
        <f t="shared" si="123"/>
        <v>0</v>
      </c>
      <c r="BH568">
        <f t="shared" si="124"/>
        <v>0</v>
      </c>
      <c r="BI568">
        <f t="shared" si="125"/>
        <v>0</v>
      </c>
    </row>
    <row r="569" spans="11:61" x14ac:dyDescent="0.35">
      <c r="K569" t="str">
        <f>IFERROR(VLOOKUP(F569,tbTurnos,3,FALSE),"")</f>
        <v/>
      </c>
      <c r="N569" t="str">
        <f>IFERROR(VLOOKUP(M569,tbFactorMes,2,FALSE),"")</f>
        <v/>
      </c>
      <c r="O569">
        <f t="shared" si="112"/>
        <v>0</v>
      </c>
      <c r="R569" t="str">
        <f>IFERROR(VLOOKUP(Q569,tbFactorMes,2,FALSE),"")</f>
        <v/>
      </c>
      <c r="S569">
        <f t="shared" si="113"/>
        <v>0</v>
      </c>
      <c r="V569" t="str">
        <f>IFERROR(VLOOKUP(U569,tbFactorMes,2,FALSE),"")</f>
        <v/>
      </c>
      <c r="W569">
        <f t="shared" si="114"/>
        <v>0</v>
      </c>
      <c r="Z569" t="str">
        <f>IFERROR(VLOOKUP(Y569,tbFactorMes,2,FALSE),"")</f>
        <v/>
      </c>
      <c r="AA569">
        <f t="shared" si="115"/>
        <v>0</v>
      </c>
      <c r="AD569" t="str">
        <f>IFERROR(VLOOKUP(AC569,tbFactorMes,2,FALSE),"")</f>
        <v/>
      </c>
      <c r="AE569">
        <f t="shared" si="116"/>
        <v>0</v>
      </c>
      <c r="AH569" t="str">
        <f>IFERROR(VLOOKUP(AG569,tbFactorMes,2,FALSE),"")</f>
        <v/>
      </c>
      <c r="AI569">
        <f t="shared" si="117"/>
        <v>0</v>
      </c>
      <c r="AL569" t="str">
        <f>IFERROR(VLOOKUP(AK569,tbFactorMes,2,FALSE),"")</f>
        <v/>
      </c>
      <c r="AM569">
        <f t="shared" si="118"/>
        <v>0</v>
      </c>
      <c r="AP569" t="str">
        <f>IFERROR(VLOOKUP(AO569,tbFactorMes,2,FALSE),"")</f>
        <v/>
      </c>
      <c r="AQ569">
        <f t="shared" si="119"/>
        <v>0</v>
      </c>
      <c r="AT569" t="str">
        <f>IFERROR(VLOOKUP(AS569,tbFactorMes,2,FALSE),"")</f>
        <v/>
      </c>
      <c r="AU569">
        <f t="shared" si="120"/>
        <v>0</v>
      </c>
      <c r="AX569" t="str">
        <f>IFERROR(VLOOKUP(AW569,tbFactorMes,2,FALSE),"")</f>
        <v/>
      </c>
      <c r="AY569">
        <f t="shared" si="121"/>
        <v>0</v>
      </c>
      <c r="BB569" t="str">
        <f>IFERROR(VLOOKUP(BA569,tbFactorMes,2,FALSE),"")</f>
        <v/>
      </c>
      <c r="BC569">
        <f t="shared" si="122"/>
        <v>0</v>
      </c>
      <c r="BF569" t="str">
        <f>IFERROR(VLOOKUP(BE569,tbFactorMes,2,FALSE),"")</f>
        <v/>
      </c>
      <c r="BG569">
        <f t="shared" si="123"/>
        <v>0</v>
      </c>
      <c r="BH569">
        <f t="shared" si="124"/>
        <v>0</v>
      </c>
      <c r="BI569">
        <f t="shared" si="125"/>
        <v>0</v>
      </c>
    </row>
    <row r="570" spans="11:61" x14ac:dyDescent="0.35">
      <c r="K570" t="str">
        <f>IFERROR(VLOOKUP(F570,tbTurnos,3,FALSE),"")</f>
        <v/>
      </c>
      <c r="N570" t="str">
        <f>IFERROR(VLOOKUP(M570,tbFactorMes,2,FALSE),"")</f>
        <v/>
      </c>
      <c r="O570">
        <f t="shared" si="112"/>
        <v>0</v>
      </c>
      <c r="R570" t="str">
        <f>IFERROR(VLOOKUP(Q570,tbFactorMes,2,FALSE),"")</f>
        <v/>
      </c>
      <c r="S570">
        <f t="shared" si="113"/>
        <v>0</v>
      </c>
      <c r="V570" t="str">
        <f>IFERROR(VLOOKUP(U570,tbFactorMes,2,FALSE),"")</f>
        <v/>
      </c>
      <c r="W570">
        <f t="shared" si="114"/>
        <v>0</v>
      </c>
      <c r="Z570" t="str">
        <f>IFERROR(VLOOKUP(Y570,tbFactorMes,2,FALSE),"")</f>
        <v/>
      </c>
      <c r="AA570">
        <f t="shared" si="115"/>
        <v>0</v>
      </c>
      <c r="AD570" t="str">
        <f>IFERROR(VLOOKUP(AC570,tbFactorMes,2,FALSE),"")</f>
        <v/>
      </c>
      <c r="AE570">
        <f t="shared" si="116"/>
        <v>0</v>
      </c>
      <c r="AH570" t="str">
        <f>IFERROR(VLOOKUP(AG570,tbFactorMes,2,FALSE),"")</f>
        <v/>
      </c>
      <c r="AI570">
        <f t="shared" si="117"/>
        <v>0</v>
      </c>
      <c r="AL570" t="str">
        <f>IFERROR(VLOOKUP(AK570,tbFactorMes,2,FALSE),"")</f>
        <v/>
      </c>
      <c r="AM570">
        <f t="shared" si="118"/>
        <v>0</v>
      </c>
      <c r="AP570" t="str">
        <f>IFERROR(VLOOKUP(AO570,tbFactorMes,2,FALSE),"")</f>
        <v/>
      </c>
      <c r="AQ570">
        <f t="shared" si="119"/>
        <v>0</v>
      </c>
      <c r="AT570" t="str">
        <f>IFERROR(VLOOKUP(AS570,tbFactorMes,2,FALSE),"")</f>
        <v/>
      </c>
      <c r="AU570">
        <f t="shared" si="120"/>
        <v>0</v>
      </c>
      <c r="AX570" t="str">
        <f>IFERROR(VLOOKUP(AW570,tbFactorMes,2,FALSE),"")</f>
        <v/>
      </c>
      <c r="AY570">
        <f t="shared" si="121"/>
        <v>0</v>
      </c>
      <c r="BB570" t="str">
        <f>IFERROR(VLOOKUP(BA570,tbFactorMes,2,FALSE),"")</f>
        <v/>
      </c>
      <c r="BC570">
        <f t="shared" si="122"/>
        <v>0</v>
      </c>
      <c r="BF570" t="str">
        <f>IFERROR(VLOOKUP(BE570,tbFactorMes,2,FALSE),"")</f>
        <v/>
      </c>
      <c r="BG570">
        <f t="shared" si="123"/>
        <v>0</v>
      </c>
      <c r="BH570">
        <f t="shared" si="124"/>
        <v>0</v>
      </c>
      <c r="BI570">
        <f t="shared" si="125"/>
        <v>0</v>
      </c>
    </row>
    <row r="571" spans="11:61" x14ac:dyDescent="0.35">
      <c r="K571" t="str">
        <f>IFERROR(VLOOKUP(F571,tbTurnos,3,FALSE),"")</f>
        <v/>
      </c>
      <c r="N571" t="str">
        <f>IFERROR(VLOOKUP(M571,tbFactorMes,2,FALSE),"")</f>
        <v/>
      </c>
      <c r="O571">
        <f t="shared" si="112"/>
        <v>0</v>
      </c>
      <c r="R571" t="str">
        <f>IFERROR(VLOOKUP(Q571,tbFactorMes,2,FALSE),"")</f>
        <v/>
      </c>
      <c r="S571">
        <f t="shared" si="113"/>
        <v>0</v>
      </c>
      <c r="V571" t="str">
        <f>IFERROR(VLOOKUP(U571,tbFactorMes,2,FALSE),"")</f>
        <v/>
      </c>
      <c r="W571">
        <f t="shared" si="114"/>
        <v>0</v>
      </c>
      <c r="Z571" t="str">
        <f>IFERROR(VLOOKUP(Y571,tbFactorMes,2,FALSE),"")</f>
        <v/>
      </c>
      <c r="AA571">
        <f t="shared" si="115"/>
        <v>0</v>
      </c>
      <c r="AD571" t="str">
        <f>IFERROR(VLOOKUP(AC571,tbFactorMes,2,FALSE),"")</f>
        <v/>
      </c>
      <c r="AE571">
        <f t="shared" si="116"/>
        <v>0</v>
      </c>
      <c r="AH571" t="str">
        <f>IFERROR(VLOOKUP(AG571,tbFactorMes,2,FALSE),"")</f>
        <v/>
      </c>
      <c r="AI571">
        <f t="shared" si="117"/>
        <v>0</v>
      </c>
      <c r="AL571" t="str">
        <f>IFERROR(VLOOKUP(AK571,tbFactorMes,2,FALSE),"")</f>
        <v/>
      </c>
      <c r="AM571">
        <f t="shared" si="118"/>
        <v>0</v>
      </c>
      <c r="AP571" t="str">
        <f>IFERROR(VLOOKUP(AO571,tbFactorMes,2,FALSE),"")</f>
        <v/>
      </c>
      <c r="AQ571">
        <f t="shared" si="119"/>
        <v>0</v>
      </c>
      <c r="AT571" t="str">
        <f>IFERROR(VLOOKUP(AS571,tbFactorMes,2,FALSE),"")</f>
        <v/>
      </c>
      <c r="AU571">
        <f t="shared" si="120"/>
        <v>0</v>
      </c>
      <c r="AX571" t="str">
        <f>IFERROR(VLOOKUP(AW571,tbFactorMes,2,FALSE),"")</f>
        <v/>
      </c>
      <c r="AY571">
        <f t="shared" si="121"/>
        <v>0</v>
      </c>
      <c r="BB571" t="str">
        <f>IFERROR(VLOOKUP(BA571,tbFactorMes,2,FALSE),"")</f>
        <v/>
      </c>
      <c r="BC571">
        <f t="shared" si="122"/>
        <v>0</v>
      </c>
      <c r="BF571" t="str">
        <f>IFERROR(VLOOKUP(BE571,tbFactorMes,2,FALSE),"")</f>
        <v/>
      </c>
      <c r="BG571">
        <f t="shared" si="123"/>
        <v>0</v>
      </c>
      <c r="BH571">
        <f t="shared" si="124"/>
        <v>0</v>
      </c>
      <c r="BI571">
        <f t="shared" si="125"/>
        <v>0</v>
      </c>
    </row>
    <row r="572" spans="11:61" x14ac:dyDescent="0.35">
      <c r="K572" t="str">
        <f>IFERROR(VLOOKUP(F572,tbTurnos,3,FALSE),"")</f>
        <v/>
      </c>
      <c r="N572" t="str">
        <f>IFERROR(VLOOKUP(M572,tbFactorMes,2,FALSE),"")</f>
        <v/>
      </c>
      <c r="O572">
        <f t="shared" si="112"/>
        <v>0</v>
      </c>
      <c r="R572" t="str">
        <f>IFERROR(VLOOKUP(Q572,tbFactorMes,2,FALSE),"")</f>
        <v/>
      </c>
      <c r="S572">
        <f t="shared" si="113"/>
        <v>0</v>
      </c>
      <c r="V572" t="str">
        <f>IFERROR(VLOOKUP(U572,tbFactorMes,2,FALSE),"")</f>
        <v/>
      </c>
      <c r="W572">
        <f t="shared" si="114"/>
        <v>0</v>
      </c>
      <c r="Z572" t="str">
        <f>IFERROR(VLOOKUP(Y572,tbFactorMes,2,FALSE),"")</f>
        <v/>
      </c>
      <c r="AA572">
        <f t="shared" si="115"/>
        <v>0</v>
      </c>
      <c r="AD572" t="str">
        <f>IFERROR(VLOOKUP(AC572,tbFactorMes,2,FALSE),"")</f>
        <v/>
      </c>
      <c r="AE572">
        <f t="shared" si="116"/>
        <v>0</v>
      </c>
      <c r="AH572" t="str">
        <f>IFERROR(VLOOKUP(AG572,tbFactorMes,2,FALSE),"")</f>
        <v/>
      </c>
      <c r="AI572">
        <f t="shared" si="117"/>
        <v>0</v>
      </c>
      <c r="AL572" t="str">
        <f>IFERROR(VLOOKUP(AK572,tbFactorMes,2,FALSE),"")</f>
        <v/>
      </c>
      <c r="AM572">
        <f t="shared" si="118"/>
        <v>0</v>
      </c>
      <c r="AP572" t="str">
        <f>IFERROR(VLOOKUP(AO572,tbFactorMes,2,FALSE),"")</f>
        <v/>
      </c>
      <c r="AQ572">
        <f t="shared" si="119"/>
        <v>0</v>
      </c>
      <c r="AT572" t="str">
        <f>IFERROR(VLOOKUP(AS572,tbFactorMes,2,FALSE),"")</f>
        <v/>
      </c>
      <c r="AU572">
        <f t="shared" si="120"/>
        <v>0</v>
      </c>
      <c r="AX572" t="str">
        <f>IFERROR(VLOOKUP(AW572,tbFactorMes,2,FALSE),"")</f>
        <v/>
      </c>
      <c r="AY572">
        <f t="shared" si="121"/>
        <v>0</v>
      </c>
      <c r="BB572" t="str">
        <f>IFERROR(VLOOKUP(BA572,tbFactorMes,2,FALSE),"")</f>
        <v/>
      </c>
      <c r="BC572">
        <f t="shared" si="122"/>
        <v>0</v>
      </c>
      <c r="BF572" t="str">
        <f>IFERROR(VLOOKUP(BE572,tbFactorMes,2,FALSE),"")</f>
        <v/>
      </c>
      <c r="BG572">
        <f t="shared" si="123"/>
        <v>0</v>
      </c>
      <c r="BH572">
        <f t="shared" si="124"/>
        <v>0</v>
      </c>
      <c r="BI572">
        <f t="shared" si="125"/>
        <v>0</v>
      </c>
    </row>
    <row r="573" spans="11:61" x14ac:dyDescent="0.35">
      <c r="K573" t="str">
        <f>IFERROR(VLOOKUP(F573,tbTurnos,3,FALSE),"")</f>
        <v/>
      </c>
      <c r="N573" t="str">
        <f>IFERROR(VLOOKUP(M573,tbFactorMes,2,FALSE),"")</f>
        <v/>
      </c>
      <c r="O573">
        <f t="shared" si="112"/>
        <v>0</v>
      </c>
      <c r="R573" t="str">
        <f>IFERROR(VLOOKUP(Q573,tbFactorMes,2,FALSE),"")</f>
        <v/>
      </c>
      <c r="S573">
        <f t="shared" si="113"/>
        <v>0</v>
      </c>
      <c r="V573" t="str">
        <f>IFERROR(VLOOKUP(U573,tbFactorMes,2,FALSE),"")</f>
        <v/>
      </c>
      <c r="W573">
        <f t="shared" si="114"/>
        <v>0</v>
      </c>
      <c r="Z573" t="str">
        <f>IFERROR(VLOOKUP(Y573,tbFactorMes,2,FALSE),"")</f>
        <v/>
      </c>
      <c r="AA573">
        <f t="shared" si="115"/>
        <v>0</v>
      </c>
      <c r="AD573" t="str">
        <f>IFERROR(VLOOKUP(AC573,tbFactorMes,2,FALSE),"")</f>
        <v/>
      </c>
      <c r="AE573">
        <f t="shared" si="116"/>
        <v>0</v>
      </c>
      <c r="AH573" t="str">
        <f>IFERROR(VLOOKUP(AG573,tbFactorMes,2,FALSE),"")</f>
        <v/>
      </c>
      <c r="AI573">
        <f t="shared" si="117"/>
        <v>0</v>
      </c>
      <c r="AL573" t="str">
        <f>IFERROR(VLOOKUP(AK573,tbFactorMes,2,FALSE),"")</f>
        <v/>
      </c>
      <c r="AM573">
        <f t="shared" si="118"/>
        <v>0</v>
      </c>
      <c r="AP573" t="str">
        <f>IFERROR(VLOOKUP(AO573,tbFactorMes,2,FALSE),"")</f>
        <v/>
      </c>
      <c r="AQ573">
        <f t="shared" si="119"/>
        <v>0</v>
      </c>
      <c r="AT573" t="str">
        <f>IFERROR(VLOOKUP(AS573,tbFactorMes,2,FALSE),"")</f>
        <v/>
      </c>
      <c r="AU573">
        <f t="shared" si="120"/>
        <v>0</v>
      </c>
      <c r="AX573" t="str">
        <f>IFERROR(VLOOKUP(AW573,tbFactorMes,2,FALSE),"")</f>
        <v/>
      </c>
      <c r="AY573">
        <f t="shared" si="121"/>
        <v>0</v>
      </c>
      <c r="BB573" t="str">
        <f>IFERROR(VLOOKUP(BA573,tbFactorMes,2,FALSE),"")</f>
        <v/>
      </c>
      <c r="BC573">
        <f t="shared" si="122"/>
        <v>0</v>
      </c>
      <c r="BF573" t="str">
        <f>IFERROR(VLOOKUP(BE573,tbFactorMes,2,FALSE),"")</f>
        <v/>
      </c>
      <c r="BG573">
        <f t="shared" si="123"/>
        <v>0</v>
      </c>
      <c r="BH573">
        <f t="shared" si="124"/>
        <v>0</v>
      </c>
      <c r="BI573">
        <f t="shared" si="125"/>
        <v>0</v>
      </c>
    </row>
    <row r="574" spans="11:61" x14ac:dyDescent="0.35">
      <c r="K574" t="str">
        <f>IFERROR(VLOOKUP(F574,tbTurnos,3,FALSE),"")</f>
        <v/>
      </c>
      <c r="N574" t="str">
        <f>IFERROR(VLOOKUP(M574,tbFactorMes,2,FALSE),"")</f>
        <v/>
      </c>
      <c r="O574">
        <f t="shared" si="112"/>
        <v>0</v>
      </c>
      <c r="R574" t="str">
        <f>IFERROR(VLOOKUP(Q574,tbFactorMes,2,FALSE),"")</f>
        <v/>
      </c>
      <c r="S574">
        <f t="shared" si="113"/>
        <v>0</v>
      </c>
      <c r="V574" t="str">
        <f>IFERROR(VLOOKUP(U574,tbFactorMes,2,FALSE),"")</f>
        <v/>
      </c>
      <c r="W574">
        <f t="shared" si="114"/>
        <v>0</v>
      </c>
      <c r="Z574" t="str">
        <f>IFERROR(VLOOKUP(Y574,tbFactorMes,2,FALSE),"")</f>
        <v/>
      </c>
      <c r="AA574">
        <f t="shared" si="115"/>
        <v>0</v>
      </c>
      <c r="AD574" t="str">
        <f>IFERROR(VLOOKUP(AC574,tbFactorMes,2,FALSE),"")</f>
        <v/>
      </c>
      <c r="AE574">
        <f t="shared" si="116"/>
        <v>0</v>
      </c>
      <c r="AH574" t="str">
        <f>IFERROR(VLOOKUP(AG574,tbFactorMes,2,FALSE),"")</f>
        <v/>
      </c>
      <c r="AI574">
        <f t="shared" si="117"/>
        <v>0</v>
      </c>
      <c r="AL574" t="str">
        <f>IFERROR(VLOOKUP(AK574,tbFactorMes,2,FALSE),"")</f>
        <v/>
      </c>
      <c r="AM574">
        <f t="shared" si="118"/>
        <v>0</v>
      </c>
      <c r="AP574" t="str">
        <f>IFERROR(VLOOKUP(AO574,tbFactorMes,2,FALSE),"")</f>
        <v/>
      </c>
      <c r="AQ574">
        <f t="shared" si="119"/>
        <v>0</v>
      </c>
      <c r="AT574" t="str">
        <f>IFERROR(VLOOKUP(AS574,tbFactorMes,2,FALSE),"")</f>
        <v/>
      </c>
      <c r="AU574">
        <f t="shared" si="120"/>
        <v>0</v>
      </c>
      <c r="AX574" t="str">
        <f>IFERROR(VLOOKUP(AW574,tbFactorMes,2,FALSE),"")</f>
        <v/>
      </c>
      <c r="AY574">
        <f t="shared" si="121"/>
        <v>0</v>
      </c>
      <c r="BB574" t="str">
        <f>IFERROR(VLOOKUP(BA574,tbFactorMes,2,FALSE),"")</f>
        <v/>
      </c>
      <c r="BC574">
        <f t="shared" si="122"/>
        <v>0</v>
      </c>
      <c r="BF574" t="str">
        <f>IFERROR(VLOOKUP(BE574,tbFactorMes,2,FALSE),"")</f>
        <v/>
      </c>
      <c r="BG574">
        <f t="shared" si="123"/>
        <v>0</v>
      </c>
      <c r="BH574">
        <f t="shared" si="124"/>
        <v>0</v>
      </c>
      <c r="BI574">
        <f t="shared" si="125"/>
        <v>0</v>
      </c>
    </row>
    <row r="575" spans="11:61" x14ac:dyDescent="0.35">
      <c r="K575" t="str">
        <f>IFERROR(VLOOKUP(F575,tbTurnos,3,FALSE),"")</f>
        <v/>
      </c>
      <c r="N575" t="str">
        <f>IFERROR(VLOOKUP(M575,tbFactorMes,2,FALSE),"")</f>
        <v/>
      </c>
      <c r="O575">
        <f t="shared" si="112"/>
        <v>0</v>
      </c>
      <c r="R575" t="str">
        <f>IFERROR(VLOOKUP(Q575,tbFactorMes,2,FALSE),"")</f>
        <v/>
      </c>
      <c r="S575">
        <f t="shared" si="113"/>
        <v>0</v>
      </c>
      <c r="V575" t="str">
        <f>IFERROR(VLOOKUP(U575,tbFactorMes,2,FALSE),"")</f>
        <v/>
      </c>
      <c r="W575">
        <f t="shared" si="114"/>
        <v>0</v>
      </c>
      <c r="Z575" t="str">
        <f>IFERROR(VLOOKUP(Y575,tbFactorMes,2,FALSE),"")</f>
        <v/>
      </c>
      <c r="AA575">
        <f t="shared" si="115"/>
        <v>0</v>
      </c>
      <c r="AD575" t="str">
        <f>IFERROR(VLOOKUP(AC575,tbFactorMes,2,FALSE),"")</f>
        <v/>
      </c>
      <c r="AE575">
        <f t="shared" si="116"/>
        <v>0</v>
      </c>
      <c r="AH575" t="str">
        <f>IFERROR(VLOOKUP(AG575,tbFactorMes,2,FALSE),"")</f>
        <v/>
      </c>
      <c r="AI575">
        <f t="shared" si="117"/>
        <v>0</v>
      </c>
      <c r="AL575" t="str">
        <f>IFERROR(VLOOKUP(AK575,tbFactorMes,2,FALSE),"")</f>
        <v/>
      </c>
      <c r="AM575">
        <f t="shared" si="118"/>
        <v>0</v>
      </c>
      <c r="AP575" t="str">
        <f>IFERROR(VLOOKUP(AO575,tbFactorMes,2,FALSE),"")</f>
        <v/>
      </c>
      <c r="AQ575">
        <f t="shared" si="119"/>
        <v>0</v>
      </c>
      <c r="AT575" t="str">
        <f>IFERROR(VLOOKUP(AS575,tbFactorMes,2,FALSE),"")</f>
        <v/>
      </c>
      <c r="AU575">
        <f t="shared" si="120"/>
        <v>0</v>
      </c>
      <c r="AX575" t="str">
        <f>IFERROR(VLOOKUP(AW575,tbFactorMes,2,FALSE),"")</f>
        <v/>
      </c>
      <c r="AY575">
        <f t="shared" si="121"/>
        <v>0</v>
      </c>
      <c r="BB575" t="str">
        <f>IFERROR(VLOOKUP(BA575,tbFactorMes,2,FALSE),"")</f>
        <v/>
      </c>
      <c r="BC575">
        <f t="shared" si="122"/>
        <v>0</v>
      </c>
      <c r="BF575" t="str">
        <f>IFERROR(VLOOKUP(BE575,tbFactorMes,2,FALSE),"")</f>
        <v/>
      </c>
      <c r="BG575">
        <f t="shared" si="123"/>
        <v>0</v>
      </c>
      <c r="BH575">
        <f t="shared" si="124"/>
        <v>0</v>
      </c>
      <c r="BI575">
        <f t="shared" si="125"/>
        <v>0</v>
      </c>
    </row>
    <row r="576" spans="11:61" x14ac:dyDescent="0.35">
      <c r="K576" t="str">
        <f>IFERROR(VLOOKUP(F576,tbTurnos,3,FALSE),"")</f>
        <v/>
      </c>
      <c r="N576" t="str">
        <f>IFERROR(VLOOKUP(M576,tbFactorMes,2,FALSE),"")</f>
        <v/>
      </c>
      <c r="O576">
        <f t="shared" si="112"/>
        <v>0</v>
      </c>
      <c r="R576" t="str">
        <f>IFERROR(VLOOKUP(Q576,tbFactorMes,2,FALSE),"")</f>
        <v/>
      </c>
      <c r="S576">
        <f t="shared" si="113"/>
        <v>0</v>
      </c>
      <c r="V576" t="str">
        <f>IFERROR(VLOOKUP(U576,tbFactorMes,2,FALSE),"")</f>
        <v/>
      </c>
      <c r="W576">
        <f t="shared" si="114"/>
        <v>0</v>
      </c>
      <c r="Z576" t="str">
        <f>IFERROR(VLOOKUP(Y576,tbFactorMes,2,FALSE),"")</f>
        <v/>
      </c>
      <c r="AA576">
        <f t="shared" si="115"/>
        <v>0</v>
      </c>
      <c r="AD576" t="str">
        <f>IFERROR(VLOOKUP(AC576,tbFactorMes,2,FALSE),"")</f>
        <v/>
      </c>
      <c r="AE576">
        <f t="shared" si="116"/>
        <v>0</v>
      </c>
      <c r="AH576" t="str">
        <f>IFERROR(VLOOKUP(AG576,tbFactorMes,2,FALSE),"")</f>
        <v/>
      </c>
      <c r="AI576">
        <f t="shared" si="117"/>
        <v>0</v>
      </c>
      <c r="AL576" t="str">
        <f>IFERROR(VLOOKUP(AK576,tbFactorMes,2,FALSE),"")</f>
        <v/>
      </c>
      <c r="AM576">
        <f t="shared" si="118"/>
        <v>0</v>
      </c>
      <c r="AP576" t="str">
        <f>IFERROR(VLOOKUP(AO576,tbFactorMes,2,FALSE),"")</f>
        <v/>
      </c>
      <c r="AQ576">
        <f t="shared" si="119"/>
        <v>0</v>
      </c>
      <c r="AT576" t="str">
        <f>IFERROR(VLOOKUP(AS576,tbFactorMes,2,FALSE),"")</f>
        <v/>
      </c>
      <c r="AU576">
        <f t="shared" si="120"/>
        <v>0</v>
      </c>
      <c r="AX576" t="str">
        <f>IFERROR(VLOOKUP(AW576,tbFactorMes,2,FALSE),"")</f>
        <v/>
      </c>
      <c r="AY576">
        <f t="shared" si="121"/>
        <v>0</v>
      </c>
      <c r="BB576" t="str">
        <f>IFERROR(VLOOKUP(BA576,tbFactorMes,2,FALSE),"")</f>
        <v/>
      </c>
      <c r="BC576">
        <f t="shared" si="122"/>
        <v>0</v>
      </c>
      <c r="BF576" t="str">
        <f>IFERROR(VLOOKUP(BE576,tbFactorMes,2,FALSE),"")</f>
        <v/>
      </c>
      <c r="BG576">
        <f t="shared" si="123"/>
        <v>0</v>
      </c>
      <c r="BH576">
        <f t="shared" si="124"/>
        <v>0</v>
      </c>
      <c r="BI576">
        <f t="shared" si="125"/>
        <v>0</v>
      </c>
    </row>
    <row r="577" spans="11:61" x14ac:dyDescent="0.35">
      <c r="K577" t="str">
        <f>IFERROR(VLOOKUP(F577,tbTurnos,3,FALSE),"")</f>
        <v/>
      </c>
      <c r="N577" t="str">
        <f>IFERROR(VLOOKUP(M577,tbFactorMes,2,FALSE),"")</f>
        <v/>
      </c>
      <c r="O577">
        <f t="shared" si="112"/>
        <v>0</v>
      </c>
      <c r="R577" t="str">
        <f>IFERROR(VLOOKUP(Q577,tbFactorMes,2,FALSE),"")</f>
        <v/>
      </c>
      <c r="S577">
        <f t="shared" si="113"/>
        <v>0</v>
      </c>
      <c r="V577" t="str">
        <f>IFERROR(VLOOKUP(U577,tbFactorMes,2,FALSE),"")</f>
        <v/>
      </c>
      <c r="W577">
        <f t="shared" si="114"/>
        <v>0</v>
      </c>
      <c r="Z577" t="str">
        <f>IFERROR(VLOOKUP(Y577,tbFactorMes,2,FALSE),"")</f>
        <v/>
      </c>
      <c r="AA577">
        <f t="shared" si="115"/>
        <v>0</v>
      </c>
      <c r="AD577" t="str">
        <f>IFERROR(VLOOKUP(AC577,tbFactorMes,2,FALSE),"")</f>
        <v/>
      </c>
      <c r="AE577">
        <f t="shared" si="116"/>
        <v>0</v>
      </c>
      <c r="AH577" t="str">
        <f>IFERROR(VLOOKUP(AG577,tbFactorMes,2,FALSE),"")</f>
        <v/>
      </c>
      <c r="AI577">
        <f t="shared" si="117"/>
        <v>0</v>
      </c>
      <c r="AL577" t="str">
        <f>IFERROR(VLOOKUP(AK577,tbFactorMes,2,FALSE),"")</f>
        <v/>
      </c>
      <c r="AM577">
        <f t="shared" si="118"/>
        <v>0</v>
      </c>
      <c r="AP577" t="str">
        <f>IFERROR(VLOOKUP(AO577,tbFactorMes,2,FALSE),"")</f>
        <v/>
      </c>
      <c r="AQ577">
        <f t="shared" si="119"/>
        <v>0</v>
      </c>
      <c r="AT577" t="str">
        <f>IFERROR(VLOOKUP(AS577,tbFactorMes,2,FALSE),"")</f>
        <v/>
      </c>
      <c r="AU577">
        <f t="shared" si="120"/>
        <v>0</v>
      </c>
      <c r="AX577" t="str">
        <f>IFERROR(VLOOKUP(AW577,tbFactorMes,2,FALSE),"")</f>
        <v/>
      </c>
      <c r="AY577">
        <f t="shared" si="121"/>
        <v>0</v>
      </c>
      <c r="BB577" t="str">
        <f>IFERROR(VLOOKUP(BA577,tbFactorMes,2,FALSE),"")</f>
        <v/>
      </c>
      <c r="BC577">
        <f t="shared" si="122"/>
        <v>0</v>
      </c>
      <c r="BF577" t="str">
        <f>IFERROR(VLOOKUP(BE577,tbFactorMes,2,FALSE),"")</f>
        <v/>
      </c>
      <c r="BG577">
        <f t="shared" si="123"/>
        <v>0</v>
      </c>
      <c r="BH577">
        <f t="shared" si="124"/>
        <v>0</v>
      </c>
      <c r="BI577">
        <f t="shared" si="125"/>
        <v>0</v>
      </c>
    </row>
    <row r="578" spans="11:61" x14ac:dyDescent="0.35">
      <c r="K578" t="str">
        <f>IFERROR(VLOOKUP(F578,tbTurnos,3,FALSE),"")</f>
        <v/>
      </c>
      <c r="N578" t="str">
        <f>IFERROR(VLOOKUP(M578,tbFactorMes,2,FALSE),"")</f>
        <v/>
      </c>
      <c r="O578">
        <f t="shared" ref="O578:O641" si="126">IFERROR((L578*$K578)/N578,0)*$J578</f>
        <v>0</v>
      </c>
      <c r="R578" t="str">
        <f>IFERROR(VLOOKUP(Q578,tbFactorMes,2,FALSE),"")</f>
        <v/>
      </c>
      <c r="S578">
        <f t="shared" ref="S578:S641" si="127">IFERROR((P578*$K578)/R578,0)*$J578</f>
        <v>0</v>
      </c>
      <c r="V578" t="str">
        <f>IFERROR(VLOOKUP(U578,tbFactorMes,2,FALSE),"")</f>
        <v/>
      </c>
      <c r="W578">
        <f t="shared" ref="W578:W641" si="128">IFERROR((T578*$K578)/V578,0)*$J578</f>
        <v>0</v>
      </c>
      <c r="Z578" t="str">
        <f>IFERROR(VLOOKUP(Y578,tbFactorMes,2,FALSE),"")</f>
        <v/>
      </c>
      <c r="AA578">
        <f t="shared" ref="AA578:AA641" si="129">IFERROR((X578*$K578)/Z578,0)*$J578</f>
        <v>0</v>
      </c>
      <c r="AD578" t="str">
        <f>IFERROR(VLOOKUP(AC578,tbFactorMes,2,FALSE),"")</f>
        <v/>
      </c>
      <c r="AE578">
        <f t="shared" ref="AE578:AE641" si="130">IFERROR((AB578*$K578)/AD578,0)*$J578</f>
        <v>0</v>
      </c>
      <c r="AH578" t="str">
        <f>IFERROR(VLOOKUP(AG578,tbFactorMes,2,FALSE),"")</f>
        <v/>
      </c>
      <c r="AI578">
        <f t="shared" ref="AI578:AI641" si="131">IFERROR((AF578*$K578)/AH578,0)*$J578</f>
        <v>0</v>
      </c>
      <c r="AL578" t="str">
        <f>IFERROR(VLOOKUP(AK578,tbFactorMes,2,FALSE),"")</f>
        <v/>
      </c>
      <c r="AM578">
        <f t="shared" ref="AM578:AM641" si="132">IFERROR((AJ578*$K578)/AL578,0)*$J578</f>
        <v>0</v>
      </c>
      <c r="AP578" t="str">
        <f>IFERROR(VLOOKUP(AO578,tbFactorMes,2,FALSE),"")</f>
        <v/>
      </c>
      <c r="AQ578">
        <f t="shared" ref="AQ578:AQ641" si="133">IFERROR((AN578*$K578)/AP578,0)*$J578</f>
        <v>0</v>
      </c>
      <c r="AT578" t="str">
        <f>IFERROR(VLOOKUP(AS578,tbFactorMes,2,FALSE),"")</f>
        <v/>
      </c>
      <c r="AU578">
        <f t="shared" ref="AU578:AU641" si="134">IFERROR((AR578*$K578)/AT578,0)*$J578</f>
        <v>0</v>
      </c>
      <c r="AX578" t="str">
        <f>IFERROR(VLOOKUP(AW578,tbFactorMes,2,FALSE),"")</f>
        <v/>
      </c>
      <c r="AY578">
        <f t="shared" ref="AY578:AY641" si="135">IFERROR((AV578*$K578)/AX578,0)*$J578</f>
        <v>0</v>
      </c>
      <c r="BB578" t="str">
        <f>IFERROR(VLOOKUP(BA578,tbFactorMes,2,FALSE),"")</f>
        <v/>
      </c>
      <c r="BC578">
        <f t="shared" ref="BC578:BC641" si="136">IFERROR((AZ578*$K578)/BB578,0)*$J578</f>
        <v>0</v>
      </c>
      <c r="BF578" t="str">
        <f>IFERROR(VLOOKUP(BE578,tbFactorMes,2,FALSE),"")</f>
        <v/>
      </c>
      <c r="BG578">
        <f t="shared" ref="BG578:BG641" si="137">IFERROR((BD578*$K578)/BF578,0)*$J578</f>
        <v>0</v>
      </c>
      <c r="BH578">
        <f t="shared" ref="BH578:BH641" si="138">IFERROR(SUM(O578,S578,W578,AA578,AE578,AI578,AM578,AQ578,AU578,AY578,BC578,BG578),0)</f>
        <v>0</v>
      </c>
      <c r="BI578">
        <f t="shared" ref="BI578:BI641" si="139">IFERROR(BH578*(1-$I578),0)</f>
        <v>0</v>
      </c>
    </row>
    <row r="579" spans="11:61" x14ac:dyDescent="0.35">
      <c r="K579" t="str">
        <f>IFERROR(VLOOKUP(F579,tbTurnos,3,FALSE),"")</f>
        <v/>
      </c>
      <c r="N579" t="str">
        <f>IFERROR(VLOOKUP(M579,tbFactorMes,2,FALSE),"")</f>
        <v/>
      </c>
      <c r="O579">
        <f t="shared" si="126"/>
        <v>0</v>
      </c>
      <c r="R579" t="str">
        <f>IFERROR(VLOOKUP(Q579,tbFactorMes,2,FALSE),"")</f>
        <v/>
      </c>
      <c r="S579">
        <f t="shared" si="127"/>
        <v>0</v>
      </c>
      <c r="V579" t="str">
        <f>IFERROR(VLOOKUP(U579,tbFactorMes,2,FALSE),"")</f>
        <v/>
      </c>
      <c r="W579">
        <f t="shared" si="128"/>
        <v>0</v>
      </c>
      <c r="Z579" t="str">
        <f>IFERROR(VLOOKUP(Y579,tbFactorMes,2,FALSE),"")</f>
        <v/>
      </c>
      <c r="AA579">
        <f t="shared" si="129"/>
        <v>0</v>
      </c>
      <c r="AD579" t="str">
        <f>IFERROR(VLOOKUP(AC579,tbFactorMes,2,FALSE),"")</f>
        <v/>
      </c>
      <c r="AE579">
        <f t="shared" si="130"/>
        <v>0</v>
      </c>
      <c r="AH579" t="str">
        <f>IFERROR(VLOOKUP(AG579,tbFactorMes,2,FALSE),"")</f>
        <v/>
      </c>
      <c r="AI579">
        <f t="shared" si="131"/>
        <v>0</v>
      </c>
      <c r="AL579" t="str">
        <f>IFERROR(VLOOKUP(AK579,tbFactorMes,2,FALSE),"")</f>
        <v/>
      </c>
      <c r="AM579">
        <f t="shared" si="132"/>
        <v>0</v>
      </c>
      <c r="AP579" t="str">
        <f>IFERROR(VLOOKUP(AO579,tbFactorMes,2,FALSE),"")</f>
        <v/>
      </c>
      <c r="AQ579">
        <f t="shared" si="133"/>
        <v>0</v>
      </c>
      <c r="AT579" t="str">
        <f>IFERROR(VLOOKUP(AS579,tbFactorMes,2,FALSE),"")</f>
        <v/>
      </c>
      <c r="AU579">
        <f t="shared" si="134"/>
        <v>0</v>
      </c>
      <c r="AX579" t="str">
        <f>IFERROR(VLOOKUP(AW579,tbFactorMes,2,FALSE),"")</f>
        <v/>
      </c>
      <c r="AY579">
        <f t="shared" si="135"/>
        <v>0</v>
      </c>
      <c r="BB579" t="str">
        <f>IFERROR(VLOOKUP(BA579,tbFactorMes,2,FALSE),"")</f>
        <v/>
      </c>
      <c r="BC579">
        <f t="shared" si="136"/>
        <v>0</v>
      </c>
      <c r="BF579" t="str">
        <f>IFERROR(VLOOKUP(BE579,tbFactorMes,2,FALSE),"")</f>
        <v/>
      </c>
      <c r="BG579">
        <f t="shared" si="137"/>
        <v>0</v>
      </c>
      <c r="BH579">
        <f t="shared" si="138"/>
        <v>0</v>
      </c>
      <c r="BI579">
        <f t="shared" si="139"/>
        <v>0</v>
      </c>
    </row>
    <row r="580" spans="11:61" x14ac:dyDescent="0.35">
      <c r="K580" t="str">
        <f>IFERROR(VLOOKUP(F580,tbTurnos,3,FALSE),"")</f>
        <v/>
      </c>
      <c r="N580" t="str">
        <f>IFERROR(VLOOKUP(M580,tbFactorMes,2,FALSE),"")</f>
        <v/>
      </c>
      <c r="O580">
        <f t="shared" si="126"/>
        <v>0</v>
      </c>
      <c r="R580" t="str">
        <f>IFERROR(VLOOKUP(Q580,tbFactorMes,2,FALSE),"")</f>
        <v/>
      </c>
      <c r="S580">
        <f t="shared" si="127"/>
        <v>0</v>
      </c>
      <c r="V580" t="str">
        <f>IFERROR(VLOOKUP(U580,tbFactorMes,2,FALSE),"")</f>
        <v/>
      </c>
      <c r="W580">
        <f t="shared" si="128"/>
        <v>0</v>
      </c>
      <c r="Z580" t="str">
        <f>IFERROR(VLOOKUP(Y580,tbFactorMes,2,FALSE),"")</f>
        <v/>
      </c>
      <c r="AA580">
        <f t="shared" si="129"/>
        <v>0</v>
      </c>
      <c r="AD580" t="str">
        <f>IFERROR(VLOOKUP(AC580,tbFactorMes,2,FALSE),"")</f>
        <v/>
      </c>
      <c r="AE580">
        <f t="shared" si="130"/>
        <v>0</v>
      </c>
      <c r="AH580" t="str">
        <f>IFERROR(VLOOKUP(AG580,tbFactorMes,2,FALSE),"")</f>
        <v/>
      </c>
      <c r="AI580">
        <f t="shared" si="131"/>
        <v>0</v>
      </c>
      <c r="AL580" t="str">
        <f>IFERROR(VLOOKUP(AK580,tbFactorMes,2,FALSE),"")</f>
        <v/>
      </c>
      <c r="AM580">
        <f t="shared" si="132"/>
        <v>0</v>
      </c>
      <c r="AP580" t="str">
        <f>IFERROR(VLOOKUP(AO580,tbFactorMes,2,FALSE),"")</f>
        <v/>
      </c>
      <c r="AQ580">
        <f t="shared" si="133"/>
        <v>0</v>
      </c>
      <c r="AT580" t="str">
        <f>IFERROR(VLOOKUP(AS580,tbFactorMes,2,FALSE),"")</f>
        <v/>
      </c>
      <c r="AU580">
        <f t="shared" si="134"/>
        <v>0</v>
      </c>
      <c r="AX580" t="str">
        <f>IFERROR(VLOOKUP(AW580,tbFactorMes,2,FALSE),"")</f>
        <v/>
      </c>
      <c r="AY580">
        <f t="shared" si="135"/>
        <v>0</v>
      </c>
      <c r="BB580" t="str">
        <f>IFERROR(VLOOKUP(BA580,tbFactorMes,2,FALSE),"")</f>
        <v/>
      </c>
      <c r="BC580">
        <f t="shared" si="136"/>
        <v>0</v>
      </c>
      <c r="BF580" t="str">
        <f>IFERROR(VLOOKUP(BE580,tbFactorMes,2,FALSE),"")</f>
        <v/>
      </c>
      <c r="BG580">
        <f t="shared" si="137"/>
        <v>0</v>
      </c>
      <c r="BH580">
        <f t="shared" si="138"/>
        <v>0</v>
      </c>
      <c r="BI580">
        <f t="shared" si="139"/>
        <v>0</v>
      </c>
    </row>
    <row r="581" spans="11:61" x14ac:dyDescent="0.35">
      <c r="K581" t="str">
        <f>IFERROR(VLOOKUP(F581,tbTurnos,3,FALSE),"")</f>
        <v/>
      </c>
      <c r="N581" t="str">
        <f>IFERROR(VLOOKUP(M581,tbFactorMes,2,FALSE),"")</f>
        <v/>
      </c>
      <c r="O581">
        <f t="shared" si="126"/>
        <v>0</v>
      </c>
      <c r="R581" t="str">
        <f>IFERROR(VLOOKUP(Q581,tbFactorMes,2,FALSE),"")</f>
        <v/>
      </c>
      <c r="S581">
        <f t="shared" si="127"/>
        <v>0</v>
      </c>
      <c r="V581" t="str">
        <f>IFERROR(VLOOKUP(U581,tbFactorMes,2,FALSE),"")</f>
        <v/>
      </c>
      <c r="W581">
        <f t="shared" si="128"/>
        <v>0</v>
      </c>
      <c r="Z581" t="str">
        <f>IFERROR(VLOOKUP(Y581,tbFactorMes,2,FALSE),"")</f>
        <v/>
      </c>
      <c r="AA581">
        <f t="shared" si="129"/>
        <v>0</v>
      </c>
      <c r="AD581" t="str">
        <f>IFERROR(VLOOKUP(AC581,tbFactorMes,2,FALSE),"")</f>
        <v/>
      </c>
      <c r="AE581">
        <f t="shared" si="130"/>
        <v>0</v>
      </c>
      <c r="AH581" t="str">
        <f>IFERROR(VLOOKUP(AG581,tbFactorMes,2,FALSE),"")</f>
        <v/>
      </c>
      <c r="AI581">
        <f t="shared" si="131"/>
        <v>0</v>
      </c>
      <c r="AL581" t="str">
        <f>IFERROR(VLOOKUP(AK581,tbFactorMes,2,FALSE),"")</f>
        <v/>
      </c>
      <c r="AM581">
        <f t="shared" si="132"/>
        <v>0</v>
      </c>
      <c r="AP581" t="str">
        <f>IFERROR(VLOOKUP(AO581,tbFactorMes,2,FALSE),"")</f>
        <v/>
      </c>
      <c r="AQ581">
        <f t="shared" si="133"/>
        <v>0</v>
      </c>
      <c r="AT581" t="str">
        <f>IFERROR(VLOOKUP(AS581,tbFactorMes,2,FALSE),"")</f>
        <v/>
      </c>
      <c r="AU581">
        <f t="shared" si="134"/>
        <v>0</v>
      </c>
      <c r="AX581" t="str">
        <f>IFERROR(VLOOKUP(AW581,tbFactorMes,2,FALSE),"")</f>
        <v/>
      </c>
      <c r="AY581">
        <f t="shared" si="135"/>
        <v>0</v>
      </c>
      <c r="BB581" t="str">
        <f>IFERROR(VLOOKUP(BA581,tbFactorMes,2,FALSE),"")</f>
        <v/>
      </c>
      <c r="BC581">
        <f t="shared" si="136"/>
        <v>0</v>
      </c>
      <c r="BF581" t="str">
        <f>IFERROR(VLOOKUP(BE581,tbFactorMes,2,FALSE),"")</f>
        <v/>
      </c>
      <c r="BG581">
        <f t="shared" si="137"/>
        <v>0</v>
      </c>
      <c r="BH581">
        <f t="shared" si="138"/>
        <v>0</v>
      </c>
      <c r="BI581">
        <f t="shared" si="139"/>
        <v>0</v>
      </c>
    </row>
    <row r="582" spans="11:61" x14ac:dyDescent="0.35">
      <c r="K582" t="str">
        <f>IFERROR(VLOOKUP(F582,tbTurnos,3,FALSE),"")</f>
        <v/>
      </c>
      <c r="N582" t="str">
        <f>IFERROR(VLOOKUP(M582,tbFactorMes,2,FALSE),"")</f>
        <v/>
      </c>
      <c r="O582">
        <f t="shared" si="126"/>
        <v>0</v>
      </c>
      <c r="R582" t="str">
        <f>IFERROR(VLOOKUP(Q582,tbFactorMes,2,FALSE),"")</f>
        <v/>
      </c>
      <c r="S582">
        <f t="shared" si="127"/>
        <v>0</v>
      </c>
      <c r="V582" t="str">
        <f>IFERROR(VLOOKUP(U582,tbFactorMes,2,FALSE),"")</f>
        <v/>
      </c>
      <c r="W582">
        <f t="shared" si="128"/>
        <v>0</v>
      </c>
      <c r="Z582" t="str">
        <f>IFERROR(VLOOKUP(Y582,tbFactorMes,2,FALSE),"")</f>
        <v/>
      </c>
      <c r="AA582">
        <f t="shared" si="129"/>
        <v>0</v>
      </c>
      <c r="AD582" t="str">
        <f>IFERROR(VLOOKUP(AC582,tbFactorMes,2,FALSE),"")</f>
        <v/>
      </c>
      <c r="AE582">
        <f t="shared" si="130"/>
        <v>0</v>
      </c>
      <c r="AH582" t="str">
        <f>IFERROR(VLOOKUP(AG582,tbFactorMes,2,FALSE),"")</f>
        <v/>
      </c>
      <c r="AI582">
        <f t="shared" si="131"/>
        <v>0</v>
      </c>
      <c r="AL582" t="str">
        <f>IFERROR(VLOOKUP(AK582,tbFactorMes,2,FALSE),"")</f>
        <v/>
      </c>
      <c r="AM582">
        <f t="shared" si="132"/>
        <v>0</v>
      </c>
      <c r="AP582" t="str">
        <f>IFERROR(VLOOKUP(AO582,tbFactorMes,2,FALSE),"")</f>
        <v/>
      </c>
      <c r="AQ582">
        <f t="shared" si="133"/>
        <v>0</v>
      </c>
      <c r="AT582" t="str">
        <f>IFERROR(VLOOKUP(AS582,tbFactorMes,2,FALSE),"")</f>
        <v/>
      </c>
      <c r="AU582">
        <f t="shared" si="134"/>
        <v>0</v>
      </c>
      <c r="AX582" t="str">
        <f>IFERROR(VLOOKUP(AW582,tbFactorMes,2,FALSE),"")</f>
        <v/>
      </c>
      <c r="AY582">
        <f t="shared" si="135"/>
        <v>0</v>
      </c>
      <c r="BB582" t="str">
        <f>IFERROR(VLOOKUP(BA582,tbFactorMes,2,FALSE),"")</f>
        <v/>
      </c>
      <c r="BC582">
        <f t="shared" si="136"/>
        <v>0</v>
      </c>
      <c r="BF582" t="str">
        <f>IFERROR(VLOOKUP(BE582,tbFactorMes,2,FALSE),"")</f>
        <v/>
      </c>
      <c r="BG582">
        <f t="shared" si="137"/>
        <v>0</v>
      </c>
      <c r="BH582">
        <f t="shared" si="138"/>
        <v>0</v>
      </c>
      <c r="BI582">
        <f t="shared" si="139"/>
        <v>0</v>
      </c>
    </row>
    <row r="583" spans="11:61" x14ac:dyDescent="0.35">
      <c r="K583" t="str">
        <f>IFERROR(VLOOKUP(F583,tbTurnos,3,FALSE),"")</f>
        <v/>
      </c>
      <c r="N583" t="str">
        <f>IFERROR(VLOOKUP(M583,tbFactorMes,2,FALSE),"")</f>
        <v/>
      </c>
      <c r="O583">
        <f t="shared" si="126"/>
        <v>0</v>
      </c>
      <c r="R583" t="str">
        <f>IFERROR(VLOOKUP(Q583,tbFactorMes,2,FALSE),"")</f>
        <v/>
      </c>
      <c r="S583">
        <f t="shared" si="127"/>
        <v>0</v>
      </c>
      <c r="V583" t="str">
        <f>IFERROR(VLOOKUP(U583,tbFactorMes,2,FALSE),"")</f>
        <v/>
      </c>
      <c r="W583">
        <f t="shared" si="128"/>
        <v>0</v>
      </c>
      <c r="Z583" t="str">
        <f>IFERROR(VLOOKUP(Y583,tbFactorMes,2,FALSE),"")</f>
        <v/>
      </c>
      <c r="AA583">
        <f t="shared" si="129"/>
        <v>0</v>
      </c>
      <c r="AD583" t="str">
        <f>IFERROR(VLOOKUP(AC583,tbFactorMes,2,FALSE),"")</f>
        <v/>
      </c>
      <c r="AE583">
        <f t="shared" si="130"/>
        <v>0</v>
      </c>
      <c r="AH583" t="str">
        <f>IFERROR(VLOOKUP(AG583,tbFactorMes,2,FALSE),"")</f>
        <v/>
      </c>
      <c r="AI583">
        <f t="shared" si="131"/>
        <v>0</v>
      </c>
      <c r="AL583" t="str">
        <f>IFERROR(VLOOKUP(AK583,tbFactorMes,2,FALSE),"")</f>
        <v/>
      </c>
      <c r="AM583">
        <f t="shared" si="132"/>
        <v>0</v>
      </c>
      <c r="AP583" t="str">
        <f>IFERROR(VLOOKUP(AO583,tbFactorMes,2,FALSE),"")</f>
        <v/>
      </c>
      <c r="AQ583">
        <f t="shared" si="133"/>
        <v>0</v>
      </c>
      <c r="AT583" t="str">
        <f>IFERROR(VLOOKUP(AS583,tbFactorMes,2,FALSE),"")</f>
        <v/>
      </c>
      <c r="AU583">
        <f t="shared" si="134"/>
        <v>0</v>
      </c>
      <c r="AX583" t="str">
        <f>IFERROR(VLOOKUP(AW583,tbFactorMes,2,FALSE),"")</f>
        <v/>
      </c>
      <c r="AY583">
        <f t="shared" si="135"/>
        <v>0</v>
      </c>
      <c r="BB583" t="str">
        <f>IFERROR(VLOOKUP(BA583,tbFactorMes,2,FALSE),"")</f>
        <v/>
      </c>
      <c r="BC583">
        <f t="shared" si="136"/>
        <v>0</v>
      </c>
      <c r="BF583" t="str">
        <f>IFERROR(VLOOKUP(BE583,tbFactorMes,2,FALSE),"")</f>
        <v/>
      </c>
      <c r="BG583">
        <f t="shared" si="137"/>
        <v>0</v>
      </c>
      <c r="BH583">
        <f t="shared" si="138"/>
        <v>0</v>
      </c>
      <c r="BI583">
        <f t="shared" si="139"/>
        <v>0</v>
      </c>
    </row>
    <row r="584" spans="11:61" x14ac:dyDescent="0.35">
      <c r="K584" t="str">
        <f>IFERROR(VLOOKUP(F584,tbTurnos,3,FALSE),"")</f>
        <v/>
      </c>
      <c r="N584" t="str">
        <f>IFERROR(VLOOKUP(M584,tbFactorMes,2,FALSE),"")</f>
        <v/>
      </c>
      <c r="O584">
        <f t="shared" si="126"/>
        <v>0</v>
      </c>
      <c r="R584" t="str">
        <f>IFERROR(VLOOKUP(Q584,tbFactorMes,2,FALSE),"")</f>
        <v/>
      </c>
      <c r="S584">
        <f t="shared" si="127"/>
        <v>0</v>
      </c>
      <c r="V584" t="str">
        <f>IFERROR(VLOOKUP(U584,tbFactorMes,2,FALSE),"")</f>
        <v/>
      </c>
      <c r="W584">
        <f t="shared" si="128"/>
        <v>0</v>
      </c>
      <c r="Z584" t="str">
        <f>IFERROR(VLOOKUP(Y584,tbFactorMes,2,FALSE),"")</f>
        <v/>
      </c>
      <c r="AA584">
        <f t="shared" si="129"/>
        <v>0</v>
      </c>
      <c r="AD584" t="str">
        <f>IFERROR(VLOOKUP(AC584,tbFactorMes,2,FALSE),"")</f>
        <v/>
      </c>
      <c r="AE584">
        <f t="shared" si="130"/>
        <v>0</v>
      </c>
      <c r="AH584" t="str">
        <f>IFERROR(VLOOKUP(AG584,tbFactorMes,2,FALSE),"")</f>
        <v/>
      </c>
      <c r="AI584">
        <f t="shared" si="131"/>
        <v>0</v>
      </c>
      <c r="AL584" t="str">
        <f>IFERROR(VLOOKUP(AK584,tbFactorMes,2,FALSE),"")</f>
        <v/>
      </c>
      <c r="AM584">
        <f t="shared" si="132"/>
        <v>0</v>
      </c>
      <c r="AP584" t="str">
        <f>IFERROR(VLOOKUP(AO584,tbFactorMes,2,FALSE),"")</f>
        <v/>
      </c>
      <c r="AQ584">
        <f t="shared" si="133"/>
        <v>0</v>
      </c>
      <c r="AT584" t="str">
        <f>IFERROR(VLOOKUP(AS584,tbFactorMes,2,FALSE),"")</f>
        <v/>
      </c>
      <c r="AU584">
        <f t="shared" si="134"/>
        <v>0</v>
      </c>
      <c r="AX584" t="str">
        <f>IFERROR(VLOOKUP(AW584,tbFactorMes,2,FALSE),"")</f>
        <v/>
      </c>
      <c r="AY584">
        <f t="shared" si="135"/>
        <v>0</v>
      </c>
      <c r="BB584" t="str">
        <f>IFERROR(VLOOKUP(BA584,tbFactorMes,2,FALSE),"")</f>
        <v/>
      </c>
      <c r="BC584">
        <f t="shared" si="136"/>
        <v>0</v>
      </c>
      <c r="BF584" t="str">
        <f>IFERROR(VLOOKUP(BE584,tbFactorMes,2,FALSE),"")</f>
        <v/>
      </c>
      <c r="BG584">
        <f t="shared" si="137"/>
        <v>0</v>
      </c>
      <c r="BH584">
        <f t="shared" si="138"/>
        <v>0</v>
      </c>
      <c r="BI584">
        <f t="shared" si="139"/>
        <v>0</v>
      </c>
    </row>
    <row r="585" spans="11:61" x14ac:dyDescent="0.35">
      <c r="K585" t="str">
        <f>IFERROR(VLOOKUP(F585,tbTurnos,3,FALSE),"")</f>
        <v/>
      </c>
      <c r="N585" t="str">
        <f>IFERROR(VLOOKUP(M585,tbFactorMes,2,FALSE),"")</f>
        <v/>
      </c>
      <c r="O585">
        <f t="shared" si="126"/>
        <v>0</v>
      </c>
      <c r="R585" t="str">
        <f>IFERROR(VLOOKUP(Q585,tbFactorMes,2,FALSE),"")</f>
        <v/>
      </c>
      <c r="S585">
        <f t="shared" si="127"/>
        <v>0</v>
      </c>
      <c r="V585" t="str">
        <f>IFERROR(VLOOKUP(U585,tbFactorMes,2,FALSE),"")</f>
        <v/>
      </c>
      <c r="W585">
        <f t="shared" si="128"/>
        <v>0</v>
      </c>
      <c r="Z585" t="str">
        <f>IFERROR(VLOOKUP(Y585,tbFactorMes,2,FALSE),"")</f>
        <v/>
      </c>
      <c r="AA585">
        <f t="shared" si="129"/>
        <v>0</v>
      </c>
      <c r="AD585" t="str">
        <f>IFERROR(VLOOKUP(AC585,tbFactorMes,2,FALSE),"")</f>
        <v/>
      </c>
      <c r="AE585">
        <f t="shared" si="130"/>
        <v>0</v>
      </c>
      <c r="AH585" t="str">
        <f>IFERROR(VLOOKUP(AG585,tbFactorMes,2,FALSE),"")</f>
        <v/>
      </c>
      <c r="AI585">
        <f t="shared" si="131"/>
        <v>0</v>
      </c>
      <c r="AL585" t="str">
        <f>IFERROR(VLOOKUP(AK585,tbFactorMes,2,FALSE),"")</f>
        <v/>
      </c>
      <c r="AM585">
        <f t="shared" si="132"/>
        <v>0</v>
      </c>
      <c r="AP585" t="str">
        <f>IFERROR(VLOOKUP(AO585,tbFactorMes,2,FALSE),"")</f>
        <v/>
      </c>
      <c r="AQ585">
        <f t="shared" si="133"/>
        <v>0</v>
      </c>
      <c r="AT585" t="str">
        <f>IFERROR(VLOOKUP(AS585,tbFactorMes,2,FALSE),"")</f>
        <v/>
      </c>
      <c r="AU585">
        <f t="shared" si="134"/>
        <v>0</v>
      </c>
      <c r="AX585" t="str">
        <f>IFERROR(VLOOKUP(AW585,tbFactorMes,2,FALSE),"")</f>
        <v/>
      </c>
      <c r="AY585">
        <f t="shared" si="135"/>
        <v>0</v>
      </c>
      <c r="BB585" t="str">
        <f>IFERROR(VLOOKUP(BA585,tbFactorMes,2,FALSE),"")</f>
        <v/>
      </c>
      <c r="BC585">
        <f t="shared" si="136"/>
        <v>0</v>
      </c>
      <c r="BF585" t="str">
        <f>IFERROR(VLOOKUP(BE585,tbFactorMes,2,FALSE),"")</f>
        <v/>
      </c>
      <c r="BG585">
        <f t="shared" si="137"/>
        <v>0</v>
      </c>
      <c r="BH585">
        <f t="shared" si="138"/>
        <v>0</v>
      </c>
      <c r="BI585">
        <f t="shared" si="139"/>
        <v>0</v>
      </c>
    </row>
    <row r="586" spans="11:61" x14ac:dyDescent="0.35">
      <c r="K586" t="str">
        <f>IFERROR(VLOOKUP(F586,tbTurnos,3,FALSE),"")</f>
        <v/>
      </c>
      <c r="N586" t="str">
        <f>IFERROR(VLOOKUP(M586,tbFactorMes,2,FALSE),"")</f>
        <v/>
      </c>
      <c r="O586">
        <f t="shared" si="126"/>
        <v>0</v>
      </c>
      <c r="R586" t="str">
        <f>IFERROR(VLOOKUP(Q586,tbFactorMes,2,FALSE),"")</f>
        <v/>
      </c>
      <c r="S586">
        <f t="shared" si="127"/>
        <v>0</v>
      </c>
      <c r="V586" t="str">
        <f>IFERROR(VLOOKUP(U586,tbFactorMes,2,FALSE),"")</f>
        <v/>
      </c>
      <c r="W586">
        <f t="shared" si="128"/>
        <v>0</v>
      </c>
      <c r="Z586" t="str">
        <f>IFERROR(VLOOKUP(Y586,tbFactorMes,2,FALSE),"")</f>
        <v/>
      </c>
      <c r="AA586">
        <f t="shared" si="129"/>
        <v>0</v>
      </c>
      <c r="AD586" t="str">
        <f>IFERROR(VLOOKUP(AC586,tbFactorMes,2,FALSE),"")</f>
        <v/>
      </c>
      <c r="AE586">
        <f t="shared" si="130"/>
        <v>0</v>
      </c>
      <c r="AH586" t="str">
        <f>IFERROR(VLOOKUP(AG586,tbFactorMes,2,FALSE),"")</f>
        <v/>
      </c>
      <c r="AI586">
        <f t="shared" si="131"/>
        <v>0</v>
      </c>
      <c r="AL586" t="str">
        <f>IFERROR(VLOOKUP(AK586,tbFactorMes,2,FALSE),"")</f>
        <v/>
      </c>
      <c r="AM586">
        <f t="shared" si="132"/>
        <v>0</v>
      </c>
      <c r="AP586" t="str">
        <f>IFERROR(VLOOKUP(AO586,tbFactorMes,2,FALSE),"")</f>
        <v/>
      </c>
      <c r="AQ586">
        <f t="shared" si="133"/>
        <v>0</v>
      </c>
      <c r="AT586" t="str">
        <f>IFERROR(VLOOKUP(AS586,tbFactorMes,2,FALSE),"")</f>
        <v/>
      </c>
      <c r="AU586">
        <f t="shared" si="134"/>
        <v>0</v>
      </c>
      <c r="AX586" t="str">
        <f>IFERROR(VLOOKUP(AW586,tbFactorMes,2,FALSE),"")</f>
        <v/>
      </c>
      <c r="AY586">
        <f t="shared" si="135"/>
        <v>0</v>
      </c>
      <c r="BB586" t="str">
        <f>IFERROR(VLOOKUP(BA586,tbFactorMes,2,FALSE),"")</f>
        <v/>
      </c>
      <c r="BC586">
        <f t="shared" si="136"/>
        <v>0</v>
      </c>
      <c r="BF586" t="str">
        <f>IFERROR(VLOOKUP(BE586,tbFactorMes,2,FALSE),"")</f>
        <v/>
      </c>
      <c r="BG586">
        <f t="shared" si="137"/>
        <v>0</v>
      </c>
      <c r="BH586">
        <f t="shared" si="138"/>
        <v>0</v>
      </c>
      <c r="BI586">
        <f t="shared" si="139"/>
        <v>0</v>
      </c>
    </row>
    <row r="587" spans="11:61" x14ac:dyDescent="0.35">
      <c r="K587" t="str">
        <f>IFERROR(VLOOKUP(F587,tbTurnos,3,FALSE),"")</f>
        <v/>
      </c>
      <c r="N587" t="str">
        <f>IFERROR(VLOOKUP(M587,tbFactorMes,2,FALSE),"")</f>
        <v/>
      </c>
      <c r="O587">
        <f t="shared" si="126"/>
        <v>0</v>
      </c>
      <c r="R587" t="str">
        <f>IFERROR(VLOOKUP(Q587,tbFactorMes,2,FALSE),"")</f>
        <v/>
      </c>
      <c r="S587">
        <f t="shared" si="127"/>
        <v>0</v>
      </c>
      <c r="V587" t="str">
        <f>IFERROR(VLOOKUP(U587,tbFactorMes,2,FALSE),"")</f>
        <v/>
      </c>
      <c r="W587">
        <f t="shared" si="128"/>
        <v>0</v>
      </c>
      <c r="Z587" t="str">
        <f>IFERROR(VLOOKUP(Y587,tbFactorMes,2,FALSE),"")</f>
        <v/>
      </c>
      <c r="AA587">
        <f t="shared" si="129"/>
        <v>0</v>
      </c>
      <c r="AD587" t="str">
        <f>IFERROR(VLOOKUP(AC587,tbFactorMes,2,FALSE),"")</f>
        <v/>
      </c>
      <c r="AE587">
        <f t="shared" si="130"/>
        <v>0</v>
      </c>
      <c r="AH587" t="str">
        <f>IFERROR(VLOOKUP(AG587,tbFactorMes,2,FALSE),"")</f>
        <v/>
      </c>
      <c r="AI587">
        <f t="shared" si="131"/>
        <v>0</v>
      </c>
      <c r="AL587" t="str">
        <f>IFERROR(VLOOKUP(AK587,tbFactorMes,2,FALSE),"")</f>
        <v/>
      </c>
      <c r="AM587">
        <f t="shared" si="132"/>
        <v>0</v>
      </c>
      <c r="AP587" t="str">
        <f>IFERROR(VLOOKUP(AO587,tbFactorMes,2,FALSE),"")</f>
        <v/>
      </c>
      <c r="AQ587">
        <f t="shared" si="133"/>
        <v>0</v>
      </c>
      <c r="AT587" t="str">
        <f>IFERROR(VLOOKUP(AS587,tbFactorMes,2,FALSE),"")</f>
        <v/>
      </c>
      <c r="AU587">
        <f t="shared" si="134"/>
        <v>0</v>
      </c>
      <c r="AX587" t="str">
        <f>IFERROR(VLOOKUP(AW587,tbFactorMes,2,FALSE),"")</f>
        <v/>
      </c>
      <c r="AY587">
        <f t="shared" si="135"/>
        <v>0</v>
      </c>
      <c r="BB587" t="str">
        <f>IFERROR(VLOOKUP(BA587,tbFactorMes,2,FALSE),"")</f>
        <v/>
      </c>
      <c r="BC587">
        <f t="shared" si="136"/>
        <v>0</v>
      </c>
      <c r="BF587" t="str">
        <f>IFERROR(VLOOKUP(BE587,tbFactorMes,2,FALSE),"")</f>
        <v/>
      </c>
      <c r="BG587">
        <f t="shared" si="137"/>
        <v>0</v>
      </c>
      <c r="BH587">
        <f t="shared" si="138"/>
        <v>0</v>
      </c>
      <c r="BI587">
        <f t="shared" si="139"/>
        <v>0</v>
      </c>
    </row>
    <row r="588" spans="11:61" x14ac:dyDescent="0.35">
      <c r="K588" t="str">
        <f>IFERROR(VLOOKUP(F588,tbTurnos,3,FALSE),"")</f>
        <v/>
      </c>
      <c r="N588" t="str">
        <f>IFERROR(VLOOKUP(M588,tbFactorMes,2,FALSE),"")</f>
        <v/>
      </c>
      <c r="O588">
        <f t="shared" si="126"/>
        <v>0</v>
      </c>
      <c r="R588" t="str">
        <f>IFERROR(VLOOKUP(Q588,tbFactorMes,2,FALSE),"")</f>
        <v/>
      </c>
      <c r="S588">
        <f t="shared" si="127"/>
        <v>0</v>
      </c>
      <c r="V588" t="str">
        <f>IFERROR(VLOOKUP(U588,tbFactorMes,2,FALSE),"")</f>
        <v/>
      </c>
      <c r="W588">
        <f t="shared" si="128"/>
        <v>0</v>
      </c>
      <c r="Z588" t="str">
        <f>IFERROR(VLOOKUP(Y588,tbFactorMes,2,FALSE),"")</f>
        <v/>
      </c>
      <c r="AA588">
        <f t="shared" si="129"/>
        <v>0</v>
      </c>
      <c r="AD588" t="str">
        <f>IFERROR(VLOOKUP(AC588,tbFactorMes,2,FALSE),"")</f>
        <v/>
      </c>
      <c r="AE588">
        <f t="shared" si="130"/>
        <v>0</v>
      </c>
      <c r="AH588" t="str">
        <f>IFERROR(VLOOKUP(AG588,tbFactorMes,2,FALSE),"")</f>
        <v/>
      </c>
      <c r="AI588">
        <f t="shared" si="131"/>
        <v>0</v>
      </c>
      <c r="AL588" t="str">
        <f>IFERROR(VLOOKUP(AK588,tbFactorMes,2,FALSE),"")</f>
        <v/>
      </c>
      <c r="AM588">
        <f t="shared" si="132"/>
        <v>0</v>
      </c>
      <c r="AP588" t="str">
        <f>IFERROR(VLOOKUP(AO588,tbFactorMes,2,FALSE),"")</f>
        <v/>
      </c>
      <c r="AQ588">
        <f t="shared" si="133"/>
        <v>0</v>
      </c>
      <c r="AT588" t="str">
        <f>IFERROR(VLOOKUP(AS588,tbFactorMes,2,FALSE),"")</f>
        <v/>
      </c>
      <c r="AU588">
        <f t="shared" si="134"/>
        <v>0</v>
      </c>
      <c r="AX588" t="str">
        <f>IFERROR(VLOOKUP(AW588,tbFactorMes,2,FALSE),"")</f>
        <v/>
      </c>
      <c r="AY588">
        <f t="shared" si="135"/>
        <v>0</v>
      </c>
      <c r="BB588" t="str">
        <f>IFERROR(VLOOKUP(BA588,tbFactorMes,2,FALSE),"")</f>
        <v/>
      </c>
      <c r="BC588">
        <f t="shared" si="136"/>
        <v>0</v>
      </c>
      <c r="BF588" t="str">
        <f>IFERROR(VLOOKUP(BE588,tbFactorMes,2,FALSE),"")</f>
        <v/>
      </c>
      <c r="BG588">
        <f t="shared" si="137"/>
        <v>0</v>
      </c>
      <c r="BH588">
        <f t="shared" si="138"/>
        <v>0</v>
      </c>
      <c r="BI588">
        <f t="shared" si="139"/>
        <v>0</v>
      </c>
    </row>
    <row r="589" spans="11:61" x14ac:dyDescent="0.35">
      <c r="K589" t="str">
        <f>IFERROR(VLOOKUP(F589,tbTurnos,3,FALSE),"")</f>
        <v/>
      </c>
      <c r="N589" t="str">
        <f>IFERROR(VLOOKUP(M589,tbFactorMes,2,FALSE),"")</f>
        <v/>
      </c>
      <c r="O589">
        <f t="shared" si="126"/>
        <v>0</v>
      </c>
      <c r="R589" t="str">
        <f>IFERROR(VLOOKUP(Q589,tbFactorMes,2,FALSE),"")</f>
        <v/>
      </c>
      <c r="S589">
        <f t="shared" si="127"/>
        <v>0</v>
      </c>
      <c r="V589" t="str">
        <f>IFERROR(VLOOKUP(U589,tbFactorMes,2,FALSE),"")</f>
        <v/>
      </c>
      <c r="W589">
        <f t="shared" si="128"/>
        <v>0</v>
      </c>
      <c r="Z589" t="str">
        <f>IFERROR(VLOOKUP(Y589,tbFactorMes,2,FALSE),"")</f>
        <v/>
      </c>
      <c r="AA589">
        <f t="shared" si="129"/>
        <v>0</v>
      </c>
      <c r="AD589" t="str">
        <f>IFERROR(VLOOKUP(AC589,tbFactorMes,2,FALSE),"")</f>
        <v/>
      </c>
      <c r="AE589">
        <f t="shared" si="130"/>
        <v>0</v>
      </c>
      <c r="AH589" t="str">
        <f>IFERROR(VLOOKUP(AG589,tbFactorMes,2,FALSE),"")</f>
        <v/>
      </c>
      <c r="AI589">
        <f t="shared" si="131"/>
        <v>0</v>
      </c>
      <c r="AL589" t="str">
        <f>IFERROR(VLOOKUP(AK589,tbFactorMes,2,FALSE),"")</f>
        <v/>
      </c>
      <c r="AM589">
        <f t="shared" si="132"/>
        <v>0</v>
      </c>
      <c r="AP589" t="str">
        <f>IFERROR(VLOOKUP(AO589,tbFactorMes,2,FALSE),"")</f>
        <v/>
      </c>
      <c r="AQ589">
        <f t="shared" si="133"/>
        <v>0</v>
      </c>
      <c r="AT589" t="str">
        <f>IFERROR(VLOOKUP(AS589,tbFactorMes,2,FALSE),"")</f>
        <v/>
      </c>
      <c r="AU589">
        <f t="shared" si="134"/>
        <v>0</v>
      </c>
      <c r="AX589" t="str">
        <f>IFERROR(VLOOKUP(AW589,tbFactorMes,2,FALSE),"")</f>
        <v/>
      </c>
      <c r="AY589">
        <f t="shared" si="135"/>
        <v>0</v>
      </c>
      <c r="BB589" t="str">
        <f>IFERROR(VLOOKUP(BA589,tbFactorMes,2,FALSE),"")</f>
        <v/>
      </c>
      <c r="BC589">
        <f t="shared" si="136"/>
        <v>0</v>
      </c>
      <c r="BF589" t="str">
        <f>IFERROR(VLOOKUP(BE589,tbFactorMes,2,FALSE),"")</f>
        <v/>
      </c>
      <c r="BG589">
        <f t="shared" si="137"/>
        <v>0</v>
      </c>
      <c r="BH589">
        <f t="shared" si="138"/>
        <v>0</v>
      </c>
      <c r="BI589">
        <f t="shared" si="139"/>
        <v>0</v>
      </c>
    </row>
    <row r="590" spans="11:61" x14ac:dyDescent="0.35">
      <c r="K590" t="str">
        <f>IFERROR(VLOOKUP(F590,tbTurnos,3,FALSE),"")</f>
        <v/>
      </c>
      <c r="N590" t="str">
        <f>IFERROR(VLOOKUP(M590,tbFactorMes,2,FALSE),"")</f>
        <v/>
      </c>
      <c r="O590">
        <f t="shared" si="126"/>
        <v>0</v>
      </c>
      <c r="R590" t="str">
        <f>IFERROR(VLOOKUP(Q590,tbFactorMes,2,FALSE),"")</f>
        <v/>
      </c>
      <c r="S590">
        <f t="shared" si="127"/>
        <v>0</v>
      </c>
      <c r="V590" t="str">
        <f>IFERROR(VLOOKUP(U590,tbFactorMes,2,FALSE),"")</f>
        <v/>
      </c>
      <c r="W590">
        <f t="shared" si="128"/>
        <v>0</v>
      </c>
      <c r="Z590" t="str">
        <f>IFERROR(VLOOKUP(Y590,tbFactorMes,2,FALSE),"")</f>
        <v/>
      </c>
      <c r="AA590">
        <f t="shared" si="129"/>
        <v>0</v>
      </c>
      <c r="AD590" t="str">
        <f>IFERROR(VLOOKUP(AC590,tbFactorMes,2,FALSE),"")</f>
        <v/>
      </c>
      <c r="AE590">
        <f t="shared" si="130"/>
        <v>0</v>
      </c>
      <c r="AH590" t="str">
        <f>IFERROR(VLOOKUP(AG590,tbFactorMes,2,FALSE),"")</f>
        <v/>
      </c>
      <c r="AI590">
        <f t="shared" si="131"/>
        <v>0</v>
      </c>
      <c r="AL590" t="str">
        <f>IFERROR(VLOOKUP(AK590,tbFactorMes,2,FALSE),"")</f>
        <v/>
      </c>
      <c r="AM590">
        <f t="shared" si="132"/>
        <v>0</v>
      </c>
      <c r="AP590" t="str">
        <f>IFERROR(VLOOKUP(AO590,tbFactorMes,2,FALSE),"")</f>
        <v/>
      </c>
      <c r="AQ590">
        <f t="shared" si="133"/>
        <v>0</v>
      </c>
      <c r="AT590" t="str">
        <f>IFERROR(VLOOKUP(AS590,tbFactorMes,2,FALSE),"")</f>
        <v/>
      </c>
      <c r="AU590">
        <f t="shared" si="134"/>
        <v>0</v>
      </c>
      <c r="AX590" t="str">
        <f>IFERROR(VLOOKUP(AW590,tbFactorMes,2,FALSE),"")</f>
        <v/>
      </c>
      <c r="AY590">
        <f t="shared" si="135"/>
        <v>0</v>
      </c>
      <c r="BB590" t="str">
        <f>IFERROR(VLOOKUP(BA590,tbFactorMes,2,FALSE),"")</f>
        <v/>
      </c>
      <c r="BC590">
        <f t="shared" si="136"/>
        <v>0</v>
      </c>
      <c r="BF590" t="str">
        <f>IFERROR(VLOOKUP(BE590,tbFactorMes,2,FALSE),"")</f>
        <v/>
      </c>
      <c r="BG590">
        <f t="shared" si="137"/>
        <v>0</v>
      </c>
      <c r="BH590">
        <f t="shared" si="138"/>
        <v>0</v>
      </c>
      <c r="BI590">
        <f t="shared" si="139"/>
        <v>0</v>
      </c>
    </row>
    <row r="591" spans="11:61" x14ac:dyDescent="0.35">
      <c r="K591" t="str">
        <f>IFERROR(VLOOKUP(F591,tbTurnos,3,FALSE),"")</f>
        <v/>
      </c>
      <c r="N591" t="str">
        <f>IFERROR(VLOOKUP(M591,tbFactorMes,2,FALSE),"")</f>
        <v/>
      </c>
      <c r="O591">
        <f t="shared" si="126"/>
        <v>0</v>
      </c>
      <c r="R591" t="str">
        <f>IFERROR(VLOOKUP(Q591,tbFactorMes,2,FALSE),"")</f>
        <v/>
      </c>
      <c r="S591">
        <f t="shared" si="127"/>
        <v>0</v>
      </c>
      <c r="V591" t="str">
        <f>IFERROR(VLOOKUP(U591,tbFactorMes,2,FALSE),"")</f>
        <v/>
      </c>
      <c r="W591">
        <f t="shared" si="128"/>
        <v>0</v>
      </c>
      <c r="Z591" t="str">
        <f>IFERROR(VLOOKUP(Y591,tbFactorMes,2,FALSE),"")</f>
        <v/>
      </c>
      <c r="AA591">
        <f t="shared" si="129"/>
        <v>0</v>
      </c>
      <c r="AD591" t="str">
        <f>IFERROR(VLOOKUP(AC591,tbFactorMes,2,FALSE),"")</f>
        <v/>
      </c>
      <c r="AE591">
        <f t="shared" si="130"/>
        <v>0</v>
      </c>
      <c r="AH591" t="str">
        <f>IFERROR(VLOOKUP(AG591,tbFactorMes,2,FALSE),"")</f>
        <v/>
      </c>
      <c r="AI591">
        <f t="shared" si="131"/>
        <v>0</v>
      </c>
      <c r="AL591" t="str">
        <f>IFERROR(VLOOKUP(AK591,tbFactorMes,2,FALSE),"")</f>
        <v/>
      </c>
      <c r="AM591">
        <f t="shared" si="132"/>
        <v>0</v>
      </c>
      <c r="AP591" t="str">
        <f>IFERROR(VLOOKUP(AO591,tbFactorMes,2,FALSE),"")</f>
        <v/>
      </c>
      <c r="AQ591">
        <f t="shared" si="133"/>
        <v>0</v>
      </c>
      <c r="AT591" t="str">
        <f>IFERROR(VLOOKUP(AS591,tbFactorMes,2,FALSE),"")</f>
        <v/>
      </c>
      <c r="AU591">
        <f t="shared" si="134"/>
        <v>0</v>
      </c>
      <c r="AX591" t="str">
        <f>IFERROR(VLOOKUP(AW591,tbFactorMes,2,FALSE),"")</f>
        <v/>
      </c>
      <c r="AY591">
        <f t="shared" si="135"/>
        <v>0</v>
      </c>
      <c r="BB591" t="str">
        <f>IFERROR(VLOOKUP(BA591,tbFactorMes,2,FALSE),"")</f>
        <v/>
      </c>
      <c r="BC591">
        <f t="shared" si="136"/>
        <v>0</v>
      </c>
      <c r="BF591" t="str">
        <f>IFERROR(VLOOKUP(BE591,tbFactorMes,2,FALSE),"")</f>
        <v/>
      </c>
      <c r="BG591">
        <f t="shared" si="137"/>
        <v>0</v>
      </c>
      <c r="BH591">
        <f t="shared" si="138"/>
        <v>0</v>
      </c>
      <c r="BI591">
        <f t="shared" si="139"/>
        <v>0</v>
      </c>
    </row>
    <row r="592" spans="11:61" x14ac:dyDescent="0.35">
      <c r="K592" t="str">
        <f>IFERROR(VLOOKUP(F592,tbTurnos,3,FALSE),"")</f>
        <v/>
      </c>
      <c r="N592" t="str">
        <f>IFERROR(VLOOKUP(M592,tbFactorMes,2,FALSE),"")</f>
        <v/>
      </c>
      <c r="O592">
        <f t="shared" si="126"/>
        <v>0</v>
      </c>
      <c r="R592" t="str">
        <f>IFERROR(VLOOKUP(Q592,tbFactorMes,2,FALSE),"")</f>
        <v/>
      </c>
      <c r="S592">
        <f t="shared" si="127"/>
        <v>0</v>
      </c>
      <c r="V592" t="str">
        <f>IFERROR(VLOOKUP(U592,tbFactorMes,2,FALSE),"")</f>
        <v/>
      </c>
      <c r="W592">
        <f t="shared" si="128"/>
        <v>0</v>
      </c>
      <c r="Z592" t="str">
        <f>IFERROR(VLOOKUP(Y592,tbFactorMes,2,FALSE),"")</f>
        <v/>
      </c>
      <c r="AA592">
        <f t="shared" si="129"/>
        <v>0</v>
      </c>
      <c r="AD592" t="str">
        <f>IFERROR(VLOOKUP(AC592,tbFactorMes,2,FALSE),"")</f>
        <v/>
      </c>
      <c r="AE592">
        <f t="shared" si="130"/>
        <v>0</v>
      </c>
      <c r="AH592" t="str">
        <f>IFERROR(VLOOKUP(AG592,tbFactorMes,2,FALSE),"")</f>
        <v/>
      </c>
      <c r="AI592">
        <f t="shared" si="131"/>
        <v>0</v>
      </c>
      <c r="AL592" t="str">
        <f>IFERROR(VLOOKUP(AK592,tbFactorMes,2,FALSE),"")</f>
        <v/>
      </c>
      <c r="AM592">
        <f t="shared" si="132"/>
        <v>0</v>
      </c>
      <c r="AP592" t="str">
        <f>IFERROR(VLOOKUP(AO592,tbFactorMes,2,FALSE),"")</f>
        <v/>
      </c>
      <c r="AQ592">
        <f t="shared" si="133"/>
        <v>0</v>
      </c>
      <c r="AT592" t="str">
        <f>IFERROR(VLOOKUP(AS592,tbFactorMes,2,FALSE),"")</f>
        <v/>
      </c>
      <c r="AU592">
        <f t="shared" si="134"/>
        <v>0</v>
      </c>
      <c r="AX592" t="str">
        <f>IFERROR(VLOOKUP(AW592,tbFactorMes,2,FALSE),"")</f>
        <v/>
      </c>
      <c r="AY592">
        <f t="shared" si="135"/>
        <v>0</v>
      </c>
      <c r="BB592" t="str">
        <f>IFERROR(VLOOKUP(BA592,tbFactorMes,2,FALSE),"")</f>
        <v/>
      </c>
      <c r="BC592">
        <f t="shared" si="136"/>
        <v>0</v>
      </c>
      <c r="BF592" t="str">
        <f>IFERROR(VLOOKUP(BE592,tbFactorMes,2,FALSE),"")</f>
        <v/>
      </c>
      <c r="BG592">
        <f t="shared" si="137"/>
        <v>0</v>
      </c>
      <c r="BH592">
        <f t="shared" si="138"/>
        <v>0</v>
      </c>
      <c r="BI592">
        <f t="shared" si="139"/>
        <v>0</v>
      </c>
    </row>
    <row r="593" spans="11:61" x14ac:dyDescent="0.35">
      <c r="K593" t="str">
        <f>IFERROR(VLOOKUP(F593,tbTurnos,3,FALSE),"")</f>
        <v/>
      </c>
      <c r="N593" t="str">
        <f>IFERROR(VLOOKUP(M593,tbFactorMes,2,FALSE),"")</f>
        <v/>
      </c>
      <c r="O593">
        <f t="shared" si="126"/>
        <v>0</v>
      </c>
      <c r="R593" t="str">
        <f>IFERROR(VLOOKUP(Q593,tbFactorMes,2,FALSE),"")</f>
        <v/>
      </c>
      <c r="S593">
        <f t="shared" si="127"/>
        <v>0</v>
      </c>
      <c r="V593" t="str">
        <f>IFERROR(VLOOKUP(U593,tbFactorMes,2,FALSE),"")</f>
        <v/>
      </c>
      <c r="W593">
        <f t="shared" si="128"/>
        <v>0</v>
      </c>
      <c r="Z593" t="str">
        <f>IFERROR(VLOOKUP(Y593,tbFactorMes,2,FALSE),"")</f>
        <v/>
      </c>
      <c r="AA593">
        <f t="shared" si="129"/>
        <v>0</v>
      </c>
      <c r="AD593" t="str">
        <f>IFERROR(VLOOKUP(AC593,tbFactorMes,2,FALSE),"")</f>
        <v/>
      </c>
      <c r="AE593">
        <f t="shared" si="130"/>
        <v>0</v>
      </c>
      <c r="AH593" t="str">
        <f>IFERROR(VLOOKUP(AG593,tbFactorMes,2,FALSE),"")</f>
        <v/>
      </c>
      <c r="AI593">
        <f t="shared" si="131"/>
        <v>0</v>
      </c>
      <c r="AL593" t="str">
        <f>IFERROR(VLOOKUP(AK593,tbFactorMes,2,FALSE),"")</f>
        <v/>
      </c>
      <c r="AM593">
        <f t="shared" si="132"/>
        <v>0</v>
      </c>
      <c r="AP593" t="str">
        <f>IFERROR(VLOOKUP(AO593,tbFactorMes,2,FALSE),"")</f>
        <v/>
      </c>
      <c r="AQ593">
        <f t="shared" si="133"/>
        <v>0</v>
      </c>
      <c r="AT593" t="str">
        <f>IFERROR(VLOOKUP(AS593,tbFactorMes,2,FALSE),"")</f>
        <v/>
      </c>
      <c r="AU593">
        <f t="shared" si="134"/>
        <v>0</v>
      </c>
      <c r="AX593" t="str">
        <f>IFERROR(VLOOKUP(AW593,tbFactorMes,2,FALSE),"")</f>
        <v/>
      </c>
      <c r="AY593">
        <f t="shared" si="135"/>
        <v>0</v>
      </c>
      <c r="BB593" t="str">
        <f>IFERROR(VLOOKUP(BA593,tbFactorMes,2,FALSE),"")</f>
        <v/>
      </c>
      <c r="BC593">
        <f t="shared" si="136"/>
        <v>0</v>
      </c>
      <c r="BF593" t="str">
        <f>IFERROR(VLOOKUP(BE593,tbFactorMes,2,FALSE),"")</f>
        <v/>
      </c>
      <c r="BG593">
        <f t="shared" si="137"/>
        <v>0</v>
      </c>
      <c r="BH593">
        <f t="shared" si="138"/>
        <v>0</v>
      </c>
      <c r="BI593">
        <f t="shared" si="139"/>
        <v>0</v>
      </c>
    </row>
    <row r="594" spans="11:61" x14ac:dyDescent="0.35">
      <c r="K594" t="str">
        <f>IFERROR(VLOOKUP(F594,tbTurnos,3,FALSE),"")</f>
        <v/>
      </c>
      <c r="N594" t="str">
        <f>IFERROR(VLOOKUP(M594,tbFactorMes,2,FALSE),"")</f>
        <v/>
      </c>
      <c r="O594">
        <f t="shared" si="126"/>
        <v>0</v>
      </c>
      <c r="R594" t="str">
        <f>IFERROR(VLOOKUP(Q594,tbFactorMes,2,FALSE),"")</f>
        <v/>
      </c>
      <c r="S594">
        <f t="shared" si="127"/>
        <v>0</v>
      </c>
      <c r="V594" t="str">
        <f>IFERROR(VLOOKUP(U594,tbFactorMes,2,FALSE),"")</f>
        <v/>
      </c>
      <c r="W594">
        <f t="shared" si="128"/>
        <v>0</v>
      </c>
      <c r="Z594" t="str">
        <f>IFERROR(VLOOKUP(Y594,tbFactorMes,2,FALSE),"")</f>
        <v/>
      </c>
      <c r="AA594">
        <f t="shared" si="129"/>
        <v>0</v>
      </c>
      <c r="AD594" t="str">
        <f>IFERROR(VLOOKUP(AC594,tbFactorMes,2,FALSE),"")</f>
        <v/>
      </c>
      <c r="AE594">
        <f t="shared" si="130"/>
        <v>0</v>
      </c>
      <c r="AH594" t="str">
        <f>IFERROR(VLOOKUP(AG594,tbFactorMes,2,FALSE),"")</f>
        <v/>
      </c>
      <c r="AI594">
        <f t="shared" si="131"/>
        <v>0</v>
      </c>
      <c r="AL594" t="str">
        <f>IFERROR(VLOOKUP(AK594,tbFactorMes,2,FALSE),"")</f>
        <v/>
      </c>
      <c r="AM594">
        <f t="shared" si="132"/>
        <v>0</v>
      </c>
      <c r="AP594" t="str">
        <f>IFERROR(VLOOKUP(AO594,tbFactorMes,2,FALSE),"")</f>
        <v/>
      </c>
      <c r="AQ594">
        <f t="shared" si="133"/>
        <v>0</v>
      </c>
      <c r="AT594" t="str">
        <f>IFERROR(VLOOKUP(AS594,tbFactorMes,2,FALSE),"")</f>
        <v/>
      </c>
      <c r="AU594">
        <f t="shared" si="134"/>
        <v>0</v>
      </c>
      <c r="AX594" t="str">
        <f>IFERROR(VLOOKUP(AW594,tbFactorMes,2,FALSE),"")</f>
        <v/>
      </c>
      <c r="AY594">
        <f t="shared" si="135"/>
        <v>0</v>
      </c>
      <c r="BB594" t="str">
        <f>IFERROR(VLOOKUP(BA594,tbFactorMes,2,FALSE),"")</f>
        <v/>
      </c>
      <c r="BC594">
        <f t="shared" si="136"/>
        <v>0</v>
      </c>
      <c r="BF594" t="str">
        <f>IFERROR(VLOOKUP(BE594,tbFactorMes,2,FALSE),"")</f>
        <v/>
      </c>
      <c r="BG594">
        <f t="shared" si="137"/>
        <v>0</v>
      </c>
      <c r="BH594">
        <f t="shared" si="138"/>
        <v>0</v>
      </c>
      <c r="BI594">
        <f t="shared" si="139"/>
        <v>0</v>
      </c>
    </row>
    <row r="595" spans="11:61" x14ac:dyDescent="0.35">
      <c r="K595" t="str">
        <f>IFERROR(VLOOKUP(F595,tbTurnos,3,FALSE),"")</f>
        <v/>
      </c>
      <c r="N595" t="str">
        <f>IFERROR(VLOOKUP(M595,tbFactorMes,2,FALSE),"")</f>
        <v/>
      </c>
      <c r="O595">
        <f t="shared" si="126"/>
        <v>0</v>
      </c>
      <c r="R595" t="str">
        <f>IFERROR(VLOOKUP(Q595,tbFactorMes,2,FALSE),"")</f>
        <v/>
      </c>
      <c r="S595">
        <f t="shared" si="127"/>
        <v>0</v>
      </c>
      <c r="V595" t="str">
        <f>IFERROR(VLOOKUP(U595,tbFactorMes,2,FALSE),"")</f>
        <v/>
      </c>
      <c r="W595">
        <f t="shared" si="128"/>
        <v>0</v>
      </c>
      <c r="Z595" t="str">
        <f>IFERROR(VLOOKUP(Y595,tbFactorMes,2,FALSE),"")</f>
        <v/>
      </c>
      <c r="AA595">
        <f t="shared" si="129"/>
        <v>0</v>
      </c>
      <c r="AD595" t="str">
        <f>IFERROR(VLOOKUP(AC595,tbFactorMes,2,FALSE),"")</f>
        <v/>
      </c>
      <c r="AE595">
        <f t="shared" si="130"/>
        <v>0</v>
      </c>
      <c r="AH595" t="str">
        <f>IFERROR(VLOOKUP(AG595,tbFactorMes,2,FALSE),"")</f>
        <v/>
      </c>
      <c r="AI595">
        <f t="shared" si="131"/>
        <v>0</v>
      </c>
      <c r="AL595" t="str">
        <f>IFERROR(VLOOKUP(AK595,tbFactorMes,2,FALSE),"")</f>
        <v/>
      </c>
      <c r="AM595">
        <f t="shared" si="132"/>
        <v>0</v>
      </c>
      <c r="AP595" t="str">
        <f>IFERROR(VLOOKUP(AO595,tbFactorMes,2,FALSE),"")</f>
        <v/>
      </c>
      <c r="AQ595">
        <f t="shared" si="133"/>
        <v>0</v>
      </c>
      <c r="AT595" t="str">
        <f>IFERROR(VLOOKUP(AS595,tbFactorMes,2,FALSE),"")</f>
        <v/>
      </c>
      <c r="AU595">
        <f t="shared" si="134"/>
        <v>0</v>
      </c>
      <c r="AX595" t="str">
        <f>IFERROR(VLOOKUP(AW595,tbFactorMes,2,FALSE),"")</f>
        <v/>
      </c>
      <c r="AY595">
        <f t="shared" si="135"/>
        <v>0</v>
      </c>
      <c r="BB595" t="str">
        <f>IFERROR(VLOOKUP(BA595,tbFactorMes,2,FALSE),"")</f>
        <v/>
      </c>
      <c r="BC595">
        <f t="shared" si="136"/>
        <v>0</v>
      </c>
      <c r="BF595" t="str">
        <f>IFERROR(VLOOKUP(BE595,tbFactorMes,2,FALSE),"")</f>
        <v/>
      </c>
      <c r="BG595">
        <f t="shared" si="137"/>
        <v>0</v>
      </c>
      <c r="BH595">
        <f t="shared" si="138"/>
        <v>0</v>
      </c>
      <c r="BI595">
        <f t="shared" si="139"/>
        <v>0</v>
      </c>
    </row>
    <row r="596" spans="11:61" x14ac:dyDescent="0.35">
      <c r="K596" t="str">
        <f>IFERROR(VLOOKUP(F596,tbTurnos,3,FALSE),"")</f>
        <v/>
      </c>
      <c r="N596" t="str">
        <f>IFERROR(VLOOKUP(M596,tbFactorMes,2,FALSE),"")</f>
        <v/>
      </c>
      <c r="O596">
        <f t="shared" si="126"/>
        <v>0</v>
      </c>
      <c r="R596" t="str">
        <f>IFERROR(VLOOKUP(Q596,tbFactorMes,2,FALSE),"")</f>
        <v/>
      </c>
      <c r="S596">
        <f t="shared" si="127"/>
        <v>0</v>
      </c>
      <c r="V596" t="str">
        <f>IFERROR(VLOOKUP(U596,tbFactorMes,2,FALSE),"")</f>
        <v/>
      </c>
      <c r="W596">
        <f t="shared" si="128"/>
        <v>0</v>
      </c>
      <c r="Z596" t="str">
        <f>IFERROR(VLOOKUP(Y596,tbFactorMes,2,FALSE),"")</f>
        <v/>
      </c>
      <c r="AA596">
        <f t="shared" si="129"/>
        <v>0</v>
      </c>
      <c r="AD596" t="str">
        <f>IFERROR(VLOOKUP(AC596,tbFactorMes,2,FALSE),"")</f>
        <v/>
      </c>
      <c r="AE596">
        <f t="shared" si="130"/>
        <v>0</v>
      </c>
      <c r="AH596" t="str">
        <f>IFERROR(VLOOKUP(AG596,tbFactorMes,2,FALSE),"")</f>
        <v/>
      </c>
      <c r="AI596">
        <f t="shared" si="131"/>
        <v>0</v>
      </c>
      <c r="AL596" t="str">
        <f>IFERROR(VLOOKUP(AK596,tbFactorMes,2,FALSE),"")</f>
        <v/>
      </c>
      <c r="AM596">
        <f t="shared" si="132"/>
        <v>0</v>
      </c>
      <c r="AP596" t="str">
        <f>IFERROR(VLOOKUP(AO596,tbFactorMes,2,FALSE),"")</f>
        <v/>
      </c>
      <c r="AQ596">
        <f t="shared" si="133"/>
        <v>0</v>
      </c>
      <c r="AT596" t="str">
        <f>IFERROR(VLOOKUP(AS596,tbFactorMes,2,FALSE),"")</f>
        <v/>
      </c>
      <c r="AU596">
        <f t="shared" si="134"/>
        <v>0</v>
      </c>
      <c r="AX596" t="str">
        <f>IFERROR(VLOOKUP(AW596,tbFactorMes,2,FALSE),"")</f>
        <v/>
      </c>
      <c r="AY596">
        <f t="shared" si="135"/>
        <v>0</v>
      </c>
      <c r="BB596" t="str">
        <f>IFERROR(VLOOKUP(BA596,tbFactorMes,2,FALSE),"")</f>
        <v/>
      </c>
      <c r="BC596">
        <f t="shared" si="136"/>
        <v>0</v>
      </c>
      <c r="BF596" t="str">
        <f>IFERROR(VLOOKUP(BE596,tbFactorMes,2,FALSE),"")</f>
        <v/>
      </c>
      <c r="BG596">
        <f t="shared" si="137"/>
        <v>0</v>
      </c>
      <c r="BH596">
        <f t="shared" si="138"/>
        <v>0</v>
      </c>
      <c r="BI596">
        <f t="shared" si="139"/>
        <v>0</v>
      </c>
    </row>
    <row r="597" spans="11:61" x14ac:dyDescent="0.35">
      <c r="K597" t="str">
        <f>IFERROR(VLOOKUP(F597,tbTurnos,3,FALSE),"")</f>
        <v/>
      </c>
      <c r="N597" t="str">
        <f>IFERROR(VLOOKUP(M597,tbFactorMes,2,FALSE),"")</f>
        <v/>
      </c>
      <c r="O597">
        <f t="shared" si="126"/>
        <v>0</v>
      </c>
      <c r="R597" t="str">
        <f>IFERROR(VLOOKUP(Q597,tbFactorMes,2,FALSE),"")</f>
        <v/>
      </c>
      <c r="S597">
        <f t="shared" si="127"/>
        <v>0</v>
      </c>
      <c r="V597" t="str">
        <f>IFERROR(VLOOKUP(U597,tbFactorMes,2,FALSE),"")</f>
        <v/>
      </c>
      <c r="W597">
        <f t="shared" si="128"/>
        <v>0</v>
      </c>
      <c r="Z597" t="str">
        <f>IFERROR(VLOOKUP(Y597,tbFactorMes,2,FALSE),"")</f>
        <v/>
      </c>
      <c r="AA597">
        <f t="shared" si="129"/>
        <v>0</v>
      </c>
      <c r="AD597" t="str">
        <f>IFERROR(VLOOKUP(AC597,tbFactorMes,2,FALSE),"")</f>
        <v/>
      </c>
      <c r="AE597">
        <f t="shared" si="130"/>
        <v>0</v>
      </c>
      <c r="AH597" t="str">
        <f>IFERROR(VLOOKUP(AG597,tbFactorMes,2,FALSE),"")</f>
        <v/>
      </c>
      <c r="AI597">
        <f t="shared" si="131"/>
        <v>0</v>
      </c>
      <c r="AL597" t="str">
        <f>IFERROR(VLOOKUP(AK597,tbFactorMes,2,FALSE),"")</f>
        <v/>
      </c>
      <c r="AM597">
        <f t="shared" si="132"/>
        <v>0</v>
      </c>
      <c r="AP597" t="str">
        <f>IFERROR(VLOOKUP(AO597,tbFactorMes,2,FALSE),"")</f>
        <v/>
      </c>
      <c r="AQ597">
        <f t="shared" si="133"/>
        <v>0</v>
      </c>
      <c r="AT597" t="str">
        <f>IFERROR(VLOOKUP(AS597,tbFactorMes,2,FALSE),"")</f>
        <v/>
      </c>
      <c r="AU597">
        <f t="shared" si="134"/>
        <v>0</v>
      </c>
      <c r="AX597" t="str">
        <f>IFERROR(VLOOKUP(AW597,tbFactorMes,2,FALSE),"")</f>
        <v/>
      </c>
      <c r="AY597">
        <f t="shared" si="135"/>
        <v>0</v>
      </c>
      <c r="BB597" t="str">
        <f>IFERROR(VLOOKUP(BA597,tbFactorMes,2,FALSE),"")</f>
        <v/>
      </c>
      <c r="BC597">
        <f t="shared" si="136"/>
        <v>0</v>
      </c>
      <c r="BF597" t="str">
        <f>IFERROR(VLOOKUP(BE597,tbFactorMes,2,FALSE),"")</f>
        <v/>
      </c>
      <c r="BG597">
        <f t="shared" si="137"/>
        <v>0</v>
      </c>
      <c r="BH597">
        <f t="shared" si="138"/>
        <v>0</v>
      </c>
      <c r="BI597">
        <f t="shared" si="139"/>
        <v>0</v>
      </c>
    </row>
    <row r="598" spans="11:61" x14ac:dyDescent="0.35">
      <c r="K598" t="str">
        <f>IFERROR(VLOOKUP(F598,tbTurnos,3,FALSE),"")</f>
        <v/>
      </c>
      <c r="N598" t="str">
        <f>IFERROR(VLOOKUP(M598,tbFactorMes,2,FALSE),"")</f>
        <v/>
      </c>
      <c r="O598">
        <f t="shared" si="126"/>
        <v>0</v>
      </c>
      <c r="R598" t="str">
        <f>IFERROR(VLOOKUP(Q598,tbFactorMes,2,FALSE),"")</f>
        <v/>
      </c>
      <c r="S598">
        <f t="shared" si="127"/>
        <v>0</v>
      </c>
      <c r="V598" t="str">
        <f>IFERROR(VLOOKUP(U598,tbFactorMes,2,FALSE),"")</f>
        <v/>
      </c>
      <c r="W598">
        <f t="shared" si="128"/>
        <v>0</v>
      </c>
      <c r="Z598" t="str">
        <f>IFERROR(VLOOKUP(Y598,tbFactorMes,2,FALSE),"")</f>
        <v/>
      </c>
      <c r="AA598">
        <f t="shared" si="129"/>
        <v>0</v>
      </c>
      <c r="AD598" t="str">
        <f>IFERROR(VLOOKUP(AC598,tbFactorMes,2,FALSE),"")</f>
        <v/>
      </c>
      <c r="AE598">
        <f t="shared" si="130"/>
        <v>0</v>
      </c>
      <c r="AH598" t="str">
        <f>IFERROR(VLOOKUP(AG598,tbFactorMes,2,FALSE),"")</f>
        <v/>
      </c>
      <c r="AI598">
        <f t="shared" si="131"/>
        <v>0</v>
      </c>
      <c r="AL598" t="str">
        <f>IFERROR(VLOOKUP(AK598,tbFactorMes,2,FALSE),"")</f>
        <v/>
      </c>
      <c r="AM598">
        <f t="shared" si="132"/>
        <v>0</v>
      </c>
      <c r="AP598" t="str">
        <f>IFERROR(VLOOKUP(AO598,tbFactorMes,2,FALSE),"")</f>
        <v/>
      </c>
      <c r="AQ598">
        <f t="shared" si="133"/>
        <v>0</v>
      </c>
      <c r="AT598" t="str">
        <f>IFERROR(VLOOKUP(AS598,tbFactorMes,2,FALSE),"")</f>
        <v/>
      </c>
      <c r="AU598">
        <f t="shared" si="134"/>
        <v>0</v>
      </c>
      <c r="AX598" t="str">
        <f>IFERROR(VLOOKUP(AW598,tbFactorMes,2,FALSE),"")</f>
        <v/>
      </c>
      <c r="AY598">
        <f t="shared" si="135"/>
        <v>0</v>
      </c>
      <c r="BB598" t="str">
        <f>IFERROR(VLOOKUP(BA598,tbFactorMes,2,FALSE),"")</f>
        <v/>
      </c>
      <c r="BC598">
        <f t="shared" si="136"/>
        <v>0</v>
      </c>
      <c r="BF598" t="str">
        <f>IFERROR(VLOOKUP(BE598,tbFactorMes,2,FALSE),"")</f>
        <v/>
      </c>
      <c r="BG598">
        <f t="shared" si="137"/>
        <v>0</v>
      </c>
      <c r="BH598">
        <f t="shared" si="138"/>
        <v>0</v>
      </c>
      <c r="BI598">
        <f t="shared" si="139"/>
        <v>0</v>
      </c>
    </row>
    <row r="599" spans="11:61" x14ac:dyDescent="0.35">
      <c r="K599" t="str">
        <f>IFERROR(VLOOKUP(F599,tbTurnos,3,FALSE),"")</f>
        <v/>
      </c>
      <c r="N599" t="str">
        <f>IFERROR(VLOOKUP(M599,tbFactorMes,2,FALSE),"")</f>
        <v/>
      </c>
      <c r="O599">
        <f t="shared" si="126"/>
        <v>0</v>
      </c>
      <c r="R599" t="str">
        <f>IFERROR(VLOOKUP(Q599,tbFactorMes,2,FALSE),"")</f>
        <v/>
      </c>
      <c r="S599">
        <f t="shared" si="127"/>
        <v>0</v>
      </c>
      <c r="V599" t="str">
        <f>IFERROR(VLOOKUP(U599,tbFactorMes,2,FALSE),"")</f>
        <v/>
      </c>
      <c r="W599">
        <f t="shared" si="128"/>
        <v>0</v>
      </c>
      <c r="Z599" t="str">
        <f>IFERROR(VLOOKUP(Y599,tbFactorMes,2,FALSE),"")</f>
        <v/>
      </c>
      <c r="AA599">
        <f t="shared" si="129"/>
        <v>0</v>
      </c>
      <c r="AD599" t="str">
        <f>IFERROR(VLOOKUP(AC599,tbFactorMes,2,FALSE),"")</f>
        <v/>
      </c>
      <c r="AE599">
        <f t="shared" si="130"/>
        <v>0</v>
      </c>
      <c r="AH599" t="str">
        <f>IFERROR(VLOOKUP(AG599,tbFactorMes,2,FALSE),"")</f>
        <v/>
      </c>
      <c r="AI599">
        <f t="shared" si="131"/>
        <v>0</v>
      </c>
      <c r="AL599" t="str">
        <f>IFERROR(VLOOKUP(AK599,tbFactorMes,2,FALSE),"")</f>
        <v/>
      </c>
      <c r="AM599">
        <f t="shared" si="132"/>
        <v>0</v>
      </c>
      <c r="AP599" t="str">
        <f>IFERROR(VLOOKUP(AO599,tbFactorMes,2,FALSE),"")</f>
        <v/>
      </c>
      <c r="AQ599">
        <f t="shared" si="133"/>
        <v>0</v>
      </c>
      <c r="AT599" t="str">
        <f>IFERROR(VLOOKUP(AS599,tbFactorMes,2,FALSE),"")</f>
        <v/>
      </c>
      <c r="AU599">
        <f t="shared" si="134"/>
        <v>0</v>
      </c>
      <c r="AX599" t="str">
        <f>IFERROR(VLOOKUP(AW599,tbFactorMes,2,FALSE),"")</f>
        <v/>
      </c>
      <c r="AY599">
        <f t="shared" si="135"/>
        <v>0</v>
      </c>
      <c r="BB599" t="str">
        <f>IFERROR(VLOOKUP(BA599,tbFactorMes,2,FALSE),"")</f>
        <v/>
      </c>
      <c r="BC599">
        <f t="shared" si="136"/>
        <v>0</v>
      </c>
      <c r="BF599" t="str">
        <f>IFERROR(VLOOKUP(BE599,tbFactorMes,2,FALSE),"")</f>
        <v/>
      </c>
      <c r="BG599">
        <f t="shared" si="137"/>
        <v>0</v>
      </c>
      <c r="BH599">
        <f t="shared" si="138"/>
        <v>0</v>
      </c>
      <c r="BI599">
        <f t="shared" si="139"/>
        <v>0</v>
      </c>
    </row>
    <row r="600" spans="11:61" x14ac:dyDescent="0.35">
      <c r="K600" t="str">
        <f>IFERROR(VLOOKUP(F600,tbTurnos,3,FALSE),"")</f>
        <v/>
      </c>
      <c r="N600" t="str">
        <f>IFERROR(VLOOKUP(M600,tbFactorMes,2,FALSE),"")</f>
        <v/>
      </c>
      <c r="O600">
        <f t="shared" si="126"/>
        <v>0</v>
      </c>
      <c r="R600" t="str">
        <f>IFERROR(VLOOKUP(Q600,tbFactorMes,2,FALSE),"")</f>
        <v/>
      </c>
      <c r="S600">
        <f t="shared" si="127"/>
        <v>0</v>
      </c>
      <c r="V600" t="str">
        <f>IFERROR(VLOOKUP(U600,tbFactorMes,2,FALSE),"")</f>
        <v/>
      </c>
      <c r="W600">
        <f t="shared" si="128"/>
        <v>0</v>
      </c>
      <c r="Z600" t="str">
        <f>IFERROR(VLOOKUP(Y600,tbFactorMes,2,FALSE),"")</f>
        <v/>
      </c>
      <c r="AA600">
        <f t="shared" si="129"/>
        <v>0</v>
      </c>
      <c r="AD600" t="str">
        <f>IFERROR(VLOOKUP(AC600,tbFactorMes,2,FALSE),"")</f>
        <v/>
      </c>
      <c r="AE600">
        <f t="shared" si="130"/>
        <v>0</v>
      </c>
      <c r="AH600" t="str">
        <f>IFERROR(VLOOKUP(AG600,tbFactorMes,2,FALSE),"")</f>
        <v/>
      </c>
      <c r="AI600">
        <f t="shared" si="131"/>
        <v>0</v>
      </c>
      <c r="AL600" t="str">
        <f>IFERROR(VLOOKUP(AK600,tbFactorMes,2,FALSE),"")</f>
        <v/>
      </c>
      <c r="AM600">
        <f t="shared" si="132"/>
        <v>0</v>
      </c>
      <c r="AP600" t="str">
        <f>IFERROR(VLOOKUP(AO600,tbFactorMes,2,FALSE),"")</f>
        <v/>
      </c>
      <c r="AQ600">
        <f t="shared" si="133"/>
        <v>0</v>
      </c>
      <c r="AT600" t="str">
        <f>IFERROR(VLOOKUP(AS600,tbFactorMes,2,FALSE),"")</f>
        <v/>
      </c>
      <c r="AU600">
        <f t="shared" si="134"/>
        <v>0</v>
      </c>
      <c r="AX600" t="str">
        <f>IFERROR(VLOOKUP(AW600,tbFactorMes,2,FALSE),"")</f>
        <v/>
      </c>
      <c r="AY600">
        <f t="shared" si="135"/>
        <v>0</v>
      </c>
      <c r="BB600" t="str">
        <f>IFERROR(VLOOKUP(BA600,tbFactorMes,2,FALSE),"")</f>
        <v/>
      </c>
      <c r="BC600">
        <f t="shared" si="136"/>
        <v>0</v>
      </c>
      <c r="BF600" t="str">
        <f>IFERROR(VLOOKUP(BE600,tbFactorMes,2,FALSE),"")</f>
        <v/>
      </c>
      <c r="BG600">
        <f t="shared" si="137"/>
        <v>0</v>
      </c>
      <c r="BH600">
        <f t="shared" si="138"/>
        <v>0</v>
      </c>
      <c r="BI600">
        <f t="shared" si="139"/>
        <v>0</v>
      </c>
    </row>
    <row r="601" spans="11:61" x14ac:dyDescent="0.35">
      <c r="K601" t="str">
        <f>IFERROR(VLOOKUP(F601,tbTurnos,3,FALSE),"")</f>
        <v/>
      </c>
      <c r="N601" t="str">
        <f>IFERROR(VLOOKUP(M601,tbFactorMes,2,FALSE),"")</f>
        <v/>
      </c>
      <c r="O601">
        <f t="shared" si="126"/>
        <v>0</v>
      </c>
      <c r="R601" t="str">
        <f>IFERROR(VLOOKUP(Q601,tbFactorMes,2,FALSE),"")</f>
        <v/>
      </c>
      <c r="S601">
        <f t="shared" si="127"/>
        <v>0</v>
      </c>
      <c r="V601" t="str">
        <f>IFERROR(VLOOKUP(U601,tbFactorMes,2,FALSE),"")</f>
        <v/>
      </c>
      <c r="W601">
        <f t="shared" si="128"/>
        <v>0</v>
      </c>
      <c r="Z601" t="str">
        <f>IFERROR(VLOOKUP(Y601,tbFactorMes,2,FALSE),"")</f>
        <v/>
      </c>
      <c r="AA601">
        <f t="shared" si="129"/>
        <v>0</v>
      </c>
      <c r="AD601" t="str">
        <f>IFERROR(VLOOKUP(AC601,tbFactorMes,2,FALSE),"")</f>
        <v/>
      </c>
      <c r="AE601">
        <f t="shared" si="130"/>
        <v>0</v>
      </c>
      <c r="AH601" t="str">
        <f>IFERROR(VLOOKUP(AG601,tbFactorMes,2,FALSE),"")</f>
        <v/>
      </c>
      <c r="AI601">
        <f t="shared" si="131"/>
        <v>0</v>
      </c>
      <c r="AL601" t="str">
        <f>IFERROR(VLOOKUP(AK601,tbFactorMes,2,FALSE),"")</f>
        <v/>
      </c>
      <c r="AM601">
        <f t="shared" si="132"/>
        <v>0</v>
      </c>
      <c r="AP601" t="str">
        <f>IFERROR(VLOOKUP(AO601,tbFactorMes,2,FALSE),"")</f>
        <v/>
      </c>
      <c r="AQ601">
        <f t="shared" si="133"/>
        <v>0</v>
      </c>
      <c r="AT601" t="str">
        <f>IFERROR(VLOOKUP(AS601,tbFactorMes,2,FALSE),"")</f>
        <v/>
      </c>
      <c r="AU601">
        <f t="shared" si="134"/>
        <v>0</v>
      </c>
      <c r="AX601" t="str">
        <f>IFERROR(VLOOKUP(AW601,tbFactorMes,2,FALSE),"")</f>
        <v/>
      </c>
      <c r="AY601">
        <f t="shared" si="135"/>
        <v>0</v>
      </c>
      <c r="BB601" t="str">
        <f>IFERROR(VLOOKUP(BA601,tbFactorMes,2,FALSE),"")</f>
        <v/>
      </c>
      <c r="BC601">
        <f t="shared" si="136"/>
        <v>0</v>
      </c>
      <c r="BF601" t="str">
        <f>IFERROR(VLOOKUP(BE601,tbFactorMes,2,FALSE),"")</f>
        <v/>
      </c>
      <c r="BG601">
        <f t="shared" si="137"/>
        <v>0</v>
      </c>
      <c r="BH601">
        <f t="shared" si="138"/>
        <v>0</v>
      </c>
      <c r="BI601">
        <f t="shared" si="139"/>
        <v>0</v>
      </c>
    </row>
    <row r="602" spans="11:61" x14ac:dyDescent="0.35">
      <c r="K602" t="str">
        <f>IFERROR(VLOOKUP(F602,tbTurnos,3,FALSE),"")</f>
        <v/>
      </c>
      <c r="N602" t="str">
        <f>IFERROR(VLOOKUP(M602,tbFactorMes,2,FALSE),"")</f>
        <v/>
      </c>
      <c r="O602">
        <f t="shared" si="126"/>
        <v>0</v>
      </c>
      <c r="R602" t="str">
        <f>IFERROR(VLOOKUP(Q602,tbFactorMes,2,FALSE),"")</f>
        <v/>
      </c>
      <c r="S602">
        <f t="shared" si="127"/>
        <v>0</v>
      </c>
      <c r="V602" t="str">
        <f>IFERROR(VLOOKUP(U602,tbFactorMes,2,FALSE),"")</f>
        <v/>
      </c>
      <c r="W602">
        <f t="shared" si="128"/>
        <v>0</v>
      </c>
      <c r="Z602" t="str">
        <f>IFERROR(VLOOKUP(Y602,tbFactorMes,2,FALSE),"")</f>
        <v/>
      </c>
      <c r="AA602">
        <f t="shared" si="129"/>
        <v>0</v>
      </c>
      <c r="AD602" t="str">
        <f>IFERROR(VLOOKUP(AC602,tbFactorMes,2,FALSE),"")</f>
        <v/>
      </c>
      <c r="AE602">
        <f t="shared" si="130"/>
        <v>0</v>
      </c>
      <c r="AH602" t="str">
        <f>IFERROR(VLOOKUP(AG602,tbFactorMes,2,FALSE),"")</f>
        <v/>
      </c>
      <c r="AI602">
        <f t="shared" si="131"/>
        <v>0</v>
      </c>
      <c r="AL602" t="str">
        <f>IFERROR(VLOOKUP(AK602,tbFactorMes,2,FALSE),"")</f>
        <v/>
      </c>
      <c r="AM602">
        <f t="shared" si="132"/>
        <v>0</v>
      </c>
      <c r="AP602" t="str">
        <f>IFERROR(VLOOKUP(AO602,tbFactorMes,2,FALSE),"")</f>
        <v/>
      </c>
      <c r="AQ602">
        <f t="shared" si="133"/>
        <v>0</v>
      </c>
      <c r="AT602" t="str">
        <f>IFERROR(VLOOKUP(AS602,tbFactorMes,2,FALSE),"")</f>
        <v/>
      </c>
      <c r="AU602">
        <f t="shared" si="134"/>
        <v>0</v>
      </c>
      <c r="AX602" t="str">
        <f>IFERROR(VLOOKUP(AW602,tbFactorMes,2,FALSE),"")</f>
        <v/>
      </c>
      <c r="AY602">
        <f t="shared" si="135"/>
        <v>0</v>
      </c>
      <c r="BB602" t="str">
        <f>IFERROR(VLOOKUP(BA602,tbFactorMes,2,FALSE),"")</f>
        <v/>
      </c>
      <c r="BC602">
        <f t="shared" si="136"/>
        <v>0</v>
      </c>
      <c r="BF602" t="str">
        <f>IFERROR(VLOOKUP(BE602,tbFactorMes,2,FALSE),"")</f>
        <v/>
      </c>
      <c r="BG602">
        <f t="shared" si="137"/>
        <v>0</v>
      </c>
      <c r="BH602">
        <f t="shared" si="138"/>
        <v>0</v>
      </c>
      <c r="BI602">
        <f t="shared" si="139"/>
        <v>0</v>
      </c>
    </row>
    <row r="603" spans="11:61" x14ac:dyDescent="0.35">
      <c r="K603" t="str">
        <f>IFERROR(VLOOKUP(F603,tbTurnos,3,FALSE),"")</f>
        <v/>
      </c>
      <c r="N603" t="str">
        <f>IFERROR(VLOOKUP(M603,tbFactorMes,2,FALSE),"")</f>
        <v/>
      </c>
      <c r="O603">
        <f t="shared" si="126"/>
        <v>0</v>
      </c>
      <c r="R603" t="str">
        <f>IFERROR(VLOOKUP(Q603,tbFactorMes,2,FALSE),"")</f>
        <v/>
      </c>
      <c r="S603">
        <f t="shared" si="127"/>
        <v>0</v>
      </c>
      <c r="V603" t="str">
        <f>IFERROR(VLOOKUP(U603,tbFactorMes,2,FALSE),"")</f>
        <v/>
      </c>
      <c r="W603">
        <f t="shared" si="128"/>
        <v>0</v>
      </c>
      <c r="Z603" t="str">
        <f>IFERROR(VLOOKUP(Y603,tbFactorMes,2,FALSE),"")</f>
        <v/>
      </c>
      <c r="AA603">
        <f t="shared" si="129"/>
        <v>0</v>
      </c>
      <c r="AD603" t="str">
        <f>IFERROR(VLOOKUP(AC603,tbFactorMes,2,FALSE),"")</f>
        <v/>
      </c>
      <c r="AE603">
        <f t="shared" si="130"/>
        <v>0</v>
      </c>
      <c r="AH603" t="str">
        <f>IFERROR(VLOOKUP(AG603,tbFactorMes,2,FALSE),"")</f>
        <v/>
      </c>
      <c r="AI603">
        <f t="shared" si="131"/>
        <v>0</v>
      </c>
      <c r="AL603" t="str">
        <f>IFERROR(VLOOKUP(AK603,tbFactorMes,2,FALSE),"")</f>
        <v/>
      </c>
      <c r="AM603">
        <f t="shared" si="132"/>
        <v>0</v>
      </c>
      <c r="AP603" t="str">
        <f>IFERROR(VLOOKUP(AO603,tbFactorMes,2,FALSE),"")</f>
        <v/>
      </c>
      <c r="AQ603">
        <f t="shared" si="133"/>
        <v>0</v>
      </c>
      <c r="AT603" t="str">
        <f>IFERROR(VLOOKUP(AS603,tbFactorMes,2,FALSE),"")</f>
        <v/>
      </c>
      <c r="AU603">
        <f t="shared" si="134"/>
        <v>0</v>
      </c>
      <c r="AX603" t="str">
        <f>IFERROR(VLOOKUP(AW603,tbFactorMes,2,FALSE),"")</f>
        <v/>
      </c>
      <c r="AY603">
        <f t="shared" si="135"/>
        <v>0</v>
      </c>
      <c r="BB603" t="str">
        <f>IFERROR(VLOOKUP(BA603,tbFactorMes,2,FALSE),"")</f>
        <v/>
      </c>
      <c r="BC603">
        <f t="shared" si="136"/>
        <v>0</v>
      </c>
      <c r="BF603" t="str">
        <f>IFERROR(VLOOKUP(BE603,tbFactorMes,2,FALSE),"")</f>
        <v/>
      </c>
      <c r="BG603">
        <f t="shared" si="137"/>
        <v>0</v>
      </c>
      <c r="BH603">
        <f t="shared" si="138"/>
        <v>0</v>
      </c>
      <c r="BI603">
        <f t="shared" si="139"/>
        <v>0</v>
      </c>
    </row>
    <row r="604" spans="11:61" x14ac:dyDescent="0.35">
      <c r="K604" t="str">
        <f>IFERROR(VLOOKUP(F604,tbTurnos,3,FALSE),"")</f>
        <v/>
      </c>
      <c r="N604" t="str">
        <f>IFERROR(VLOOKUP(M604,tbFactorMes,2,FALSE),"")</f>
        <v/>
      </c>
      <c r="O604">
        <f t="shared" si="126"/>
        <v>0</v>
      </c>
      <c r="R604" t="str">
        <f>IFERROR(VLOOKUP(Q604,tbFactorMes,2,FALSE),"")</f>
        <v/>
      </c>
      <c r="S604">
        <f t="shared" si="127"/>
        <v>0</v>
      </c>
      <c r="V604" t="str">
        <f>IFERROR(VLOOKUP(U604,tbFactorMes,2,FALSE),"")</f>
        <v/>
      </c>
      <c r="W604">
        <f t="shared" si="128"/>
        <v>0</v>
      </c>
      <c r="Z604" t="str">
        <f>IFERROR(VLOOKUP(Y604,tbFactorMes,2,FALSE),"")</f>
        <v/>
      </c>
      <c r="AA604">
        <f t="shared" si="129"/>
        <v>0</v>
      </c>
      <c r="AD604" t="str">
        <f>IFERROR(VLOOKUP(AC604,tbFactorMes,2,FALSE),"")</f>
        <v/>
      </c>
      <c r="AE604">
        <f t="shared" si="130"/>
        <v>0</v>
      </c>
      <c r="AH604" t="str">
        <f>IFERROR(VLOOKUP(AG604,tbFactorMes,2,FALSE),"")</f>
        <v/>
      </c>
      <c r="AI604">
        <f t="shared" si="131"/>
        <v>0</v>
      </c>
      <c r="AL604" t="str">
        <f>IFERROR(VLOOKUP(AK604,tbFactorMes,2,FALSE),"")</f>
        <v/>
      </c>
      <c r="AM604">
        <f t="shared" si="132"/>
        <v>0</v>
      </c>
      <c r="AP604" t="str">
        <f>IFERROR(VLOOKUP(AO604,tbFactorMes,2,FALSE),"")</f>
        <v/>
      </c>
      <c r="AQ604">
        <f t="shared" si="133"/>
        <v>0</v>
      </c>
      <c r="AT604" t="str">
        <f>IFERROR(VLOOKUP(AS604,tbFactorMes,2,FALSE),"")</f>
        <v/>
      </c>
      <c r="AU604">
        <f t="shared" si="134"/>
        <v>0</v>
      </c>
      <c r="AX604" t="str">
        <f>IFERROR(VLOOKUP(AW604,tbFactorMes,2,FALSE),"")</f>
        <v/>
      </c>
      <c r="AY604">
        <f t="shared" si="135"/>
        <v>0</v>
      </c>
      <c r="BB604" t="str">
        <f>IFERROR(VLOOKUP(BA604,tbFactorMes,2,FALSE),"")</f>
        <v/>
      </c>
      <c r="BC604">
        <f t="shared" si="136"/>
        <v>0</v>
      </c>
      <c r="BF604" t="str">
        <f>IFERROR(VLOOKUP(BE604,tbFactorMes,2,FALSE),"")</f>
        <v/>
      </c>
      <c r="BG604">
        <f t="shared" si="137"/>
        <v>0</v>
      </c>
      <c r="BH604">
        <f t="shared" si="138"/>
        <v>0</v>
      </c>
      <c r="BI604">
        <f t="shared" si="139"/>
        <v>0</v>
      </c>
    </row>
    <row r="605" spans="11:61" x14ac:dyDescent="0.35">
      <c r="K605" t="str">
        <f>IFERROR(VLOOKUP(F605,tbTurnos,3,FALSE),"")</f>
        <v/>
      </c>
      <c r="N605" t="str">
        <f>IFERROR(VLOOKUP(M605,tbFactorMes,2,FALSE),"")</f>
        <v/>
      </c>
      <c r="O605">
        <f t="shared" si="126"/>
        <v>0</v>
      </c>
      <c r="R605" t="str">
        <f>IFERROR(VLOOKUP(Q605,tbFactorMes,2,FALSE),"")</f>
        <v/>
      </c>
      <c r="S605">
        <f t="shared" si="127"/>
        <v>0</v>
      </c>
      <c r="V605" t="str">
        <f>IFERROR(VLOOKUP(U605,tbFactorMes,2,FALSE),"")</f>
        <v/>
      </c>
      <c r="W605">
        <f t="shared" si="128"/>
        <v>0</v>
      </c>
      <c r="Z605" t="str">
        <f>IFERROR(VLOOKUP(Y605,tbFactorMes,2,FALSE),"")</f>
        <v/>
      </c>
      <c r="AA605">
        <f t="shared" si="129"/>
        <v>0</v>
      </c>
      <c r="AD605" t="str">
        <f>IFERROR(VLOOKUP(AC605,tbFactorMes,2,FALSE),"")</f>
        <v/>
      </c>
      <c r="AE605">
        <f t="shared" si="130"/>
        <v>0</v>
      </c>
      <c r="AH605" t="str">
        <f>IFERROR(VLOOKUP(AG605,tbFactorMes,2,FALSE),"")</f>
        <v/>
      </c>
      <c r="AI605">
        <f t="shared" si="131"/>
        <v>0</v>
      </c>
      <c r="AL605" t="str">
        <f>IFERROR(VLOOKUP(AK605,tbFactorMes,2,FALSE),"")</f>
        <v/>
      </c>
      <c r="AM605">
        <f t="shared" si="132"/>
        <v>0</v>
      </c>
      <c r="AP605" t="str">
        <f>IFERROR(VLOOKUP(AO605,tbFactorMes,2,FALSE),"")</f>
        <v/>
      </c>
      <c r="AQ605">
        <f t="shared" si="133"/>
        <v>0</v>
      </c>
      <c r="AT605" t="str">
        <f>IFERROR(VLOOKUP(AS605,tbFactorMes,2,FALSE),"")</f>
        <v/>
      </c>
      <c r="AU605">
        <f t="shared" si="134"/>
        <v>0</v>
      </c>
      <c r="AX605" t="str">
        <f>IFERROR(VLOOKUP(AW605,tbFactorMes,2,FALSE),"")</f>
        <v/>
      </c>
      <c r="AY605">
        <f t="shared" si="135"/>
        <v>0</v>
      </c>
      <c r="BB605" t="str">
        <f>IFERROR(VLOOKUP(BA605,tbFactorMes,2,FALSE),"")</f>
        <v/>
      </c>
      <c r="BC605">
        <f t="shared" si="136"/>
        <v>0</v>
      </c>
      <c r="BF605" t="str">
        <f>IFERROR(VLOOKUP(BE605,tbFactorMes,2,FALSE),"")</f>
        <v/>
      </c>
      <c r="BG605">
        <f t="shared" si="137"/>
        <v>0</v>
      </c>
      <c r="BH605">
        <f t="shared" si="138"/>
        <v>0</v>
      </c>
      <c r="BI605">
        <f t="shared" si="139"/>
        <v>0</v>
      </c>
    </row>
    <row r="606" spans="11:61" x14ac:dyDescent="0.35">
      <c r="K606" t="str">
        <f>IFERROR(VLOOKUP(F606,tbTurnos,3,FALSE),"")</f>
        <v/>
      </c>
      <c r="N606" t="str">
        <f>IFERROR(VLOOKUP(M606,tbFactorMes,2,FALSE),"")</f>
        <v/>
      </c>
      <c r="O606">
        <f t="shared" si="126"/>
        <v>0</v>
      </c>
      <c r="R606" t="str">
        <f>IFERROR(VLOOKUP(Q606,tbFactorMes,2,FALSE),"")</f>
        <v/>
      </c>
      <c r="S606">
        <f t="shared" si="127"/>
        <v>0</v>
      </c>
      <c r="V606" t="str">
        <f>IFERROR(VLOOKUP(U606,tbFactorMes,2,FALSE),"")</f>
        <v/>
      </c>
      <c r="W606">
        <f t="shared" si="128"/>
        <v>0</v>
      </c>
      <c r="Z606" t="str">
        <f>IFERROR(VLOOKUP(Y606,tbFactorMes,2,FALSE),"")</f>
        <v/>
      </c>
      <c r="AA606">
        <f t="shared" si="129"/>
        <v>0</v>
      </c>
      <c r="AD606" t="str">
        <f>IFERROR(VLOOKUP(AC606,tbFactorMes,2,FALSE),"")</f>
        <v/>
      </c>
      <c r="AE606">
        <f t="shared" si="130"/>
        <v>0</v>
      </c>
      <c r="AH606" t="str">
        <f>IFERROR(VLOOKUP(AG606,tbFactorMes,2,FALSE),"")</f>
        <v/>
      </c>
      <c r="AI606">
        <f t="shared" si="131"/>
        <v>0</v>
      </c>
      <c r="AL606" t="str">
        <f>IFERROR(VLOOKUP(AK606,tbFactorMes,2,FALSE),"")</f>
        <v/>
      </c>
      <c r="AM606">
        <f t="shared" si="132"/>
        <v>0</v>
      </c>
      <c r="AP606" t="str">
        <f>IFERROR(VLOOKUP(AO606,tbFactorMes,2,FALSE),"")</f>
        <v/>
      </c>
      <c r="AQ606">
        <f t="shared" si="133"/>
        <v>0</v>
      </c>
      <c r="AT606" t="str">
        <f>IFERROR(VLOOKUP(AS606,tbFactorMes,2,FALSE),"")</f>
        <v/>
      </c>
      <c r="AU606">
        <f t="shared" si="134"/>
        <v>0</v>
      </c>
      <c r="AX606" t="str">
        <f>IFERROR(VLOOKUP(AW606,tbFactorMes,2,FALSE),"")</f>
        <v/>
      </c>
      <c r="AY606">
        <f t="shared" si="135"/>
        <v>0</v>
      </c>
      <c r="BB606" t="str">
        <f>IFERROR(VLOOKUP(BA606,tbFactorMes,2,FALSE),"")</f>
        <v/>
      </c>
      <c r="BC606">
        <f t="shared" si="136"/>
        <v>0</v>
      </c>
      <c r="BF606" t="str">
        <f>IFERROR(VLOOKUP(BE606,tbFactorMes,2,FALSE),"")</f>
        <v/>
      </c>
      <c r="BG606">
        <f t="shared" si="137"/>
        <v>0</v>
      </c>
      <c r="BH606">
        <f t="shared" si="138"/>
        <v>0</v>
      </c>
      <c r="BI606">
        <f t="shared" si="139"/>
        <v>0</v>
      </c>
    </row>
    <row r="607" spans="11:61" x14ac:dyDescent="0.35">
      <c r="K607" t="str">
        <f>IFERROR(VLOOKUP(F607,tbTurnos,3,FALSE),"")</f>
        <v/>
      </c>
      <c r="N607" t="str">
        <f>IFERROR(VLOOKUP(M607,tbFactorMes,2,FALSE),"")</f>
        <v/>
      </c>
      <c r="O607">
        <f t="shared" si="126"/>
        <v>0</v>
      </c>
      <c r="R607" t="str">
        <f>IFERROR(VLOOKUP(Q607,tbFactorMes,2,FALSE),"")</f>
        <v/>
      </c>
      <c r="S607">
        <f t="shared" si="127"/>
        <v>0</v>
      </c>
      <c r="V607" t="str">
        <f>IFERROR(VLOOKUP(U607,tbFactorMes,2,FALSE),"")</f>
        <v/>
      </c>
      <c r="W607">
        <f t="shared" si="128"/>
        <v>0</v>
      </c>
      <c r="Z607" t="str">
        <f>IFERROR(VLOOKUP(Y607,tbFactorMes,2,FALSE),"")</f>
        <v/>
      </c>
      <c r="AA607">
        <f t="shared" si="129"/>
        <v>0</v>
      </c>
      <c r="AD607" t="str">
        <f>IFERROR(VLOOKUP(AC607,tbFactorMes,2,FALSE),"")</f>
        <v/>
      </c>
      <c r="AE607">
        <f t="shared" si="130"/>
        <v>0</v>
      </c>
      <c r="AH607" t="str">
        <f>IFERROR(VLOOKUP(AG607,tbFactorMes,2,FALSE),"")</f>
        <v/>
      </c>
      <c r="AI607">
        <f t="shared" si="131"/>
        <v>0</v>
      </c>
      <c r="AL607" t="str">
        <f>IFERROR(VLOOKUP(AK607,tbFactorMes,2,FALSE),"")</f>
        <v/>
      </c>
      <c r="AM607">
        <f t="shared" si="132"/>
        <v>0</v>
      </c>
      <c r="AP607" t="str">
        <f>IFERROR(VLOOKUP(AO607,tbFactorMes,2,FALSE),"")</f>
        <v/>
      </c>
      <c r="AQ607">
        <f t="shared" si="133"/>
        <v>0</v>
      </c>
      <c r="AT607" t="str">
        <f>IFERROR(VLOOKUP(AS607,tbFactorMes,2,FALSE),"")</f>
        <v/>
      </c>
      <c r="AU607">
        <f t="shared" si="134"/>
        <v>0</v>
      </c>
      <c r="AX607" t="str">
        <f>IFERROR(VLOOKUP(AW607,tbFactorMes,2,FALSE),"")</f>
        <v/>
      </c>
      <c r="AY607">
        <f t="shared" si="135"/>
        <v>0</v>
      </c>
      <c r="BB607" t="str">
        <f>IFERROR(VLOOKUP(BA607,tbFactorMes,2,FALSE),"")</f>
        <v/>
      </c>
      <c r="BC607">
        <f t="shared" si="136"/>
        <v>0</v>
      </c>
      <c r="BF607" t="str">
        <f>IFERROR(VLOOKUP(BE607,tbFactorMes,2,FALSE),"")</f>
        <v/>
      </c>
      <c r="BG607">
        <f t="shared" si="137"/>
        <v>0</v>
      </c>
      <c r="BH607">
        <f t="shared" si="138"/>
        <v>0</v>
      </c>
      <c r="BI607">
        <f t="shared" si="139"/>
        <v>0</v>
      </c>
    </row>
    <row r="608" spans="11:61" x14ac:dyDescent="0.35">
      <c r="K608" t="str">
        <f>IFERROR(VLOOKUP(F608,tbTurnos,3,FALSE),"")</f>
        <v/>
      </c>
      <c r="N608" t="str">
        <f>IFERROR(VLOOKUP(M608,tbFactorMes,2,FALSE),"")</f>
        <v/>
      </c>
      <c r="O608">
        <f t="shared" si="126"/>
        <v>0</v>
      </c>
      <c r="R608" t="str">
        <f>IFERROR(VLOOKUP(Q608,tbFactorMes,2,FALSE),"")</f>
        <v/>
      </c>
      <c r="S608">
        <f t="shared" si="127"/>
        <v>0</v>
      </c>
      <c r="V608" t="str">
        <f>IFERROR(VLOOKUP(U608,tbFactorMes,2,FALSE),"")</f>
        <v/>
      </c>
      <c r="W608">
        <f t="shared" si="128"/>
        <v>0</v>
      </c>
      <c r="Z608" t="str">
        <f>IFERROR(VLOOKUP(Y608,tbFactorMes,2,FALSE),"")</f>
        <v/>
      </c>
      <c r="AA608">
        <f t="shared" si="129"/>
        <v>0</v>
      </c>
      <c r="AD608" t="str">
        <f>IFERROR(VLOOKUP(AC608,tbFactorMes,2,FALSE),"")</f>
        <v/>
      </c>
      <c r="AE608">
        <f t="shared" si="130"/>
        <v>0</v>
      </c>
      <c r="AH608" t="str">
        <f>IFERROR(VLOOKUP(AG608,tbFactorMes,2,FALSE),"")</f>
        <v/>
      </c>
      <c r="AI608">
        <f t="shared" si="131"/>
        <v>0</v>
      </c>
      <c r="AL608" t="str">
        <f>IFERROR(VLOOKUP(AK608,tbFactorMes,2,FALSE),"")</f>
        <v/>
      </c>
      <c r="AM608">
        <f t="shared" si="132"/>
        <v>0</v>
      </c>
      <c r="AP608" t="str">
        <f>IFERROR(VLOOKUP(AO608,tbFactorMes,2,FALSE),"")</f>
        <v/>
      </c>
      <c r="AQ608">
        <f t="shared" si="133"/>
        <v>0</v>
      </c>
      <c r="AT608" t="str">
        <f>IFERROR(VLOOKUP(AS608,tbFactorMes,2,FALSE),"")</f>
        <v/>
      </c>
      <c r="AU608">
        <f t="shared" si="134"/>
        <v>0</v>
      </c>
      <c r="AX608" t="str">
        <f>IFERROR(VLOOKUP(AW608,tbFactorMes,2,FALSE),"")</f>
        <v/>
      </c>
      <c r="AY608">
        <f t="shared" si="135"/>
        <v>0</v>
      </c>
      <c r="BB608" t="str">
        <f>IFERROR(VLOOKUP(BA608,tbFactorMes,2,FALSE),"")</f>
        <v/>
      </c>
      <c r="BC608">
        <f t="shared" si="136"/>
        <v>0</v>
      </c>
      <c r="BF608" t="str">
        <f>IFERROR(VLOOKUP(BE608,tbFactorMes,2,FALSE),"")</f>
        <v/>
      </c>
      <c r="BG608">
        <f t="shared" si="137"/>
        <v>0</v>
      </c>
      <c r="BH608">
        <f t="shared" si="138"/>
        <v>0</v>
      </c>
      <c r="BI608">
        <f t="shared" si="139"/>
        <v>0</v>
      </c>
    </row>
    <row r="609" spans="11:61" x14ac:dyDescent="0.35">
      <c r="K609" t="str">
        <f>IFERROR(VLOOKUP(F609,tbTurnos,3,FALSE),"")</f>
        <v/>
      </c>
      <c r="N609" t="str">
        <f>IFERROR(VLOOKUP(M609,tbFactorMes,2,FALSE),"")</f>
        <v/>
      </c>
      <c r="O609">
        <f t="shared" si="126"/>
        <v>0</v>
      </c>
      <c r="R609" t="str">
        <f>IFERROR(VLOOKUP(Q609,tbFactorMes,2,FALSE),"")</f>
        <v/>
      </c>
      <c r="S609">
        <f t="shared" si="127"/>
        <v>0</v>
      </c>
      <c r="V609" t="str">
        <f>IFERROR(VLOOKUP(U609,tbFactorMes,2,FALSE),"")</f>
        <v/>
      </c>
      <c r="W609">
        <f t="shared" si="128"/>
        <v>0</v>
      </c>
      <c r="Z609" t="str">
        <f>IFERROR(VLOOKUP(Y609,tbFactorMes,2,FALSE),"")</f>
        <v/>
      </c>
      <c r="AA609">
        <f t="shared" si="129"/>
        <v>0</v>
      </c>
      <c r="AD609" t="str">
        <f>IFERROR(VLOOKUP(AC609,tbFactorMes,2,FALSE),"")</f>
        <v/>
      </c>
      <c r="AE609">
        <f t="shared" si="130"/>
        <v>0</v>
      </c>
      <c r="AH609" t="str">
        <f>IFERROR(VLOOKUP(AG609,tbFactorMes,2,FALSE),"")</f>
        <v/>
      </c>
      <c r="AI609">
        <f t="shared" si="131"/>
        <v>0</v>
      </c>
      <c r="AL609" t="str">
        <f>IFERROR(VLOOKUP(AK609,tbFactorMes,2,FALSE),"")</f>
        <v/>
      </c>
      <c r="AM609">
        <f t="shared" si="132"/>
        <v>0</v>
      </c>
      <c r="AP609" t="str">
        <f>IFERROR(VLOOKUP(AO609,tbFactorMes,2,FALSE),"")</f>
        <v/>
      </c>
      <c r="AQ609">
        <f t="shared" si="133"/>
        <v>0</v>
      </c>
      <c r="AT609" t="str">
        <f>IFERROR(VLOOKUP(AS609,tbFactorMes,2,FALSE),"")</f>
        <v/>
      </c>
      <c r="AU609">
        <f t="shared" si="134"/>
        <v>0</v>
      </c>
      <c r="AX609" t="str">
        <f>IFERROR(VLOOKUP(AW609,tbFactorMes,2,FALSE),"")</f>
        <v/>
      </c>
      <c r="AY609">
        <f t="shared" si="135"/>
        <v>0</v>
      </c>
      <c r="BB609" t="str">
        <f>IFERROR(VLOOKUP(BA609,tbFactorMes,2,FALSE),"")</f>
        <v/>
      </c>
      <c r="BC609">
        <f t="shared" si="136"/>
        <v>0</v>
      </c>
      <c r="BF609" t="str">
        <f>IFERROR(VLOOKUP(BE609,tbFactorMes,2,FALSE),"")</f>
        <v/>
      </c>
      <c r="BG609">
        <f t="shared" si="137"/>
        <v>0</v>
      </c>
      <c r="BH609">
        <f t="shared" si="138"/>
        <v>0</v>
      </c>
      <c r="BI609">
        <f t="shared" si="139"/>
        <v>0</v>
      </c>
    </row>
    <row r="610" spans="11:61" x14ac:dyDescent="0.35">
      <c r="K610" t="str">
        <f>IFERROR(VLOOKUP(F610,tbTurnos,3,FALSE),"")</f>
        <v/>
      </c>
      <c r="N610" t="str">
        <f>IFERROR(VLOOKUP(M610,tbFactorMes,2,FALSE),"")</f>
        <v/>
      </c>
      <c r="O610">
        <f t="shared" si="126"/>
        <v>0</v>
      </c>
      <c r="R610" t="str">
        <f>IFERROR(VLOOKUP(Q610,tbFactorMes,2,FALSE),"")</f>
        <v/>
      </c>
      <c r="S610">
        <f t="shared" si="127"/>
        <v>0</v>
      </c>
      <c r="V610" t="str">
        <f>IFERROR(VLOOKUP(U610,tbFactorMes,2,FALSE),"")</f>
        <v/>
      </c>
      <c r="W610">
        <f t="shared" si="128"/>
        <v>0</v>
      </c>
      <c r="Z610" t="str">
        <f>IFERROR(VLOOKUP(Y610,tbFactorMes,2,FALSE),"")</f>
        <v/>
      </c>
      <c r="AA610">
        <f t="shared" si="129"/>
        <v>0</v>
      </c>
      <c r="AD610" t="str">
        <f>IFERROR(VLOOKUP(AC610,tbFactorMes,2,FALSE),"")</f>
        <v/>
      </c>
      <c r="AE610">
        <f t="shared" si="130"/>
        <v>0</v>
      </c>
      <c r="AH610" t="str">
        <f>IFERROR(VLOOKUP(AG610,tbFactorMes,2,FALSE),"")</f>
        <v/>
      </c>
      <c r="AI610">
        <f t="shared" si="131"/>
        <v>0</v>
      </c>
      <c r="AL610" t="str">
        <f>IFERROR(VLOOKUP(AK610,tbFactorMes,2,FALSE),"")</f>
        <v/>
      </c>
      <c r="AM610">
        <f t="shared" si="132"/>
        <v>0</v>
      </c>
      <c r="AP610" t="str">
        <f>IFERROR(VLOOKUP(AO610,tbFactorMes,2,FALSE),"")</f>
        <v/>
      </c>
      <c r="AQ610">
        <f t="shared" si="133"/>
        <v>0</v>
      </c>
      <c r="AT610" t="str">
        <f>IFERROR(VLOOKUP(AS610,tbFactorMes,2,FALSE),"")</f>
        <v/>
      </c>
      <c r="AU610">
        <f t="shared" si="134"/>
        <v>0</v>
      </c>
      <c r="AX610" t="str">
        <f>IFERROR(VLOOKUP(AW610,tbFactorMes,2,FALSE),"")</f>
        <v/>
      </c>
      <c r="AY610">
        <f t="shared" si="135"/>
        <v>0</v>
      </c>
      <c r="BB610" t="str">
        <f>IFERROR(VLOOKUP(BA610,tbFactorMes,2,FALSE),"")</f>
        <v/>
      </c>
      <c r="BC610">
        <f t="shared" si="136"/>
        <v>0</v>
      </c>
      <c r="BF610" t="str">
        <f>IFERROR(VLOOKUP(BE610,tbFactorMes,2,FALSE),"")</f>
        <v/>
      </c>
      <c r="BG610">
        <f t="shared" si="137"/>
        <v>0</v>
      </c>
      <c r="BH610">
        <f t="shared" si="138"/>
        <v>0</v>
      </c>
      <c r="BI610">
        <f t="shared" si="139"/>
        <v>0</v>
      </c>
    </row>
    <row r="611" spans="11:61" x14ac:dyDescent="0.35">
      <c r="K611" t="str">
        <f>IFERROR(VLOOKUP(F611,tbTurnos,3,FALSE),"")</f>
        <v/>
      </c>
      <c r="N611" t="str">
        <f>IFERROR(VLOOKUP(M611,tbFactorMes,2,FALSE),"")</f>
        <v/>
      </c>
      <c r="O611">
        <f t="shared" si="126"/>
        <v>0</v>
      </c>
      <c r="R611" t="str">
        <f>IFERROR(VLOOKUP(Q611,tbFactorMes,2,FALSE),"")</f>
        <v/>
      </c>
      <c r="S611">
        <f t="shared" si="127"/>
        <v>0</v>
      </c>
      <c r="V611" t="str">
        <f>IFERROR(VLOOKUP(U611,tbFactorMes,2,FALSE),"")</f>
        <v/>
      </c>
      <c r="W611">
        <f t="shared" si="128"/>
        <v>0</v>
      </c>
      <c r="Z611" t="str">
        <f>IFERROR(VLOOKUP(Y611,tbFactorMes,2,FALSE),"")</f>
        <v/>
      </c>
      <c r="AA611">
        <f t="shared" si="129"/>
        <v>0</v>
      </c>
      <c r="AD611" t="str">
        <f>IFERROR(VLOOKUP(AC611,tbFactorMes,2,FALSE),"")</f>
        <v/>
      </c>
      <c r="AE611">
        <f t="shared" si="130"/>
        <v>0</v>
      </c>
      <c r="AH611" t="str">
        <f>IFERROR(VLOOKUP(AG611,tbFactorMes,2,FALSE),"")</f>
        <v/>
      </c>
      <c r="AI611">
        <f t="shared" si="131"/>
        <v>0</v>
      </c>
      <c r="AL611" t="str">
        <f>IFERROR(VLOOKUP(AK611,tbFactorMes,2,FALSE),"")</f>
        <v/>
      </c>
      <c r="AM611">
        <f t="shared" si="132"/>
        <v>0</v>
      </c>
      <c r="AP611" t="str">
        <f>IFERROR(VLOOKUP(AO611,tbFactorMes,2,FALSE),"")</f>
        <v/>
      </c>
      <c r="AQ611">
        <f t="shared" si="133"/>
        <v>0</v>
      </c>
      <c r="AT611" t="str">
        <f>IFERROR(VLOOKUP(AS611,tbFactorMes,2,FALSE),"")</f>
        <v/>
      </c>
      <c r="AU611">
        <f t="shared" si="134"/>
        <v>0</v>
      </c>
      <c r="AX611" t="str">
        <f>IFERROR(VLOOKUP(AW611,tbFactorMes,2,FALSE),"")</f>
        <v/>
      </c>
      <c r="AY611">
        <f t="shared" si="135"/>
        <v>0</v>
      </c>
      <c r="BB611" t="str">
        <f>IFERROR(VLOOKUP(BA611,tbFactorMes,2,FALSE),"")</f>
        <v/>
      </c>
      <c r="BC611">
        <f t="shared" si="136"/>
        <v>0</v>
      </c>
      <c r="BF611" t="str">
        <f>IFERROR(VLOOKUP(BE611,tbFactorMes,2,FALSE),"")</f>
        <v/>
      </c>
      <c r="BG611">
        <f t="shared" si="137"/>
        <v>0</v>
      </c>
      <c r="BH611">
        <f t="shared" si="138"/>
        <v>0</v>
      </c>
      <c r="BI611">
        <f t="shared" si="139"/>
        <v>0</v>
      </c>
    </row>
    <row r="612" spans="11:61" x14ac:dyDescent="0.35">
      <c r="K612" t="str">
        <f>IFERROR(VLOOKUP(F612,tbTurnos,3,FALSE),"")</f>
        <v/>
      </c>
      <c r="N612" t="str">
        <f>IFERROR(VLOOKUP(M612,tbFactorMes,2,FALSE),"")</f>
        <v/>
      </c>
      <c r="O612">
        <f t="shared" si="126"/>
        <v>0</v>
      </c>
      <c r="R612" t="str">
        <f>IFERROR(VLOOKUP(Q612,tbFactorMes,2,FALSE),"")</f>
        <v/>
      </c>
      <c r="S612">
        <f t="shared" si="127"/>
        <v>0</v>
      </c>
      <c r="V612" t="str">
        <f>IFERROR(VLOOKUP(U612,tbFactorMes,2,FALSE),"")</f>
        <v/>
      </c>
      <c r="W612">
        <f t="shared" si="128"/>
        <v>0</v>
      </c>
      <c r="Z612" t="str">
        <f>IFERROR(VLOOKUP(Y612,tbFactorMes,2,FALSE),"")</f>
        <v/>
      </c>
      <c r="AA612">
        <f t="shared" si="129"/>
        <v>0</v>
      </c>
      <c r="AD612" t="str">
        <f>IFERROR(VLOOKUP(AC612,tbFactorMes,2,FALSE),"")</f>
        <v/>
      </c>
      <c r="AE612">
        <f t="shared" si="130"/>
        <v>0</v>
      </c>
      <c r="AH612" t="str">
        <f>IFERROR(VLOOKUP(AG612,tbFactorMes,2,FALSE),"")</f>
        <v/>
      </c>
      <c r="AI612">
        <f t="shared" si="131"/>
        <v>0</v>
      </c>
      <c r="AL612" t="str">
        <f>IFERROR(VLOOKUP(AK612,tbFactorMes,2,FALSE),"")</f>
        <v/>
      </c>
      <c r="AM612">
        <f t="shared" si="132"/>
        <v>0</v>
      </c>
      <c r="AP612" t="str">
        <f>IFERROR(VLOOKUP(AO612,tbFactorMes,2,FALSE),"")</f>
        <v/>
      </c>
      <c r="AQ612">
        <f t="shared" si="133"/>
        <v>0</v>
      </c>
      <c r="AT612" t="str">
        <f>IFERROR(VLOOKUP(AS612,tbFactorMes,2,FALSE),"")</f>
        <v/>
      </c>
      <c r="AU612">
        <f t="shared" si="134"/>
        <v>0</v>
      </c>
      <c r="AX612" t="str">
        <f>IFERROR(VLOOKUP(AW612,tbFactorMes,2,FALSE),"")</f>
        <v/>
      </c>
      <c r="AY612">
        <f t="shared" si="135"/>
        <v>0</v>
      </c>
      <c r="BB612" t="str">
        <f>IFERROR(VLOOKUP(BA612,tbFactorMes,2,FALSE),"")</f>
        <v/>
      </c>
      <c r="BC612">
        <f t="shared" si="136"/>
        <v>0</v>
      </c>
      <c r="BF612" t="str">
        <f>IFERROR(VLOOKUP(BE612,tbFactorMes,2,FALSE),"")</f>
        <v/>
      </c>
      <c r="BG612">
        <f t="shared" si="137"/>
        <v>0</v>
      </c>
      <c r="BH612">
        <f t="shared" si="138"/>
        <v>0</v>
      </c>
      <c r="BI612">
        <f t="shared" si="139"/>
        <v>0</v>
      </c>
    </row>
    <row r="613" spans="11:61" x14ac:dyDescent="0.35">
      <c r="K613" t="str">
        <f>IFERROR(VLOOKUP(F613,tbTurnos,3,FALSE),"")</f>
        <v/>
      </c>
      <c r="N613" t="str">
        <f>IFERROR(VLOOKUP(M613,tbFactorMes,2,FALSE),"")</f>
        <v/>
      </c>
      <c r="O613">
        <f t="shared" si="126"/>
        <v>0</v>
      </c>
      <c r="R613" t="str">
        <f>IFERROR(VLOOKUP(Q613,tbFactorMes,2,FALSE),"")</f>
        <v/>
      </c>
      <c r="S613">
        <f t="shared" si="127"/>
        <v>0</v>
      </c>
      <c r="V613" t="str">
        <f>IFERROR(VLOOKUP(U613,tbFactorMes,2,FALSE),"")</f>
        <v/>
      </c>
      <c r="W613">
        <f t="shared" si="128"/>
        <v>0</v>
      </c>
      <c r="Z613" t="str">
        <f>IFERROR(VLOOKUP(Y613,tbFactorMes,2,FALSE),"")</f>
        <v/>
      </c>
      <c r="AA613">
        <f t="shared" si="129"/>
        <v>0</v>
      </c>
      <c r="AD613" t="str">
        <f>IFERROR(VLOOKUP(AC613,tbFactorMes,2,FALSE),"")</f>
        <v/>
      </c>
      <c r="AE613">
        <f t="shared" si="130"/>
        <v>0</v>
      </c>
      <c r="AH613" t="str">
        <f>IFERROR(VLOOKUP(AG613,tbFactorMes,2,FALSE),"")</f>
        <v/>
      </c>
      <c r="AI613">
        <f t="shared" si="131"/>
        <v>0</v>
      </c>
      <c r="AL613" t="str">
        <f>IFERROR(VLOOKUP(AK613,tbFactorMes,2,FALSE),"")</f>
        <v/>
      </c>
      <c r="AM613">
        <f t="shared" si="132"/>
        <v>0</v>
      </c>
      <c r="AP613" t="str">
        <f>IFERROR(VLOOKUP(AO613,tbFactorMes,2,FALSE),"")</f>
        <v/>
      </c>
      <c r="AQ613">
        <f t="shared" si="133"/>
        <v>0</v>
      </c>
      <c r="AT613" t="str">
        <f>IFERROR(VLOOKUP(AS613,tbFactorMes,2,FALSE),"")</f>
        <v/>
      </c>
      <c r="AU613">
        <f t="shared" si="134"/>
        <v>0</v>
      </c>
      <c r="AX613" t="str">
        <f>IFERROR(VLOOKUP(AW613,tbFactorMes,2,FALSE),"")</f>
        <v/>
      </c>
      <c r="AY613">
        <f t="shared" si="135"/>
        <v>0</v>
      </c>
      <c r="BB613" t="str">
        <f>IFERROR(VLOOKUP(BA613,tbFactorMes,2,FALSE),"")</f>
        <v/>
      </c>
      <c r="BC613">
        <f t="shared" si="136"/>
        <v>0</v>
      </c>
      <c r="BF613" t="str">
        <f>IFERROR(VLOOKUP(BE613,tbFactorMes,2,FALSE),"")</f>
        <v/>
      </c>
      <c r="BG613">
        <f t="shared" si="137"/>
        <v>0</v>
      </c>
      <c r="BH613">
        <f t="shared" si="138"/>
        <v>0</v>
      </c>
      <c r="BI613">
        <f t="shared" si="139"/>
        <v>0</v>
      </c>
    </row>
    <row r="614" spans="11:61" x14ac:dyDescent="0.35">
      <c r="K614" t="str">
        <f>IFERROR(VLOOKUP(F614,tbTurnos,3,FALSE),"")</f>
        <v/>
      </c>
      <c r="N614" t="str">
        <f>IFERROR(VLOOKUP(M614,tbFactorMes,2,FALSE),"")</f>
        <v/>
      </c>
      <c r="O614">
        <f t="shared" si="126"/>
        <v>0</v>
      </c>
      <c r="R614" t="str">
        <f>IFERROR(VLOOKUP(Q614,tbFactorMes,2,FALSE),"")</f>
        <v/>
      </c>
      <c r="S614">
        <f t="shared" si="127"/>
        <v>0</v>
      </c>
      <c r="V614" t="str">
        <f>IFERROR(VLOOKUP(U614,tbFactorMes,2,FALSE),"")</f>
        <v/>
      </c>
      <c r="W614">
        <f t="shared" si="128"/>
        <v>0</v>
      </c>
      <c r="Z614" t="str">
        <f>IFERROR(VLOOKUP(Y614,tbFactorMes,2,FALSE),"")</f>
        <v/>
      </c>
      <c r="AA614">
        <f t="shared" si="129"/>
        <v>0</v>
      </c>
      <c r="AD614" t="str">
        <f>IFERROR(VLOOKUP(AC614,tbFactorMes,2,FALSE),"")</f>
        <v/>
      </c>
      <c r="AE614">
        <f t="shared" si="130"/>
        <v>0</v>
      </c>
      <c r="AH614" t="str">
        <f>IFERROR(VLOOKUP(AG614,tbFactorMes,2,FALSE),"")</f>
        <v/>
      </c>
      <c r="AI614">
        <f t="shared" si="131"/>
        <v>0</v>
      </c>
      <c r="AL614" t="str">
        <f>IFERROR(VLOOKUP(AK614,tbFactorMes,2,FALSE),"")</f>
        <v/>
      </c>
      <c r="AM614">
        <f t="shared" si="132"/>
        <v>0</v>
      </c>
      <c r="AP614" t="str">
        <f>IFERROR(VLOOKUP(AO614,tbFactorMes,2,FALSE),"")</f>
        <v/>
      </c>
      <c r="AQ614">
        <f t="shared" si="133"/>
        <v>0</v>
      </c>
      <c r="AT614" t="str">
        <f>IFERROR(VLOOKUP(AS614,tbFactorMes,2,FALSE),"")</f>
        <v/>
      </c>
      <c r="AU614">
        <f t="shared" si="134"/>
        <v>0</v>
      </c>
      <c r="AX614" t="str">
        <f>IFERROR(VLOOKUP(AW614,tbFactorMes,2,FALSE),"")</f>
        <v/>
      </c>
      <c r="AY614">
        <f t="shared" si="135"/>
        <v>0</v>
      </c>
      <c r="BB614" t="str">
        <f>IFERROR(VLOOKUP(BA614,tbFactorMes,2,FALSE),"")</f>
        <v/>
      </c>
      <c r="BC614">
        <f t="shared" si="136"/>
        <v>0</v>
      </c>
      <c r="BF614" t="str">
        <f>IFERROR(VLOOKUP(BE614,tbFactorMes,2,FALSE),"")</f>
        <v/>
      </c>
      <c r="BG614">
        <f t="shared" si="137"/>
        <v>0</v>
      </c>
      <c r="BH614">
        <f t="shared" si="138"/>
        <v>0</v>
      </c>
      <c r="BI614">
        <f t="shared" si="139"/>
        <v>0</v>
      </c>
    </row>
    <row r="615" spans="11:61" x14ac:dyDescent="0.35">
      <c r="K615" t="str">
        <f>IFERROR(VLOOKUP(F615,tbTurnos,3,FALSE),"")</f>
        <v/>
      </c>
      <c r="N615" t="str">
        <f>IFERROR(VLOOKUP(M615,tbFactorMes,2,FALSE),"")</f>
        <v/>
      </c>
      <c r="O615">
        <f t="shared" si="126"/>
        <v>0</v>
      </c>
      <c r="R615" t="str">
        <f>IFERROR(VLOOKUP(Q615,tbFactorMes,2,FALSE),"")</f>
        <v/>
      </c>
      <c r="S615">
        <f t="shared" si="127"/>
        <v>0</v>
      </c>
      <c r="V615" t="str">
        <f>IFERROR(VLOOKUP(U615,tbFactorMes,2,FALSE),"")</f>
        <v/>
      </c>
      <c r="W615">
        <f t="shared" si="128"/>
        <v>0</v>
      </c>
      <c r="Z615" t="str">
        <f>IFERROR(VLOOKUP(Y615,tbFactorMes,2,FALSE),"")</f>
        <v/>
      </c>
      <c r="AA615">
        <f t="shared" si="129"/>
        <v>0</v>
      </c>
      <c r="AD615" t="str">
        <f>IFERROR(VLOOKUP(AC615,tbFactorMes,2,FALSE),"")</f>
        <v/>
      </c>
      <c r="AE615">
        <f t="shared" si="130"/>
        <v>0</v>
      </c>
      <c r="AH615" t="str">
        <f>IFERROR(VLOOKUP(AG615,tbFactorMes,2,FALSE),"")</f>
        <v/>
      </c>
      <c r="AI615">
        <f t="shared" si="131"/>
        <v>0</v>
      </c>
      <c r="AL615" t="str">
        <f>IFERROR(VLOOKUP(AK615,tbFactorMes,2,FALSE),"")</f>
        <v/>
      </c>
      <c r="AM615">
        <f t="shared" si="132"/>
        <v>0</v>
      </c>
      <c r="AP615" t="str">
        <f>IFERROR(VLOOKUP(AO615,tbFactorMes,2,FALSE),"")</f>
        <v/>
      </c>
      <c r="AQ615">
        <f t="shared" si="133"/>
        <v>0</v>
      </c>
      <c r="AT615" t="str">
        <f>IFERROR(VLOOKUP(AS615,tbFactorMes,2,FALSE),"")</f>
        <v/>
      </c>
      <c r="AU615">
        <f t="shared" si="134"/>
        <v>0</v>
      </c>
      <c r="AX615" t="str">
        <f>IFERROR(VLOOKUP(AW615,tbFactorMes,2,FALSE),"")</f>
        <v/>
      </c>
      <c r="AY615">
        <f t="shared" si="135"/>
        <v>0</v>
      </c>
      <c r="BB615" t="str">
        <f>IFERROR(VLOOKUP(BA615,tbFactorMes,2,FALSE),"")</f>
        <v/>
      </c>
      <c r="BC615">
        <f t="shared" si="136"/>
        <v>0</v>
      </c>
      <c r="BF615" t="str">
        <f>IFERROR(VLOOKUP(BE615,tbFactorMes,2,FALSE),"")</f>
        <v/>
      </c>
      <c r="BG615">
        <f t="shared" si="137"/>
        <v>0</v>
      </c>
      <c r="BH615">
        <f t="shared" si="138"/>
        <v>0</v>
      </c>
      <c r="BI615">
        <f t="shared" si="139"/>
        <v>0</v>
      </c>
    </row>
    <row r="616" spans="11:61" x14ac:dyDescent="0.35">
      <c r="K616" t="str">
        <f>IFERROR(VLOOKUP(F616,tbTurnos,3,FALSE),"")</f>
        <v/>
      </c>
      <c r="N616" t="str">
        <f>IFERROR(VLOOKUP(M616,tbFactorMes,2,FALSE),"")</f>
        <v/>
      </c>
      <c r="O616">
        <f t="shared" si="126"/>
        <v>0</v>
      </c>
      <c r="R616" t="str">
        <f>IFERROR(VLOOKUP(Q616,tbFactorMes,2,FALSE),"")</f>
        <v/>
      </c>
      <c r="S616">
        <f t="shared" si="127"/>
        <v>0</v>
      </c>
      <c r="V616" t="str">
        <f>IFERROR(VLOOKUP(U616,tbFactorMes,2,FALSE),"")</f>
        <v/>
      </c>
      <c r="W616">
        <f t="shared" si="128"/>
        <v>0</v>
      </c>
      <c r="Z616" t="str">
        <f>IFERROR(VLOOKUP(Y616,tbFactorMes,2,FALSE),"")</f>
        <v/>
      </c>
      <c r="AA616">
        <f t="shared" si="129"/>
        <v>0</v>
      </c>
      <c r="AD616" t="str">
        <f>IFERROR(VLOOKUP(AC616,tbFactorMes,2,FALSE),"")</f>
        <v/>
      </c>
      <c r="AE616">
        <f t="shared" si="130"/>
        <v>0</v>
      </c>
      <c r="AH616" t="str">
        <f>IFERROR(VLOOKUP(AG616,tbFactorMes,2,FALSE),"")</f>
        <v/>
      </c>
      <c r="AI616">
        <f t="shared" si="131"/>
        <v>0</v>
      </c>
      <c r="AL616" t="str">
        <f>IFERROR(VLOOKUP(AK616,tbFactorMes,2,FALSE),"")</f>
        <v/>
      </c>
      <c r="AM616">
        <f t="shared" si="132"/>
        <v>0</v>
      </c>
      <c r="AP616" t="str">
        <f>IFERROR(VLOOKUP(AO616,tbFactorMes,2,FALSE),"")</f>
        <v/>
      </c>
      <c r="AQ616">
        <f t="shared" si="133"/>
        <v>0</v>
      </c>
      <c r="AT616" t="str">
        <f>IFERROR(VLOOKUP(AS616,tbFactorMes,2,FALSE),"")</f>
        <v/>
      </c>
      <c r="AU616">
        <f t="shared" si="134"/>
        <v>0</v>
      </c>
      <c r="AX616" t="str">
        <f>IFERROR(VLOOKUP(AW616,tbFactorMes,2,FALSE),"")</f>
        <v/>
      </c>
      <c r="AY616">
        <f t="shared" si="135"/>
        <v>0</v>
      </c>
      <c r="BB616" t="str">
        <f>IFERROR(VLOOKUP(BA616,tbFactorMes,2,FALSE),"")</f>
        <v/>
      </c>
      <c r="BC616">
        <f t="shared" si="136"/>
        <v>0</v>
      </c>
      <c r="BF616" t="str">
        <f>IFERROR(VLOOKUP(BE616,tbFactorMes,2,FALSE),"")</f>
        <v/>
      </c>
      <c r="BG616">
        <f t="shared" si="137"/>
        <v>0</v>
      </c>
      <c r="BH616">
        <f t="shared" si="138"/>
        <v>0</v>
      </c>
      <c r="BI616">
        <f t="shared" si="139"/>
        <v>0</v>
      </c>
    </row>
    <row r="617" spans="11:61" x14ac:dyDescent="0.35">
      <c r="K617" t="str">
        <f>IFERROR(VLOOKUP(F617,tbTurnos,3,FALSE),"")</f>
        <v/>
      </c>
      <c r="N617" t="str">
        <f>IFERROR(VLOOKUP(M617,tbFactorMes,2,FALSE),"")</f>
        <v/>
      </c>
      <c r="O617">
        <f t="shared" si="126"/>
        <v>0</v>
      </c>
      <c r="R617" t="str">
        <f>IFERROR(VLOOKUP(Q617,tbFactorMes,2,FALSE),"")</f>
        <v/>
      </c>
      <c r="S617">
        <f t="shared" si="127"/>
        <v>0</v>
      </c>
      <c r="V617" t="str">
        <f>IFERROR(VLOOKUP(U617,tbFactorMes,2,FALSE),"")</f>
        <v/>
      </c>
      <c r="W617">
        <f t="shared" si="128"/>
        <v>0</v>
      </c>
      <c r="Z617" t="str">
        <f>IFERROR(VLOOKUP(Y617,tbFactorMes,2,FALSE),"")</f>
        <v/>
      </c>
      <c r="AA617">
        <f t="shared" si="129"/>
        <v>0</v>
      </c>
      <c r="AD617" t="str">
        <f>IFERROR(VLOOKUP(AC617,tbFactorMes,2,FALSE),"")</f>
        <v/>
      </c>
      <c r="AE617">
        <f t="shared" si="130"/>
        <v>0</v>
      </c>
      <c r="AH617" t="str">
        <f>IFERROR(VLOOKUP(AG617,tbFactorMes,2,FALSE),"")</f>
        <v/>
      </c>
      <c r="AI617">
        <f t="shared" si="131"/>
        <v>0</v>
      </c>
      <c r="AL617" t="str">
        <f>IFERROR(VLOOKUP(AK617,tbFactorMes,2,FALSE),"")</f>
        <v/>
      </c>
      <c r="AM617">
        <f t="shared" si="132"/>
        <v>0</v>
      </c>
      <c r="AP617" t="str">
        <f>IFERROR(VLOOKUP(AO617,tbFactorMes,2,FALSE),"")</f>
        <v/>
      </c>
      <c r="AQ617">
        <f t="shared" si="133"/>
        <v>0</v>
      </c>
      <c r="AT617" t="str">
        <f>IFERROR(VLOOKUP(AS617,tbFactorMes,2,FALSE),"")</f>
        <v/>
      </c>
      <c r="AU617">
        <f t="shared" si="134"/>
        <v>0</v>
      </c>
      <c r="AX617" t="str">
        <f>IFERROR(VLOOKUP(AW617,tbFactorMes,2,FALSE),"")</f>
        <v/>
      </c>
      <c r="AY617">
        <f t="shared" si="135"/>
        <v>0</v>
      </c>
      <c r="BB617" t="str">
        <f>IFERROR(VLOOKUP(BA617,tbFactorMes,2,FALSE),"")</f>
        <v/>
      </c>
      <c r="BC617">
        <f t="shared" si="136"/>
        <v>0</v>
      </c>
      <c r="BF617" t="str">
        <f>IFERROR(VLOOKUP(BE617,tbFactorMes,2,FALSE),"")</f>
        <v/>
      </c>
      <c r="BG617">
        <f t="shared" si="137"/>
        <v>0</v>
      </c>
      <c r="BH617">
        <f t="shared" si="138"/>
        <v>0</v>
      </c>
      <c r="BI617">
        <f t="shared" si="139"/>
        <v>0</v>
      </c>
    </row>
    <row r="618" spans="11:61" x14ac:dyDescent="0.35">
      <c r="K618" t="str">
        <f>IFERROR(VLOOKUP(F618,tbTurnos,3,FALSE),"")</f>
        <v/>
      </c>
      <c r="N618" t="str">
        <f>IFERROR(VLOOKUP(M618,tbFactorMes,2,FALSE),"")</f>
        <v/>
      </c>
      <c r="O618">
        <f t="shared" si="126"/>
        <v>0</v>
      </c>
      <c r="R618" t="str">
        <f>IFERROR(VLOOKUP(Q618,tbFactorMes,2,FALSE),"")</f>
        <v/>
      </c>
      <c r="S618">
        <f t="shared" si="127"/>
        <v>0</v>
      </c>
      <c r="V618" t="str">
        <f>IFERROR(VLOOKUP(U618,tbFactorMes,2,FALSE),"")</f>
        <v/>
      </c>
      <c r="W618">
        <f t="shared" si="128"/>
        <v>0</v>
      </c>
      <c r="Z618" t="str">
        <f>IFERROR(VLOOKUP(Y618,tbFactorMes,2,FALSE),"")</f>
        <v/>
      </c>
      <c r="AA618">
        <f t="shared" si="129"/>
        <v>0</v>
      </c>
      <c r="AD618" t="str">
        <f>IFERROR(VLOOKUP(AC618,tbFactorMes,2,FALSE),"")</f>
        <v/>
      </c>
      <c r="AE618">
        <f t="shared" si="130"/>
        <v>0</v>
      </c>
      <c r="AH618" t="str">
        <f>IFERROR(VLOOKUP(AG618,tbFactorMes,2,FALSE),"")</f>
        <v/>
      </c>
      <c r="AI618">
        <f t="shared" si="131"/>
        <v>0</v>
      </c>
      <c r="AL618" t="str">
        <f>IFERROR(VLOOKUP(AK618,tbFactorMes,2,FALSE),"")</f>
        <v/>
      </c>
      <c r="AM618">
        <f t="shared" si="132"/>
        <v>0</v>
      </c>
      <c r="AP618" t="str">
        <f>IFERROR(VLOOKUP(AO618,tbFactorMes,2,FALSE),"")</f>
        <v/>
      </c>
      <c r="AQ618">
        <f t="shared" si="133"/>
        <v>0</v>
      </c>
      <c r="AT618" t="str">
        <f>IFERROR(VLOOKUP(AS618,tbFactorMes,2,FALSE),"")</f>
        <v/>
      </c>
      <c r="AU618">
        <f t="shared" si="134"/>
        <v>0</v>
      </c>
      <c r="AX618" t="str">
        <f>IFERROR(VLOOKUP(AW618,tbFactorMes,2,FALSE),"")</f>
        <v/>
      </c>
      <c r="AY618">
        <f t="shared" si="135"/>
        <v>0</v>
      </c>
      <c r="BB618" t="str">
        <f>IFERROR(VLOOKUP(BA618,tbFactorMes,2,FALSE),"")</f>
        <v/>
      </c>
      <c r="BC618">
        <f t="shared" si="136"/>
        <v>0</v>
      </c>
      <c r="BF618" t="str">
        <f>IFERROR(VLOOKUP(BE618,tbFactorMes,2,FALSE),"")</f>
        <v/>
      </c>
      <c r="BG618">
        <f t="shared" si="137"/>
        <v>0</v>
      </c>
      <c r="BH618">
        <f t="shared" si="138"/>
        <v>0</v>
      </c>
      <c r="BI618">
        <f t="shared" si="139"/>
        <v>0</v>
      </c>
    </row>
    <row r="619" spans="11:61" x14ac:dyDescent="0.35">
      <c r="K619" t="str">
        <f>IFERROR(VLOOKUP(F619,tbTurnos,3,FALSE),"")</f>
        <v/>
      </c>
      <c r="N619" t="str">
        <f>IFERROR(VLOOKUP(M619,tbFactorMes,2,FALSE),"")</f>
        <v/>
      </c>
      <c r="O619">
        <f t="shared" si="126"/>
        <v>0</v>
      </c>
      <c r="R619" t="str">
        <f>IFERROR(VLOOKUP(Q619,tbFactorMes,2,FALSE),"")</f>
        <v/>
      </c>
      <c r="S619">
        <f t="shared" si="127"/>
        <v>0</v>
      </c>
      <c r="V619" t="str">
        <f>IFERROR(VLOOKUP(U619,tbFactorMes,2,FALSE),"")</f>
        <v/>
      </c>
      <c r="W619">
        <f t="shared" si="128"/>
        <v>0</v>
      </c>
      <c r="Z619" t="str">
        <f>IFERROR(VLOOKUP(Y619,tbFactorMes,2,FALSE),"")</f>
        <v/>
      </c>
      <c r="AA619">
        <f t="shared" si="129"/>
        <v>0</v>
      </c>
      <c r="AD619" t="str">
        <f>IFERROR(VLOOKUP(AC619,tbFactorMes,2,FALSE),"")</f>
        <v/>
      </c>
      <c r="AE619">
        <f t="shared" si="130"/>
        <v>0</v>
      </c>
      <c r="AH619" t="str">
        <f>IFERROR(VLOOKUP(AG619,tbFactorMes,2,FALSE),"")</f>
        <v/>
      </c>
      <c r="AI619">
        <f t="shared" si="131"/>
        <v>0</v>
      </c>
      <c r="AL619" t="str">
        <f>IFERROR(VLOOKUP(AK619,tbFactorMes,2,FALSE),"")</f>
        <v/>
      </c>
      <c r="AM619">
        <f t="shared" si="132"/>
        <v>0</v>
      </c>
      <c r="AP619" t="str">
        <f>IFERROR(VLOOKUP(AO619,tbFactorMes,2,FALSE),"")</f>
        <v/>
      </c>
      <c r="AQ619">
        <f t="shared" si="133"/>
        <v>0</v>
      </c>
      <c r="AT619" t="str">
        <f>IFERROR(VLOOKUP(AS619,tbFactorMes,2,FALSE),"")</f>
        <v/>
      </c>
      <c r="AU619">
        <f t="shared" si="134"/>
        <v>0</v>
      </c>
      <c r="AX619" t="str">
        <f>IFERROR(VLOOKUP(AW619,tbFactorMes,2,FALSE),"")</f>
        <v/>
      </c>
      <c r="AY619">
        <f t="shared" si="135"/>
        <v>0</v>
      </c>
      <c r="BB619" t="str">
        <f>IFERROR(VLOOKUP(BA619,tbFactorMes,2,FALSE),"")</f>
        <v/>
      </c>
      <c r="BC619">
        <f t="shared" si="136"/>
        <v>0</v>
      </c>
      <c r="BF619" t="str">
        <f>IFERROR(VLOOKUP(BE619,tbFactorMes,2,FALSE),"")</f>
        <v/>
      </c>
      <c r="BG619">
        <f t="shared" si="137"/>
        <v>0</v>
      </c>
      <c r="BH619">
        <f t="shared" si="138"/>
        <v>0</v>
      </c>
      <c r="BI619">
        <f t="shared" si="139"/>
        <v>0</v>
      </c>
    </row>
    <row r="620" spans="11:61" x14ac:dyDescent="0.35">
      <c r="K620" t="str">
        <f>IFERROR(VLOOKUP(F620,tbTurnos,3,FALSE),"")</f>
        <v/>
      </c>
      <c r="N620" t="str">
        <f>IFERROR(VLOOKUP(M620,tbFactorMes,2,FALSE),"")</f>
        <v/>
      </c>
      <c r="O620">
        <f t="shared" si="126"/>
        <v>0</v>
      </c>
      <c r="R620" t="str">
        <f>IFERROR(VLOOKUP(Q620,tbFactorMes,2,FALSE),"")</f>
        <v/>
      </c>
      <c r="S620">
        <f t="shared" si="127"/>
        <v>0</v>
      </c>
      <c r="V620" t="str">
        <f>IFERROR(VLOOKUP(U620,tbFactorMes,2,FALSE),"")</f>
        <v/>
      </c>
      <c r="W620">
        <f t="shared" si="128"/>
        <v>0</v>
      </c>
      <c r="Z620" t="str">
        <f>IFERROR(VLOOKUP(Y620,tbFactorMes,2,FALSE),"")</f>
        <v/>
      </c>
      <c r="AA620">
        <f t="shared" si="129"/>
        <v>0</v>
      </c>
      <c r="AD620" t="str">
        <f>IFERROR(VLOOKUP(AC620,tbFactorMes,2,FALSE),"")</f>
        <v/>
      </c>
      <c r="AE620">
        <f t="shared" si="130"/>
        <v>0</v>
      </c>
      <c r="AH620" t="str">
        <f>IFERROR(VLOOKUP(AG620,tbFactorMes,2,FALSE),"")</f>
        <v/>
      </c>
      <c r="AI620">
        <f t="shared" si="131"/>
        <v>0</v>
      </c>
      <c r="AL620" t="str">
        <f>IFERROR(VLOOKUP(AK620,tbFactorMes,2,FALSE),"")</f>
        <v/>
      </c>
      <c r="AM620">
        <f t="shared" si="132"/>
        <v>0</v>
      </c>
      <c r="AP620" t="str">
        <f>IFERROR(VLOOKUP(AO620,tbFactorMes,2,FALSE),"")</f>
        <v/>
      </c>
      <c r="AQ620">
        <f t="shared" si="133"/>
        <v>0</v>
      </c>
      <c r="AT620" t="str">
        <f>IFERROR(VLOOKUP(AS620,tbFactorMes,2,FALSE),"")</f>
        <v/>
      </c>
      <c r="AU620">
        <f t="shared" si="134"/>
        <v>0</v>
      </c>
      <c r="AX620" t="str">
        <f>IFERROR(VLOOKUP(AW620,tbFactorMes,2,FALSE),"")</f>
        <v/>
      </c>
      <c r="AY620">
        <f t="shared" si="135"/>
        <v>0</v>
      </c>
      <c r="BB620" t="str">
        <f>IFERROR(VLOOKUP(BA620,tbFactorMes,2,FALSE),"")</f>
        <v/>
      </c>
      <c r="BC620">
        <f t="shared" si="136"/>
        <v>0</v>
      </c>
      <c r="BF620" t="str">
        <f>IFERROR(VLOOKUP(BE620,tbFactorMes,2,FALSE),"")</f>
        <v/>
      </c>
      <c r="BG620">
        <f t="shared" si="137"/>
        <v>0</v>
      </c>
      <c r="BH620">
        <f t="shared" si="138"/>
        <v>0</v>
      </c>
      <c r="BI620">
        <f t="shared" si="139"/>
        <v>0</v>
      </c>
    </row>
    <row r="621" spans="11:61" x14ac:dyDescent="0.35">
      <c r="K621" t="str">
        <f>IFERROR(VLOOKUP(F621,tbTurnos,3,FALSE),"")</f>
        <v/>
      </c>
      <c r="N621" t="str">
        <f>IFERROR(VLOOKUP(M621,tbFactorMes,2,FALSE),"")</f>
        <v/>
      </c>
      <c r="O621">
        <f t="shared" si="126"/>
        <v>0</v>
      </c>
      <c r="R621" t="str">
        <f>IFERROR(VLOOKUP(Q621,tbFactorMes,2,FALSE),"")</f>
        <v/>
      </c>
      <c r="S621">
        <f t="shared" si="127"/>
        <v>0</v>
      </c>
      <c r="V621" t="str">
        <f>IFERROR(VLOOKUP(U621,tbFactorMes,2,FALSE),"")</f>
        <v/>
      </c>
      <c r="W621">
        <f t="shared" si="128"/>
        <v>0</v>
      </c>
      <c r="Z621" t="str">
        <f>IFERROR(VLOOKUP(Y621,tbFactorMes,2,FALSE),"")</f>
        <v/>
      </c>
      <c r="AA621">
        <f t="shared" si="129"/>
        <v>0</v>
      </c>
      <c r="AD621" t="str">
        <f>IFERROR(VLOOKUP(AC621,tbFactorMes,2,FALSE),"")</f>
        <v/>
      </c>
      <c r="AE621">
        <f t="shared" si="130"/>
        <v>0</v>
      </c>
      <c r="AH621" t="str">
        <f>IFERROR(VLOOKUP(AG621,tbFactorMes,2,FALSE),"")</f>
        <v/>
      </c>
      <c r="AI621">
        <f t="shared" si="131"/>
        <v>0</v>
      </c>
      <c r="AL621" t="str">
        <f>IFERROR(VLOOKUP(AK621,tbFactorMes,2,FALSE),"")</f>
        <v/>
      </c>
      <c r="AM621">
        <f t="shared" si="132"/>
        <v>0</v>
      </c>
      <c r="AP621" t="str">
        <f>IFERROR(VLOOKUP(AO621,tbFactorMes,2,FALSE),"")</f>
        <v/>
      </c>
      <c r="AQ621">
        <f t="shared" si="133"/>
        <v>0</v>
      </c>
      <c r="AT621" t="str">
        <f>IFERROR(VLOOKUP(AS621,tbFactorMes,2,FALSE),"")</f>
        <v/>
      </c>
      <c r="AU621">
        <f t="shared" si="134"/>
        <v>0</v>
      </c>
      <c r="AX621" t="str">
        <f>IFERROR(VLOOKUP(AW621,tbFactorMes,2,FALSE),"")</f>
        <v/>
      </c>
      <c r="AY621">
        <f t="shared" si="135"/>
        <v>0</v>
      </c>
      <c r="BB621" t="str">
        <f>IFERROR(VLOOKUP(BA621,tbFactorMes,2,FALSE),"")</f>
        <v/>
      </c>
      <c r="BC621">
        <f t="shared" si="136"/>
        <v>0</v>
      </c>
      <c r="BF621" t="str">
        <f>IFERROR(VLOOKUP(BE621,tbFactorMes,2,FALSE),"")</f>
        <v/>
      </c>
      <c r="BG621">
        <f t="shared" si="137"/>
        <v>0</v>
      </c>
      <c r="BH621">
        <f t="shared" si="138"/>
        <v>0</v>
      </c>
      <c r="BI621">
        <f t="shared" si="139"/>
        <v>0</v>
      </c>
    </row>
    <row r="622" spans="11:61" x14ac:dyDescent="0.35">
      <c r="K622" t="str">
        <f>IFERROR(VLOOKUP(F622,tbTurnos,3,FALSE),"")</f>
        <v/>
      </c>
      <c r="N622" t="str">
        <f>IFERROR(VLOOKUP(M622,tbFactorMes,2,FALSE),"")</f>
        <v/>
      </c>
      <c r="O622">
        <f t="shared" si="126"/>
        <v>0</v>
      </c>
      <c r="R622" t="str">
        <f>IFERROR(VLOOKUP(Q622,tbFactorMes,2,FALSE),"")</f>
        <v/>
      </c>
      <c r="S622">
        <f t="shared" si="127"/>
        <v>0</v>
      </c>
      <c r="V622" t="str">
        <f>IFERROR(VLOOKUP(U622,tbFactorMes,2,FALSE),"")</f>
        <v/>
      </c>
      <c r="W622">
        <f t="shared" si="128"/>
        <v>0</v>
      </c>
      <c r="Z622" t="str">
        <f>IFERROR(VLOOKUP(Y622,tbFactorMes,2,FALSE),"")</f>
        <v/>
      </c>
      <c r="AA622">
        <f t="shared" si="129"/>
        <v>0</v>
      </c>
      <c r="AD622" t="str">
        <f>IFERROR(VLOOKUP(AC622,tbFactorMes,2,FALSE),"")</f>
        <v/>
      </c>
      <c r="AE622">
        <f t="shared" si="130"/>
        <v>0</v>
      </c>
      <c r="AH622" t="str">
        <f>IFERROR(VLOOKUP(AG622,tbFactorMes,2,FALSE),"")</f>
        <v/>
      </c>
      <c r="AI622">
        <f t="shared" si="131"/>
        <v>0</v>
      </c>
      <c r="AL622" t="str">
        <f>IFERROR(VLOOKUP(AK622,tbFactorMes,2,FALSE),"")</f>
        <v/>
      </c>
      <c r="AM622">
        <f t="shared" si="132"/>
        <v>0</v>
      </c>
      <c r="AP622" t="str">
        <f>IFERROR(VLOOKUP(AO622,tbFactorMes,2,FALSE),"")</f>
        <v/>
      </c>
      <c r="AQ622">
        <f t="shared" si="133"/>
        <v>0</v>
      </c>
      <c r="AT622" t="str">
        <f>IFERROR(VLOOKUP(AS622,tbFactorMes,2,FALSE),"")</f>
        <v/>
      </c>
      <c r="AU622">
        <f t="shared" si="134"/>
        <v>0</v>
      </c>
      <c r="AX622" t="str">
        <f>IFERROR(VLOOKUP(AW622,tbFactorMes,2,FALSE),"")</f>
        <v/>
      </c>
      <c r="AY622">
        <f t="shared" si="135"/>
        <v>0</v>
      </c>
      <c r="BB622" t="str">
        <f>IFERROR(VLOOKUP(BA622,tbFactorMes,2,FALSE),"")</f>
        <v/>
      </c>
      <c r="BC622">
        <f t="shared" si="136"/>
        <v>0</v>
      </c>
      <c r="BF622" t="str">
        <f>IFERROR(VLOOKUP(BE622,tbFactorMes,2,FALSE),"")</f>
        <v/>
      </c>
      <c r="BG622">
        <f t="shared" si="137"/>
        <v>0</v>
      </c>
      <c r="BH622">
        <f t="shared" si="138"/>
        <v>0</v>
      </c>
      <c r="BI622">
        <f t="shared" si="139"/>
        <v>0</v>
      </c>
    </row>
    <row r="623" spans="11:61" x14ac:dyDescent="0.35">
      <c r="K623" t="str">
        <f>IFERROR(VLOOKUP(F623,tbTurnos,3,FALSE),"")</f>
        <v/>
      </c>
      <c r="N623" t="str">
        <f>IFERROR(VLOOKUP(M623,tbFactorMes,2,FALSE),"")</f>
        <v/>
      </c>
      <c r="O623">
        <f t="shared" si="126"/>
        <v>0</v>
      </c>
      <c r="R623" t="str">
        <f>IFERROR(VLOOKUP(Q623,tbFactorMes,2,FALSE),"")</f>
        <v/>
      </c>
      <c r="S623">
        <f t="shared" si="127"/>
        <v>0</v>
      </c>
      <c r="V623" t="str">
        <f>IFERROR(VLOOKUP(U623,tbFactorMes,2,FALSE),"")</f>
        <v/>
      </c>
      <c r="W623">
        <f t="shared" si="128"/>
        <v>0</v>
      </c>
      <c r="Z623" t="str">
        <f>IFERROR(VLOOKUP(Y623,tbFactorMes,2,FALSE),"")</f>
        <v/>
      </c>
      <c r="AA623">
        <f t="shared" si="129"/>
        <v>0</v>
      </c>
      <c r="AD623" t="str">
        <f>IFERROR(VLOOKUP(AC623,tbFactorMes,2,FALSE),"")</f>
        <v/>
      </c>
      <c r="AE623">
        <f t="shared" si="130"/>
        <v>0</v>
      </c>
      <c r="AH623" t="str">
        <f>IFERROR(VLOOKUP(AG623,tbFactorMes,2,FALSE),"")</f>
        <v/>
      </c>
      <c r="AI623">
        <f t="shared" si="131"/>
        <v>0</v>
      </c>
      <c r="AL623" t="str">
        <f>IFERROR(VLOOKUP(AK623,tbFactorMes,2,FALSE),"")</f>
        <v/>
      </c>
      <c r="AM623">
        <f t="shared" si="132"/>
        <v>0</v>
      </c>
      <c r="AP623" t="str">
        <f>IFERROR(VLOOKUP(AO623,tbFactorMes,2,FALSE),"")</f>
        <v/>
      </c>
      <c r="AQ623">
        <f t="shared" si="133"/>
        <v>0</v>
      </c>
      <c r="AT623" t="str">
        <f>IFERROR(VLOOKUP(AS623,tbFactorMes,2,FALSE),"")</f>
        <v/>
      </c>
      <c r="AU623">
        <f t="shared" si="134"/>
        <v>0</v>
      </c>
      <c r="AX623" t="str">
        <f>IFERROR(VLOOKUP(AW623,tbFactorMes,2,FALSE),"")</f>
        <v/>
      </c>
      <c r="AY623">
        <f t="shared" si="135"/>
        <v>0</v>
      </c>
      <c r="BB623" t="str">
        <f>IFERROR(VLOOKUP(BA623,tbFactorMes,2,FALSE),"")</f>
        <v/>
      </c>
      <c r="BC623">
        <f t="shared" si="136"/>
        <v>0</v>
      </c>
      <c r="BF623" t="str">
        <f>IFERROR(VLOOKUP(BE623,tbFactorMes,2,FALSE),"")</f>
        <v/>
      </c>
      <c r="BG623">
        <f t="shared" si="137"/>
        <v>0</v>
      </c>
      <c r="BH623">
        <f t="shared" si="138"/>
        <v>0</v>
      </c>
      <c r="BI623">
        <f t="shared" si="139"/>
        <v>0</v>
      </c>
    </row>
    <row r="624" spans="11:61" x14ac:dyDescent="0.35">
      <c r="K624" t="str">
        <f>IFERROR(VLOOKUP(F624,tbTurnos,3,FALSE),"")</f>
        <v/>
      </c>
      <c r="N624" t="str">
        <f>IFERROR(VLOOKUP(M624,tbFactorMes,2,FALSE),"")</f>
        <v/>
      </c>
      <c r="O624">
        <f t="shared" si="126"/>
        <v>0</v>
      </c>
      <c r="R624" t="str">
        <f>IFERROR(VLOOKUP(Q624,tbFactorMes,2,FALSE),"")</f>
        <v/>
      </c>
      <c r="S624">
        <f t="shared" si="127"/>
        <v>0</v>
      </c>
      <c r="V624" t="str">
        <f>IFERROR(VLOOKUP(U624,tbFactorMes,2,FALSE),"")</f>
        <v/>
      </c>
      <c r="W624">
        <f t="shared" si="128"/>
        <v>0</v>
      </c>
      <c r="Z624" t="str">
        <f>IFERROR(VLOOKUP(Y624,tbFactorMes,2,FALSE),"")</f>
        <v/>
      </c>
      <c r="AA624">
        <f t="shared" si="129"/>
        <v>0</v>
      </c>
      <c r="AD624" t="str">
        <f>IFERROR(VLOOKUP(AC624,tbFactorMes,2,FALSE),"")</f>
        <v/>
      </c>
      <c r="AE624">
        <f t="shared" si="130"/>
        <v>0</v>
      </c>
      <c r="AH624" t="str">
        <f>IFERROR(VLOOKUP(AG624,tbFactorMes,2,FALSE),"")</f>
        <v/>
      </c>
      <c r="AI624">
        <f t="shared" si="131"/>
        <v>0</v>
      </c>
      <c r="AL624" t="str">
        <f>IFERROR(VLOOKUP(AK624,tbFactorMes,2,FALSE),"")</f>
        <v/>
      </c>
      <c r="AM624">
        <f t="shared" si="132"/>
        <v>0</v>
      </c>
      <c r="AP624" t="str">
        <f>IFERROR(VLOOKUP(AO624,tbFactorMes,2,FALSE),"")</f>
        <v/>
      </c>
      <c r="AQ624">
        <f t="shared" si="133"/>
        <v>0</v>
      </c>
      <c r="AT624" t="str">
        <f>IFERROR(VLOOKUP(AS624,tbFactorMes,2,FALSE),"")</f>
        <v/>
      </c>
      <c r="AU624">
        <f t="shared" si="134"/>
        <v>0</v>
      </c>
      <c r="AX624" t="str">
        <f>IFERROR(VLOOKUP(AW624,tbFactorMes,2,FALSE),"")</f>
        <v/>
      </c>
      <c r="AY624">
        <f t="shared" si="135"/>
        <v>0</v>
      </c>
      <c r="BB624" t="str">
        <f>IFERROR(VLOOKUP(BA624,tbFactorMes,2,FALSE),"")</f>
        <v/>
      </c>
      <c r="BC624">
        <f t="shared" si="136"/>
        <v>0</v>
      </c>
      <c r="BF624" t="str">
        <f>IFERROR(VLOOKUP(BE624,tbFactorMes,2,FALSE),"")</f>
        <v/>
      </c>
      <c r="BG624">
        <f t="shared" si="137"/>
        <v>0</v>
      </c>
      <c r="BH624">
        <f t="shared" si="138"/>
        <v>0</v>
      </c>
      <c r="BI624">
        <f t="shared" si="139"/>
        <v>0</v>
      </c>
    </row>
    <row r="625" spans="11:61" x14ac:dyDescent="0.35">
      <c r="K625" t="str">
        <f>IFERROR(VLOOKUP(F625,tbTurnos,3,FALSE),"")</f>
        <v/>
      </c>
      <c r="N625" t="str">
        <f>IFERROR(VLOOKUP(M625,tbFactorMes,2,FALSE),"")</f>
        <v/>
      </c>
      <c r="O625">
        <f t="shared" si="126"/>
        <v>0</v>
      </c>
      <c r="R625" t="str">
        <f>IFERROR(VLOOKUP(Q625,tbFactorMes,2,FALSE),"")</f>
        <v/>
      </c>
      <c r="S625">
        <f t="shared" si="127"/>
        <v>0</v>
      </c>
      <c r="V625" t="str">
        <f>IFERROR(VLOOKUP(U625,tbFactorMes,2,FALSE),"")</f>
        <v/>
      </c>
      <c r="W625">
        <f t="shared" si="128"/>
        <v>0</v>
      </c>
      <c r="Z625" t="str">
        <f>IFERROR(VLOOKUP(Y625,tbFactorMes,2,FALSE),"")</f>
        <v/>
      </c>
      <c r="AA625">
        <f t="shared" si="129"/>
        <v>0</v>
      </c>
      <c r="AD625" t="str">
        <f>IFERROR(VLOOKUP(AC625,tbFactorMes,2,FALSE),"")</f>
        <v/>
      </c>
      <c r="AE625">
        <f t="shared" si="130"/>
        <v>0</v>
      </c>
      <c r="AH625" t="str">
        <f>IFERROR(VLOOKUP(AG625,tbFactorMes,2,FALSE),"")</f>
        <v/>
      </c>
      <c r="AI625">
        <f t="shared" si="131"/>
        <v>0</v>
      </c>
      <c r="AL625" t="str">
        <f>IFERROR(VLOOKUP(AK625,tbFactorMes,2,FALSE),"")</f>
        <v/>
      </c>
      <c r="AM625">
        <f t="shared" si="132"/>
        <v>0</v>
      </c>
      <c r="AP625" t="str">
        <f>IFERROR(VLOOKUP(AO625,tbFactorMes,2,FALSE),"")</f>
        <v/>
      </c>
      <c r="AQ625">
        <f t="shared" si="133"/>
        <v>0</v>
      </c>
      <c r="AT625" t="str">
        <f>IFERROR(VLOOKUP(AS625,tbFactorMes,2,FALSE),"")</f>
        <v/>
      </c>
      <c r="AU625">
        <f t="shared" si="134"/>
        <v>0</v>
      </c>
      <c r="AX625" t="str">
        <f>IFERROR(VLOOKUP(AW625,tbFactorMes,2,FALSE),"")</f>
        <v/>
      </c>
      <c r="AY625">
        <f t="shared" si="135"/>
        <v>0</v>
      </c>
      <c r="BB625" t="str">
        <f>IFERROR(VLOOKUP(BA625,tbFactorMes,2,FALSE),"")</f>
        <v/>
      </c>
      <c r="BC625">
        <f t="shared" si="136"/>
        <v>0</v>
      </c>
      <c r="BF625" t="str">
        <f>IFERROR(VLOOKUP(BE625,tbFactorMes,2,FALSE),"")</f>
        <v/>
      </c>
      <c r="BG625">
        <f t="shared" si="137"/>
        <v>0</v>
      </c>
      <c r="BH625">
        <f t="shared" si="138"/>
        <v>0</v>
      </c>
      <c r="BI625">
        <f t="shared" si="139"/>
        <v>0</v>
      </c>
    </row>
    <row r="626" spans="11:61" x14ac:dyDescent="0.35">
      <c r="K626" t="str">
        <f>IFERROR(VLOOKUP(F626,tbTurnos,3,FALSE),"")</f>
        <v/>
      </c>
      <c r="N626" t="str">
        <f>IFERROR(VLOOKUP(M626,tbFactorMes,2,FALSE),"")</f>
        <v/>
      </c>
      <c r="O626">
        <f t="shared" si="126"/>
        <v>0</v>
      </c>
      <c r="R626" t="str">
        <f>IFERROR(VLOOKUP(Q626,tbFactorMes,2,FALSE),"")</f>
        <v/>
      </c>
      <c r="S626">
        <f t="shared" si="127"/>
        <v>0</v>
      </c>
      <c r="V626" t="str">
        <f>IFERROR(VLOOKUP(U626,tbFactorMes,2,FALSE),"")</f>
        <v/>
      </c>
      <c r="W626">
        <f t="shared" si="128"/>
        <v>0</v>
      </c>
      <c r="Z626" t="str">
        <f>IFERROR(VLOOKUP(Y626,tbFactorMes,2,FALSE),"")</f>
        <v/>
      </c>
      <c r="AA626">
        <f t="shared" si="129"/>
        <v>0</v>
      </c>
      <c r="AD626" t="str">
        <f>IFERROR(VLOOKUP(AC626,tbFactorMes,2,FALSE),"")</f>
        <v/>
      </c>
      <c r="AE626">
        <f t="shared" si="130"/>
        <v>0</v>
      </c>
      <c r="AH626" t="str">
        <f>IFERROR(VLOOKUP(AG626,tbFactorMes,2,FALSE),"")</f>
        <v/>
      </c>
      <c r="AI626">
        <f t="shared" si="131"/>
        <v>0</v>
      </c>
      <c r="AL626" t="str">
        <f>IFERROR(VLOOKUP(AK626,tbFactorMes,2,FALSE),"")</f>
        <v/>
      </c>
      <c r="AM626">
        <f t="shared" si="132"/>
        <v>0</v>
      </c>
      <c r="AP626" t="str">
        <f>IFERROR(VLOOKUP(AO626,tbFactorMes,2,FALSE),"")</f>
        <v/>
      </c>
      <c r="AQ626">
        <f t="shared" si="133"/>
        <v>0</v>
      </c>
      <c r="AT626" t="str">
        <f>IFERROR(VLOOKUP(AS626,tbFactorMes,2,FALSE),"")</f>
        <v/>
      </c>
      <c r="AU626">
        <f t="shared" si="134"/>
        <v>0</v>
      </c>
      <c r="AX626" t="str">
        <f>IFERROR(VLOOKUP(AW626,tbFactorMes,2,FALSE),"")</f>
        <v/>
      </c>
      <c r="AY626">
        <f t="shared" si="135"/>
        <v>0</v>
      </c>
      <c r="BB626" t="str">
        <f>IFERROR(VLOOKUP(BA626,tbFactorMes,2,FALSE),"")</f>
        <v/>
      </c>
      <c r="BC626">
        <f t="shared" si="136"/>
        <v>0</v>
      </c>
      <c r="BF626" t="str">
        <f>IFERROR(VLOOKUP(BE626,tbFactorMes,2,FALSE),"")</f>
        <v/>
      </c>
      <c r="BG626">
        <f t="shared" si="137"/>
        <v>0</v>
      </c>
      <c r="BH626">
        <f t="shared" si="138"/>
        <v>0</v>
      </c>
      <c r="BI626">
        <f t="shared" si="139"/>
        <v>0</v>
      </c>
    </row>
    <row r="627" spans="11:61" x14ac:dyDescent="0.35">
      <c r="K627" t="str">
        <f>IFERROR(VLOOKUP(F627,tbTurnos,3,FALSE),"")</f>
        <v/>
      </c>
      <c r="N627" t="str">
        <f>IFERROR(VLOOKUP(M627,tbFactorMes,2,FALSE),"")</f>
        <v/>
      </c>
      <c r="O627">
        <f t="shared" si="126"/>
        <v>0</v>
      </c>
      <c r="R627" t="str">
        <f>IFERROR(VLOOKUP(Q627,tbFactorMes,2,FALSE),"")</f>
        <v/>
      </c>
      <c r="S627">
        <f t="shared" si="127"/>
        <v>0</v>
      </c>
      <c r="V627" t="str">
        <f>IFERROR(VLOOKUP(U627,tbFactorMes,2,FALSE),"")</f>
        <v/>
      </c>
      <c r="W627">
        <f t="shared" si="128"/>
        <v>0</v>
      </c>
      <c r="Z627" t="str">
        <f>IFERROR(VLOOKUP(Y627,tbFactorMes,2,FALSE),"")</f>
        <v/>
      </c>
      <c r="AA627">
        <f t="shared" si="129"/>
        <v>0</v>
      </c>
      <c r="AD627" t="str">
        <f>IFERROR(VLOOKUP(AC627,tbFactorMes,2,FALSE),"")</f>
        <v/>
      </c>
      <c r="AE627">
        <f t="shared" si="130"/>
        <v>0</v>
      </c>
      <c r="AH627" t="str">
        <f>IFERROR(VLOOKUP(AG627,tbFactorMes,2,FALSE),"")</f>
        <v/>
      </c>
      <c r="AI627">
        <f t="shared" si="131"/>
        <v>0</v>
      </c>
      <c r="AL627" t="str">
        <f>IFERROR(VLOOKUP(AK627,tbFactorMes,2,FALSE),"")</f>
        <v/>
      </c>
      <c r="AM627">
        <f t="shared" si="132"/>
        <v>0</v>
      </c>
      <c r="AP627" t="str">
        <f>IFERROR(VLOOKUP(AO627,tbFactorMes,2,FALSE),"")</f>
        <v/>
      </c>
      <c r="AQ627">
        <f t="shared" si="133"/>
        <v>0</v>
      </c>
      <c r="AT627" t="str">
        <f>IFERROR(VLOOKUP(AS627,tbFactorMes,2,FALSE),"")</f>
        <v/>
      </c>
      <c r="AU627">
        <f t="shared" si="134"/>
        <v>0</v>
      </c>
      <c r="AX627" t="str">
        <f>IFERROR(VLOOKUP(AW627,tbFactorMes,2,FALSE),"")</f>
        <v/>
      </c>
      <c r="AY627">
        <f t="shared" si="135"/>
        <v>0</v>
      </c>
      <c r="BB627" t="str">
        <f>IFERROR(VLOOKUP(BA627,tbFactorMes,2,FALSE),"")</f>
        <v/>
      </c>
      <c r="BC627">
        <f t="shared" si="136"/>
        <v>0</v>
      </c>
      <c r="BF627" t="str">
        <f>IFERROR(VLOOKUP(BE627,tbFactorMes,2,FALSE),"")</f>
        <v/>
      </c>
      <c r="BG627">
        <f t="shared" si="137"/>
        <v>0</v>
      </c>
      <c r="BH627">
        <f t="shared" si="138"/>
        <v>0</v>
      </c>
      <c r="BI627">
        <f t="shared" si="139"/>
        <v>0</v>
      </c>
    </row>
    <row r="628" spans="11:61" x14ac:dyDescent="0.35">
      <c r="K628" t="str">
        <f>IFERROR(VLOOKUP(F628,tbTurnos,3,FALSE),"")</f>
        <v/>
      </c>
      <c r="N628" t="str">
        <f>IFERROR(VLOOKUP(M628,tbFactorMes,2,FALSE),"")</f>
        <v/>
      </c>
      <c r="O628">
        <f t="shared" si="126"/>
        <v>0</v>
      </c>
      <c r="R628" t="str">
        <f>IFERROR(VLOOKUP(Q628,tbFactorMes,2,FALSE),"")</f>
        <v/>
      </c>
      <c r="S628">
        <f t="shared" si="127"/>
        <v>0</v>
      </c>
      <c r="V628" t="str">
        <f>IFERROR(VLOOKUP(U628,tbFactorMes,2,FALSE),"")</f>
        <v/>
      </c>
      <c r="W628">
        <f t="shared" si="128"/>
        <v>0</v>
      </c>
      <c r="Z628" t="str">
        <f>IFERROR(VLOOKUP(Y628,tbFactorMes,2,FALSE),"")</f>
        <v/>
      </c>
      <c r="AA628">
        <f t="shared" si="129"/>
        <v>0</v>
      </c>
      <c r="AD628" t="str">
        <f>IFERROR(VLOOKUP(AC628,tbFactorMes,2,FALSE),"")</f>
        <v/>
      </c>
      <c r="AE628">
        <f t="shared" si="130"/>
        <v>0</v>
      </c>
      <c r="AH628" t="str">
        <f>IFERROR(VLOOKUP(AG628,tbFactorMes,2,FALSE),"")</f>
        <v/>
      </c>
      <c r="AI628">
        <f t="shared" si="131"/>
        <v>0</v>
      </c>
      <c r="AL628" t="str">
        <f>IFERROR(VLOOKUP(AK628,tbFactorMes,2,FALSE),"")</f>
        <v/>
      </c>
      <c r="AM628">
        <f t="shared" si="132"/>
        <v>0</v>
      </c>
      <c r="AP628" t="str">
        <f>IFERROR(VLOOKUP(AO628,tbFactorMes,2,FALSE),"")</f>
        <v/>
      </c>
      <c r="AQ628">
        <f t="shared" si="133"/>
        <v>0</v>
      </c>
      <c r="AT628" t="str">
        <f>IFERROR(VLOOKUP(AS628,tbFactorMes,2,FALSE),"")</f>
        <v/>
      </c>
      <c r="AU628">
        <f t="shared" si="134"/>
        <v>0</v>
      </c>
      <c r="AX628" t="str">
        <f>IFERROR(VLOOKUP(AW628,tbFactorMes,2,FALSE),"")</f>
        <v/>
      </c>
      <c r="AY628">
        <f t="shared" si="135"/>
        <v>0</v>
      </c>
      <c r="BB628" t="str">
        <f>IFERROR(VLOOKUP(BA628,tbFactorMes,2,FALSE),"")</f>
        <v/>
      </c>
      <c r="BC628">
        <f t="shared" si="136"/>
        <v>0</v>
      </c>
      <c r="BF628" t="str">
        <f>IFERROR(VLOOKUP(BE628,tbFactorMes,2,FALSE),"")</f>
        <v/>
      </c>
      <c r="BG628">
        <f t="shared" si="137"/>
        <v>0</v>
      </c>
      <c r="BH628">
        <f t="shared" si="138"/>
        <v>0</v>
      </c>
      <c r="BI628">
        <f t="shared" si="139"/>
        <v>0</v>
      </c>
    </row>
    <row r="629" spans="11:61" x14ac:dyDescent="0.35">
      <c r="K629" t="str">
        <f>IFERROR(VLOOKUP(F629,tbTurnos,3,FALSE),"")</f>
        <v/>
      </c>
      <c r="N629" t="str">
        <f>IFERROR(VLOOKUP(M629,tbFactorMes,2,FALSE),"")</f>
        <v/>
      </c>
      <c r="O629">
        <f t="shared" si="126"/>
        <v>0</v>
      </c>
      <c r="R629" t="str">
        <f>IFERROR(VLOOKUP(Q629,tbFactorMes,2,FALSE),"")</f>
        <v/>
      </c>
      <c r="S629">
        <f t="shared" si="127"/>
        <v>0</v>
      </c>
      <c r="V629" t="str">
        <f>IFERROR(VLOOKUP(U629,tbFactorMes,2,FALSE),"")</f>
        <v/>
      </c>
      <c r="W629">
        <f t="shared" si="128"/>
        <v>0</v>
      </c>
      <c r="Z629" t="str">
        <f>IFERROR(VLOOKUP(Y629,tbFactorMes,2,FALSE),"")</f>
        <v/>
      </c>
      <c r="AA629">
        <f t="shared" si="129"/>
        <v>0</v>
      </c>
      <c r="AD629" t="str">
        <f>IFERROR(VLOOKUP(AC629,tbFactorMes,2,FALSE),"")</f>
        <v/>
      </c>
      <c r="AE629">
        <f t="shared" si="130"/>
        <v>0</v>
      </c>
      <c r="AH629" t="str">
        <f>IFERROR(VLOOKUP(AG629,tbFactorMes,2,FALSE),"")</f>
        <v/>
      </c>
      <c r="AI629">
        <f t="shared" si="131"/>
        <v>0</v>
      </c>
      <c r="AL629" t="str">
        <f>IFERROR(VLOOKUP(AK629,tbFactorMes,2,FALSE),"")</f>
        <v/>
      </c>
      <c r="AM629">
        <f t="shared" si="132"/>
        <v>0</v>
      </c>
      <c r="AP629" t="str">
        <f>IFERROR(VLOOKUP(AO629,tbFactorMes,2,FALSE),"")</f>
        <v/>
      </c>
      <c r="AQ629">
        <f t="shared" si="133"/>
        <v>0</v>
      </c>
      <c r="AT629" t="str">
        <f>IFERROR(VLOOKUP(AS629,tbFactorMes,2,FALSE),"")</f>
        <v/>
      </c>
      <c r="AU629">
        <f t="shared" si="134"/>
        <v>0</v>
      </c>
      <c r="AX629" t="str">
        <f>IFERROR(VLOOKUP(AW629,tbFactorMes,2,FALSE),"")</f>
        <v/>
      </c>
      <c r="AY629">
        <f t="shared" si="135"/>
        <v>0</v>
      </c>
      <c r="BB629" t="str">
        <f>IFERROR(VLOOKUP(BA629,tbFactorMes,2,FALSE),"")</f>
        <v/>
      </c>
      <c r="BC629">
        <f t="shared" si="136"/>
        <v>0</v>
      </c>
      <c r="BF629" t="str">
        <f>IFERROR(VLOOKUP(BE629,tbFactorMes,2,FALSE),"")</f>
        <v/>
      </c>
      <c r="BG629">
        <f t="shared" si="137"/>
        <v>0</v>
      </c>
      <c r="BH629">
        <f t="shared" si="138"/>
        <v>0</v>
      </c>
      <c r="BI629">
        <f t="shared" si="139"/>
        <v>0</v>
      </c>
    </row>
    <row r="630" spans="11:61" x14ac:dyDescent="0.35">
      <c r="K630" t="str">
        <f>IFERROR(VLOOKUP(F630,tbTurnos,3,FALSE),"")</f>
        <v/>
      </c>
      <c r="N630" t="str">
        <f>IFERROR(VLOOKUP(M630,tbFactorMes,2,FALSE),"")</f>
        <v/>
      </c>
      <c r="O630">
        <f t="shared" si="126"/>
        <v>0</v>
      </c>
      <c r="R630" t="str">
        <f>IFERROR(VLOOKUP(Q630,tbFactorMes,2,FALSE),"")</f>
        <v/>
      </c>
      <c r="S630">
        <f t="shared" si="127"/>
        <v>0</v>
      </c>
      <c r="V630" t="str">
        <f>IFERROR(VLOOKUP(U630,tbFactorMes,2,FALSE),"")</f>
        <v/>
      </c>
      <c r="W630">
        <f t="shared" si="128"/>
        <v>0</v>
      </c>
      <c r="Z630" t="str">
        <f>IFERROR(VLOOKUP(Y630,tbFactorMes,2,FALSE),"")</f>
        <v/>
      </c>
      <c r="AA630">
        <f t="shared" si="129"/>
        <v>0</v>
      </c>
      <c r="AD630" t="str">
        <f>IFERROR(VLOOKUP(AC630,tbFactorMes,2,FALSE),"")</f>
        <v/>
      </c>
      <c r="AE630">
        <f t="shared" si="130"/>
        <v>0</v>
      </c>
      <c r="AH630" t="str">
        <f>IFERROR(VLOOKUP(AG630,tbFactorMes,2,FALSE),"")</f>
        <v/>
      </c>
      <c r="AI630">
        <f t="shared" si="131"/>
        <v>0</v>
      </c>
      <c r="AL630" t="str">
        <f>IFERROR(VLOOKUP(AK630,tbFactorMes,2,FALSE),"")</f>
        <v/>
      </c>
      <c r="AM630">
        <f t="shared" si="132"/>
        <v>0</v>
      </c>
      <c r="AP630" t="str">
        <f>IFERROR(VLOOKUP(AO630,tbFactorMes,2,FALSE),"")</f>
        <v/>
      </c>
      <c r="AQ630">
        <f t="shared" si="133"/>
        <v>0</v>
      </c>
      <c r="AT630" t="str">
        <f>IFERROR(VLOOKUP(AS630,tbFactorMes,2,FALSE),"")</f>
        <v/>
      </c>
      <c r="AU630">
        <f t="shared" si="134"/>
        <v>0</v>
      </c>
      <c r="AX630" t="str">
        <f>IFERROR(VLOOKUP(AW630,tbFactorMes,2,FALSE),"")</f>
        <v/>
      </c>
      <c r="AY630">
        <f t="shared" si="135"/>
        <v>0</v>
      </c>
      <c r="BB630" t="str">
        <f>IFERROR(VLOOKUP(BA630,tbFactorMes,2,FALSE),"")</f>
        <v/>
      </c>
      <c r="BC630">
        <f t="shared" si="136"/>
        <v>0</v>
      </c>
      <c r="BF630" t="str">
        <f>IFERROR(VLOOKUP(BE630,tbFactorMes,2,FALSE),"")</f>
        <v/>
      </c>
      <c r="BG630">
        <f t="shared" si="137"/>
        <v>0</v>
      </c>
      <c r="BH630">
        <f t="shared" si="138"/>
        <v>0</v>
      </c>
      <c r="BI630">
        <f t="shared" si="139"/>
        <v>0</v>
      </c>
    </row>
    <row r="631" spans="11:61" x14ac:dyDescent="0.35">
      <c r="K631" t="str">
        <f>IFERROR(VLOOKUP(F631,tbTurnos,3,FALSE),"")</f>
        <v/>
      </c>
      <c r="N631" t="str">
        <f>IFERROR(VLOOKUP(M631,tbFactorMes,2,FALSE),"")</f>
        <v/>
      </c>
      <c r="O631">
        <f t="shared" si="126"/>
        <v>0</v>
      </c>
      <c r="R631" t="str">
        <f>IFERROR(VLOOKUP(Q631,tbFactorMes,2,FALSE),"")</f>
        <v/>
      </c>
      <c r="S631">
        <f t="shared" si="127"/>
        <v>0</v>
      </c>
      <c r="V631" t="str">
        <f>IFERROR(VLOOKUP(U631,tbFactorMes,2,FALSE),"")</f>
        <v/>
      </c>
      <c r="W631">
        <f t="shared" si="128"/>
        <v>0</v>
      </c>
      <c r="Z631" t="str">
        <f>IFERROR(VLOOKUP(Y631,tbFactorMes,2,FALSE),"")</f>
        <v/>
      </c>
      <c r="AA631">
        <f t="shared" si="129"/>
        <v>0</v>
      </c>
      <c r="AD631" t="str">
        <f>IFERROR(VLOOKUP(AC631,tbFactorMes,2,FALSE),"")</f>
        <v/>
      </c>
      <c r="AE631">
        <f t="shared" si="130"/>
        <v>0</v>
      </c>
      <c r="AH631" t="str">
        <f>IFERROR(VLOOKUP(AG631,tbFactorMes,2,FALSE),"")</f>
        <v/>
      </c>
      <c r="AI631">
        <f t="shared" si="131"/>
        <v>0</v>
      </c>
      <c r="AL631" t="str">
        <f>IFERROR(VLOOKUP(AK631,tbFactorMes,2,FALSE),"")</f>
        <v/>
      </c>
      <c r="AM631">
        <f t="shared" si="132"/>
        <v>0</v>
      </c>
      <c r="AP631" t="str">
        <f>IFERROR(VLOOKUP(AO631,tbFactorMes,2,FALSE),"")</f>
        <v/>
      </c>
      <c r="AQ631">
        <f t="shared" si="133"/>
        <v>0</v>
      </c>
      <c r="AT631" t="str">
        <f>IFERROR(VLOOKUP(AS631,tbFactorMes,2,FALSE),"")</f>
        <v/>
      </c>
      <c r="AU631">
        <f t="shared" si="134"/>
        <v>0</v>
      </c>
      <c r="AX631" t="str">
        <f>IFERROR(VLOOKUP(AW631,tbFactorMes,2,FALSE),"")</f>
        <v/>
      </c>
      <c r="AY631">
        <f t="shared" si="135"/>
        <v>0</v>
      </c>
      <c r="BB631" t="str">
        <f>IFERROR(VLOOKUP(BA631,tbFactorMes,2,FALSE),"")</f>
        <v/>
      </c>
      <c r="BC631">
        <f t="shared" si="136"/>
        <v>0</v>
      </c>
      <c r="BF631" t="str">
        <f>IFERROR(VLOOKUP(BE631,tbFactorMes,2,FALSE),"")</f>
        <v/>
      </c>
      <c r="BG631">
        <f t="shared" si="137"/>
        <v>0</v>
      </c>
      <c r="BH631">
        <f t="shared" si="138"/>
        <v>0</v>
      </c>
      <c r="BI631">
        <f t="shared" si="139"/>
        <v>0</v>
      </c>
    </row>
    <row r="632" spans="11:61" x14ac:dyDescent="0.35">
      <c r="K632" t="str">
        <f>IFERROR(VLOOKUP(F632,tbTurnos,3,FALSE),"")</f>
        <v/>
      </c>
      <c r="N632" t="str">
        <f>IFERROR(VLOOKUP(M632,tbFactorMes,2,FALSE),"")</f>
        <v/>
      </c>
      <c r="O632">
        <f t="shared" si="126"/>
        <v>0</v>
      </c>
      <c r="R632" t="str">
        <f>IFERROR(VLOOKUP(Q632,tbFactorMes,2,FALSE),"")</f>
        <v/>
      </c>
      <c r="S632">
        <f t="shared" si="127"/>
        <v>0</v>
      </c>
      <c r="V632" t="str">
        <f>IFERROR(VLOOKUP(U632,tbFactorMes,2,FALSE),"")</f>
        <v/>
      </c>
      <c r="W632">
        <f t="shared" si="128"/>
        <v>0</v>
      </c>
      <c r="Z632" t="str">
        <f>IFERROR(VLOOKUP(Y632,tbFactorMes,2,FALSE),"")</f>
        <v/>
      </c>
      <c r="AA632">
        <f t="shared" si="129"/>
        <v>0</v>
      </c>
      <c r="AD632" t="str">
        <f>IFERROR(VLOOKUP(AC632,tbFactorMes,2,FALSE),"")</f>
        <v/>
      </c>
      <c r="AE632">
        <f t="shared" si="130"/>
        <v>0</v>
      </c>
      <c r="AH632" t="str">
        <f>IFERROR(VLOOKUP(AG632,tbFactorMes,2,FALSE),"")</f>
        <v/>
      </c>
      <c r="AI632">
        <f t="shared" si="131"/>
        <v>0</v>
      </c>
      <c r="AL632" t="str">
        <f>IFERROR(VLOOKUP(AK632,tbFactorMes,2,FALSE),"")</f>
        <v/>
      </c>
      <c r="AM632">
        <f t="shared" si="132"/>
        <v>0</v>
      </c>
      <c r="AP632" t="str">
        <f>IFERROR(VLOOKUP(AO632,tbFactorMes,2,FALSE),"")</f>
        <v/>
      </c>
      <c r="AQ632">
        <f t="shared" si="133"/>
        <v>0</v>
      </c>
      <c r="AT632" t="str">
        <f>IFERROR(VLOOKUP(AS632,tbFactorMes,2,FALSE),"")</f>
        <v/>
      </c>
      <c r="AU632">
        <f t="shared" si="134"/>
        <v>0</v>
      </c>
      <c r="AX632" t="str">
        <f>IFERROR(VLOOKUP(AW632,tbFactorMes,2,FALSE),"")</f>
        <v/>
      </c>
      <c r="AY632">
        <f t="shared" si="135"/>
        <v>0</v>
      </c>
      <c r="BB632" t="str">
        <f>IFERROR(VLOOKUP(BA632,tbFactorMes,2,FALSE),"")</f>
        <v/>
      </c>
      <c r="BC632">
        <f t="shared" si="136"/>
        <v>0</v>
      </c>
      <c r="BF632" t="str">
        <f>IFERROR(VLOOKUP(BE632,tbFactorMes,2,FALSE),"")</f>
        <v/>
      </c>
      <c r="BG632">
        <f t="shared" si="137"/>
        <v>0</v>
      </c>
      <c r="BH632">
        <f t="shared" si="138"/>
        <v>0</v>
      </c>
      <c r="BI632">
        <f t="shared" si="139"/>
        <v>0</v>
      </c>
    </row>
    <row r="633" spans="11:61" x14ac:dyDescent="0.35">
      <c r="K633" t="str">
        <f>IFERROR(VLOOKUP(F633,tbTurnos,3,FALSE),"")</f>
        <v/>
      </c>
      <c r="N633" t="str">
        <f>IFERROR(VLOOKUP(M633,tbFactorMes,2,FALSE),"")</f>
        <v/>
      </c>
      <c r="O633">
        <f t="shared" si="126"/>
        <v>0</v>
      </c>
      <c r="R633" t="str">
        <f>IFERROR(VLOOKUP(Q633,tbFactorMes,2,FALSE),"")</f>
        <v/>
      </c>
      <c r="S633">
        <f t="shared" si="127"/>
        <v>0</v>
      </c>
      <c r="V633" t="str">
        <f>IFERROR(VLOOKUP(U633,tbFactorMes,2,FALSE),"")</f>
        <v/>
      </c>
      <c r="W633">
        <f t="shared" si="128"/>
        <v>0</v>
      </c>
      <c r="Z633" t="str">
        <f>IFERROR(VLOOKUP(Y633,tbFactorMes,2,FALSE),"")</f>
        <v/>
      </c>
      <c r="AA633">
        <f t="shared" si="129"/>
        <v>0</v>
      </c>
      <c r="AD633" t="str">
        <f>IFERROR(VLOOKUP(AC633,tbFactorMes,2,FALSE),"")</f>
        <v/>
      </c>
      <c r="AE633">
        <f t="shared" si="130"/>
        <v>0</v>
      </c>
      <c r="AH633" t="str">
        <f>IFERROR(VLOOKUP(AG633,tbFactorMes,2,FALSE),"")</f>
        <v/>
      </c>
      <c r="AI633">
        <f t="shared" si="131"/>
        <v>0</v>
      </c>
      <c r="AL633" t="str">
        <f>IFERROR(VLOOKUP(AK633,tbFactorMes,2,FALSE),"")</f>
        <v/>
      </c>
      <c r="AM633">
        <f t="shared" si="132"/>
        <v>0</v>
      </c>
      <c r="AP633" t="str">
        <f>IFERROR(VLOOKUP(AO633,tbFactorMes,2,FALSE),"")</f>
        <v/>
      </c>
      <c r="AQ633">
        <f t="shared" si="133"/>
        <v>0</v>
      </c>
      <c r="AT633" t="str">
        <f>IFERROR(VLOOKUP(AS633,tbFactorMes,2,FALSE),"")</f>
        <v/>
      </c>
      <c r="AU633">
        <f t="shared" si="134"/>
        <v>0</v>
      </c>
      <c r="AX633" t="str">
        <f>IFERROR(VLOOKUP(AW633,tbFactorMes,2,FALSE),"")</f>
        <v/>
      </c>
      <c r="AY633">
        <f t="shared" si="135"/>
        <v>0</v>
      </c>
      <c r="BB633" t="str">
        <f>IFERROR(VLOOKUP(BA633,tbFactorMes,2,FALSE),"")</f>
        <v/>
      </c>
      <c r="BC633">
        <f t="shared" si="136"/>
        <v>0</v>
      </c>
      <c r="BF633" t="str">
        <f>IFERROR(VLOOKUP(BE633,tbFactorMes,2,FALSE),"")</f>
        <v/>
      </c>
      <c r="BG633">
        <f t="shared" si="137"/>
        <v>0</v>
      </c>
      <c r="BH633">
        <f t="shared" si="138"/>
        <v>0</v>
      </c>
      <c r="BI633">
        <f t="shared" si="139"/>
        <v>0</v>
      </c>
    </row>
    <row r="634" spans="11:61" x14ac:dyDescent="0.35">
      <c r="K634" t="str">
        <f>IFERROR(VLOOKUP(F634,tbTurnos,3,FALSE),"")</f>
        <v/>
      </c>
      <c r="N634" t="str">
        <f>IFERROR(VLOOKUP(M634,tbFactorMes,2,FALSE),"")</f>
        <v/>
      </c>
      <c r="O634">
        <f t="shared" si="126"/>
        <v>0</v>
      </c>
      <c r="R634" t="str">
        <f>IFERROR(VLOOKUP(Q634,tbFactorMes,2,FALSE),"")</f>
        <v/>
      </c>
      <c r="S634">
        <f t="shared" si="127"/>
        <v>0</v>
      </c>
      <c r="V634" t="str">
        <f>IFERROR(VLOOKUP(U634,tbFactorMes,2,FALSE),"")</f>
        <v/>
      </c>
      <c r="W634">
        <f t="shared" si="128"/>
        <v>0</v>
      </c>
      <c r="Z634" t="str">
        <f>IFERROR(VLOOKUP(Y634,tbFactorMes,2,FALSE),"")</f>
        <v/>
      </c>
      <c r="AA634">
        <f t="shared" si="129"/>
        <v>0</v>
      </c>
      <c r="AD634" t="str">
        <f>IFERROR(VLOOKUP(AC634,tbFactorMes,2,FALSE),"")</f>
        <v/>
      </c>
      <c r="AE634">
        <f t="shared" si="130"/>
        <v>0</v>
      </c>
      <c r="AH634" t="str">
        <f>IFERROR(VLOOKUP(AG634,tbFactorMes,2,FALSE),"")</f>
        <v/>
      </c>
      <c r="AI634">
        <f t="shared" si="131"/>
        <v>0</v>
      </c>
      <c r="AL634" t="str">
        <f>IFERROR(VLOOKUP(AK634,tbFactorMes,2,FALSE),"")</f>
        <v/>
      </c>
      <c r="AM634">
        <f t="shared" si="132"/>
        <v>0</v>
      </c>
      <c r="AP634" t="str">
        <f>IFERROR(VLOOKUP(AO634,tbFactorMes,2,FALSE),"")</f>
        <v/>
      </c>
      <c r="AQ634">
        <f t="shared" si="133"/>
        <v>0</v>
      </c>
      <c r="AT634" t="str">
        <f>IFERROR(VLOOKUP(AS634,tbFactorMes,2,FALSE),"")</f>
        <v/>
      </c>
      <c r="AU634">
        <f t="shared" si="134"/>
        <v>0</v>
      </c>
      <c r="AX634" t="str">
        <f>IFERROR(VLOOKUP(AW634,tbFactorMes,2,FALSE),"")</f>
        <v/>
      </c>
      <c r="AY634">
        <f t="shared" si="135"/>
        <v>0</v>
      </c>
      <c r="BB634" t="str">
        <f>IFERROR(VLOOKUP(BA634,tbFactorMes,2,FALSE),"")</f>
        <v/>
      </c>
      <c r="BC634">
        <f t="shared" si="136"/>
        <v>0</v>
      </c>
      <c r="BF634" t="str">
        <f>IFERROR(VLOOKUP(BE634,tbFactorMes,2,FALSE),"")</f>
        <v/>
      </c>
      <c r="BG634">
        <f t="shared" si="137"/>
        <v>0</v>
      </c>
      <c r="BH634">
        <f t="shared" si="138"/>
        <v>0</v>
      </c>
      <c r="BI634">
        <f t="shared" si="139"/>
        <v>0</v>
      </c>
    </row>
    <row r="635" spans="11:61" x14ac:dyDescent="0.35">
      <c r="K635" t="str">
        <f>IFERROR(VLOOKUP(F635,tbTurnos,3,FALSE),"")</f>
        <v/>
      </c>
      <c r="N635" t="str">
        <f>IFERROR(VLOOKUP(M635,tbFactorMes,2,FALSE),"")</f>
        <v/>
      </c>
      <c r="O635">
        <f t="shared" si="126"/>
        <v>0</v>
      </c>
      <c r="R635" t="str">
        <f>IFERROR(VLOOKUP(Q635,tbFactorMes,2,FALSE),"")</f>
        <v/>
      </c>
      <c r="S635">
        <f t="shared" si="127"/>
        <v>0</v>
      </c>
      <c r="V635" t="str">
        <f>IFERROR(VLOOKUP(U635,tbFactorMes,2,FALSE),"")</f>
        <v/>
      </c>
      <c r="W635">
        <f t="shared" si="128"/>
        <v>0</v>
      </c>
      <c r="Z635" t="str">
        <f>IFERROR(VLOOKUP(Y635,tbFactorMes,2,FALSE),"")</f>
        <v/>
      </c>
      <c r="AA635">
        <f t="shared" si="129"/>
        <v>0</v>
      </c>
      <c r="AD635" t="str">
        <f>IFERROR(VLOOKUP(AC635,tbFactorMes,2,FALSE),"")</f>
        <v/>
      </c>
      <c r="AE635">
        <f t="shared" si="130"/>
        <v>0</v>
      </c>
      <c r="AH635" t="str">
        <f>IFERROR(VLOOKUP(AG635,tbFactorMes,2,FALSE),"")</f>
        <v/>
      </c>
      <c r="AI635">
        <f t="shared" si="131"/>
        <v>0</v>
      </c>
      <c r="AL635" t="str">
        <f>IFERROR(VLOOKUP(AK635,tbFactorMes,2,FALSE),"")</f>
        <v/>
      </c>
      <c r="AM635">
        <f t="shared" si="132"/>
        <v>0</v>
      </c>
      <c r="AP635" t="str">
        <f>IFERROR(VLOOKUP(AO635,tbFactorMes,2,FALSE),"")</f>
        <v/>
      </c>
      <c r="AQ635">
        <f t="shared" si="133"/>
        <v>0</v>
      </c>
      <c r="AT635" t="str">
        <f>IFERROR(VLOOKUP(AS635,tbFactorMes,2,FALSE),"")</f>
        <v/>
      </c>
      <c r="AU635">
        <f t="shared" si="134"/>
        <v>0</v>
      </c>
      <c r="AX635" t="str">
        <f>IFERROR(VLOOKUP(AW635,tbFactorMes,2,FALSE),"")</f>
        <v/>
      </c>
      <c r="AY635">
        <f t="shared" si="135"/>
        <v>0</v>
      </c>
      <c r="BB635" t="str">
        <f>IFERROR(VLOOKUP(BA635,tbFactorMes,2,FALSE),"")</f>
        <v/>
      </c>
      <c r="BC635">
        <f t="shared" si="136"/>
        <v>0</v>
      </c>
      <c r="BF635" t="str">
        <f>IFERROR(VLOOKUP(BE635,tbFactorMes,2,FALSE),"")</f>
        <v/>
      </c>
      <c r="BG635">
        <f t="shared" si="137"/>
        <v>0</v>
      </c>
      <c r="BH635">
        <f t="shared" si="138"/>
        <v>0</v>
      </c>
      <c r="BI635">
        <f t="shared" si="139"/>
        <v>0</v>
      </c>
    </row>
    <row r="636" spans="11:61" x14ac:dyDescent="0.35">
      <c r="K636" t="str">
        <f>IFERROR(VLOOKUP(F636,tbTurnos,3,FALSE),"")</f>
        <v/>
      </c>
      <c r="N636" t="str">
        <f>IFERROR(VLOOKUP(M636,tbFactorMes,2,FALSE),"")</f>
        <v/>
      </c>
      <c r="O636">
        <f t="shared" si="126"/>
        <v>0</v>
      </c>
      <c r="R636" t="str">
        <f>IFERROR(VLOOKUP(Q636,tbFactorMes,2,FALSE),"")</f>
        <v/>
      </c>
      <c r="S636">
        <f t="shared" si="127"/>
        <v>0</v>
      </c>
      <c r="V636" t="str">
        <f>IFERROR(VLOOKUP(U636,tbFactorMes,2,FALSE),"")</f>
        <v/>
      </c>
      <c r="W636">
        <f t="shared" si="128"/>
        <v>0</v>
      </c>
      <c r="Z636" t="str">
        <f>IFERROR(VLOOKUP(Y636,tbFactorMes,2,FALSE),"")</f>
        <v/>
      </c>
      <c r="AA636">
        <f t="shared" si="129"/>
        <v>0</v>
      </c>
      <c r="AD636" t="str">
        <f>IFERROR(VLOOKUP(AC636,tbFactorMes,2,FALSE),"")</f>
        <v/>
      </c>
      <c r="AE636">
        <f t="shared" si="130"/>
        <v>0</v>
      </c>
      <c r="AH636" t="str">
        <f>IFERROR(VLOOKUP(AG636,tbFactorMes,2,FALSE),"")</f>
        <v/>
      </c>
      <c r="AI636">
        <f t="shared" si="131"/>
        <v>0</v>
      </c>
      <c r="AL636" t="str">
        <f>IFERROR(VLOOKUP(AK636,tbFactorMes,2,FALSE),"")</f>
        <v/>
      </c>
      <c r="AM636">
        <f t="shared" si="132"/>
        <v>0</v>
      </c>
      <c r="AP636" t="str">
        <f>IFERROR(VLOOKUP(AO636,tbFactorMes,2,FALSE),"")</f>
        <v/>
      </c>
      <c r="AQ636">
        <f t="shared" si="133"/>
        <v>0</v>
      </c>
      <c r="AT636" t="str">
        <f>IFERROR(VLOOKUP(AS636,tbFactorMes,2,FALSE),"")</f>
        <v/>
      </c>
      <c r="AU636">
        <f t="shared" si="134"/>
        <v>0</v>
      </c>
      <c r="AX636" t="str">
        <f>IFERROR(VLOOKUP(AW636,tbFactorMes,2,FALSE),"")</f>
        <v/>
      </c>
      <c r="AY636">
        <f t="shared" si="135"/>
        <v>0</v>
      </c>
      <c r="BB636" t="str">
        <f>IFERROR(VLOOKUP(BA636,tbFactorMes,2,FALSE),"")</f>
        <v/>
      </c>
      <c r="BC636">
        <f t="shared" si="136"/>
        <v>0</v>
      </c>
      <c r="BF636" t="str">
        <f>IFERROR(VLOOKUP(BE636,tbFactorMes,2,FALSE),"")</f>
        <v/>
      </c>
      <c r="BG636">
        <f t="shared" si="137"/>
        <v>0</v>
      </c>
      <c r="BH636">
        <f t="shared" si="138"/>
        <v>0</v>
      </c>
      <c r="BI636">
        <f t="shared" si="139"/>
        <v>0</v>
      </c>
    </row>
    <row r="637" spans="11:61" x14ac:dyDescent="0.35">
      <c r="K637" t="str">
        <f>IFERROR(VLOOKUP(F637,tbTurnos,3,FALSE),"")</f>
        <v/>
      </c>
      <c r="N637" t="str">
        <f>IFERROR(VLOOKUP(M637,tbFactorMes,2,FALSE),"")</f>
        <v/>
      </c>
      <c r="O637">
        <f t="shared" si="126"/>
        <v>0</v>
      </c>
      <c r="R637" t="str">
        <f>IFERROR(VLOOKUP(Q637,tbFactorMes,2,FALSE),"")</f>
        <v/>
      </c>
      <c r="S637">
        <f t="shared" si="127"/>
        <v>0</v>
      </c>
      <c r="V637" t="str">
        <f>IFERROR(VLOOKUP(U637,tbFactorMes,2,FALSE),"")</f>
        <v/>
      </c>
      <c r="W637">
        <f t="shared" si="128"/>
        <v>0</v>
      </c>
      <c r="Z637" t="str">
        <f>IFERROR(VLOOKUP(Y637,tbFactorMes,2,FALSE),"")</f>
        <v/>
      </c>
      <c r="AA637">
        <f t="shared" si="129"/>
        <v>0</v>
      </c>
      <c r="AD637" t="str">
        <f>IFERROR(VLOOKUP(AC637,tbFactorMes,2,FALSE),"")</f>
        <v/>
      </c>
      <c r="AE637">
        <f t="shared" si="130"/>
        <v>0</v>
      </c>
      <c r="AH637" t="str">
        <f>IFERROR(VLOOKUP(AG637,tbFactorMes,2,FALSE),"")</f>
        <v/>
      </c>
      <c r="AI637">
        <f t="shared" si="131"/>
        <v>0</v>
      </c>
      <c r="AL637" t="str">
        <f>IFERROR(VLOOKUP(AK637,tbFactorMes,2,FALSE),"")</f>
        <v/>
      </c>
      <c r="AM637">
        <f t="shared" si="132"/>
        <v>0</v>
      </c>
      <c r="AP637" t="str">
        <f>IFERROR(VLOOKUP(AO637,tbFactorMes,2,FALSE),"")</f>
        <v/>
      </c>
      <c r="AQ637">
        <f t="shared" si="133"/>
        <v>0</v>
      </c>
      <c r="AT637" t="str">
        <f>IFERROR(VLOOKUP(AS637,tbFactorMes,2,FALSE),"")</f>
        <v/>
      </c>
      <c r="AU637">
        <f t="shared" si="134"/>
        <v>0</v>
      </c>
      <c r="AX637" t="str">
        <f>IFERROR(VLOOKUP(AW637,tbFactorMes,2,FALSE),"")</f>
        <v/>
      </c>
      <c r="AY637">
        <f t="shared" si="135"/>
        <v>0</v>
      </c>
      <c r="BB637" t="str">
        <f>IFERROR(VLOOKUP(BA637,tbFactorMes,2,FALSE),"")</f>
        <v/>
      </c>
      <c r="BC637">
        <f t="shared" si="136"/>
        <v>0</v>
      </c>
      <c r="BF637" t="str">
        <f>IFERROR(VLOOKUP(BE637,tbFactorMes,2,FALSE),"")</f>
        <v/>
      </c>
      <c r="BG637">
        <f t="shared" si="137"/>
        <v>0</v>
      </c>
      <c r="BH637">
        <f t="shared" si="138"/>
        <v>0</v>
      </c>
      <c r="BI637">
        <f t="shared" si="139"/>
        <v>0</v>
      </c>
    </row>
    <row r="638" spans="11:61" x14ac:dyDescent="0.35">
      <c r="K638" t="str">
        <f>IFERROR(VLOOKUP(F638,tbTurnos,3,FALSE),"")</f>
        <v/>
      </c>
      <c r="N638" t="str">
        <f>IFERROR(VLOOKUP(M638,tbFactorMes,2,FALSE),"")</f>
        <v/>
      </c>
      <c r="O638">
        <f t="shared" si="126"/>
        <v>0</v>
      </c>
      <c r="R638" t="str">
        <f>IFERROR(VLOOKUP(Q638,tbFactorMes,2,FALSE),"")</f>
        <v/>
      </c>
      <c r="S638">
        <f t="shared" si="127"/>
        <v>0</v>
      </c>
      <c r="V638" t="str">
        <f>IFERROR(VLOOKUP(U638,tbFactorMes,2,FALSE),"")</f>
        <v/>
      </c>
      <c r="W638">
        <f t="shared" si="128"/>
        <v>0</v>
      </c>
      <c r="Z638" t="str">
        <f>IFERROR(VLOOKUP(Y638,tbFactorMes,2,FALSE),"")</f>
        <v/>
      </c>
      <c r="AA638">
        <f t="shared" si="129"/>
        <v>0</v>
      </c>
      <c r="AD638" t="str">
        <f>IFERROR(VLOOKUP(AC638,tbFactorMes,2,FALSE),"")</f>
        <v/>
      </c>
      <c r="AE638">
        <f t="shared" si="130"/>
        <v>0</v>
      </c>
      <c r="AH638" t="str">
        <f>IFERROR(VLOOKUP(AG638,tbFactorMes,2,FALSE),"")</f>
        <v/>
      </c>
      <c r="AI638">
        <f t="shared" si="131"/>
        <v>0</v>
      </c>
      <c r="AL638" t="str">
        <f>IFERROR(VLOOKUP(AK638,tbFactorMes,2,FALSE),"")</f>
        <v/>
      </c>
      <c r="AM638">
        <f t="shared" si="132"/>
        <v>0</v>
      </c>
      <c r="AP638" t="str">
        <f>IFERROR(VLOOKUP(AO638,tbFactorMes,2,FALSE),"")</f>
        <v/>
      </c>
      <c r="AQ638">
        <f t="shared" si="133"/>
        <v>0</v>
      </c>
      <c r="AT638" t="str">
        <f>IFERROR(VLOOKUP(AS638,tbFactorMes,2,FALSE),"")</f>
        <v/>
      </c>
      <c r="AU638">
        <f t="shared" si="134"/>
        <v>0</v>
      </c>
      <c r="AX638" t="str">
        <f>IFERROR(VLOOKUP(AW638,tbFactorMes,2,FALSE),"")</f>
        <v/>
      </c>
      <c r="AY638">
        <f t="shared" si="135"/>
        <v>0</v>
      </c>
      <c r="BB638" t="str">
        <f>IFERROR(VLOOKUP(BA638,tbFactorMes,2,FALSE),"")</f>
        <v/>
      </c>
      <c r="BC638">
        <f t="shared" si="136"/>
        <v>0</v>
      </c>
      <c r="BF638" t="str">
        <f>IFERROR(VLOOKUP(BE638,tbFactorMes,2,FALSE),"")</f>
        <v/>
      </c>
      <c r="BG638">
        <f t="shared" si="137"/>
        <v>0</v>
      </c>
      <c r="BH638">
        <f t="shared" si="138"/>
        <v>0</v>
      </c>
      <c r="BI638">
        <f t="shared" si="139"/>
        <v>0</v>
      </c>
    </row>
    <row r="639" spans="11:61" x14ac:dyDescent="0.35">
      <c r="K639" t="str">
        <f>IFERROR(VLOOKUP(F639,tbTurnos,3,FALSE),"")</f>
        <v/>
      </c>
      <c r="N639" t="str">
        <f>IFERROR(VLOOKUP(M639,tbFactorMes,2,FALSE),"")</f>
        <v/>
      </c>
      <c r="O639">
        <f t="shared" si="126"/>
        <v>0</v>
      </c>
      <c r="R639" t="str">
        <f>IFERROR(VLOOKUP(Q639,tbFactorMes,2,FALSE),"")</f>
        <v/>
      </c>
      <c r="S639">
        <f t="shared" si="127"/>
        <v>0</v>
      </c>
      <c r="V639" t="str">
        <f>IFERROR(VLOOKUP(U639,tbFactorMes,2,FALSE),"")</f>
        <v/>
      </c>
      <c r="W639">
        <f t="shared" si="128"/>
        <v>0</v>
      </c>
      <c r="Z639" t="str">
        <f>IFERROR(VLOOKUP(Y639,tbFactorMes,2,FALSE),"")</f>
        <v/>
      </c>
      <c r="AA639">
        <f t="shared" si="129"/>
        <v>0</v>
      </c>
      <c r="AD639" t="str">
        <f>IFERROR(VLOOKUP(AC639,tbFactorMes,2,FALSE),"")</f>
        <v/>
      </c>
      <c r="AE639">
        <f t="shared" si="130"/>
        <v>0</v>
      </c>
      <c r="AH639" t="str">
        <f>IFERROR(VLOOKUP(AG639,tbFactorMes,2,FALSE),"")</f>
        <v/>
      </c>
      <c r="AI639">
        <f t="shared" si="131"/>
        <v>0</v>
      </c>
      <c r="AL639" t="str">
        <f>IFERROR(VLOOKUP(AK639,tbFactorMes,2,FALSE),"")</f>
        <v/>
      </c>
      <c r="AM639">
        <f t="shared" si="132"/>
        <v>0</v>
      </c>
      <c r="AP639" t="str">
        <f>IFERROR(VLOOKUP(AO639,tbFactorMes,2,FALSE),"")</f>
        <v/>
      </c>
      <c r="AQ639">
        <f t="shared" si="133"/>
        <v>0</v>
      </c>
      <c r="AT639" t="str">
        <f>IFERROR(VLOOKUP(AS639,tbFactorMes,2,FALSE),"")</f>
        <v/>
      </c>
      <c r="AU639">
        <f t="shared" si="134"/>
        <v>0</v>
      </c>
      <c r="AX639" t="str">
        <f>IFERROR(VLOOKUP(AW639,tbFactorMes,2,FALSE),"")</f>
        <v/>
      </c>
      <c r="AY639">
        <f t="shared" si="135"/>
        <v>0</v>
      </c>
      <c r="BB639" t="str">
        <f>IFERROR(VLOOKUP(BA639,tbFactorMes,2,FALSE),"")</f>
        <v/>
      </c>
      <c r="BC639">
        <f t="shared" si="136"/>
        <v>0</v>
      </c>
      <c r="BF639" t="str">
        <f>IFERROR(VLOOKUP(BE639,tbFactorMes,2,FALSE),"")</f>
        <v/>
      </c>
      <c r="BG639">
        <f t="shared" si="137"/>
        <v>0</v>
      </c>
      <c r="BH639">
        <f t="shared" si="138"/>
        <v>0</v>
      </c>
      <c r="BI639">
        <f t="shared" si="139"/>
        <v>0</v>
      </c>
    </row>
    <row r="640" spans="11:61" x14ac:dyDescent="0.35">
      <c r="K640" t="str">
        <f>IFERROR(VLOOKUP(F640,tbTurnos,3,FALSE),"")</f>
        <v/>
      </c>
      <c r="N640" t="str">
        <f>IFERROR(VLOOKUP(M640,tbFactorMes,2,FALSE),"")</f>
        <v/>
      </c>
      <c r="O640">
        <f t="shared" si="126"/>
        <v>0</v>
      </c>
      <c r="R640" t="str">
        <f>IFERROR(VLOOKUP(Q640,tbFactorMes,2,FALSE),"")</f>
        <v/>
      </c>
      <c r="S640">
        <f t="shared" si="127"/>
        <v>0</v>
      </c>
      <c r="V640" t="str">
        <f>IFERROR(VLOOKUP(U640,tbFactorMes,2,FALSE),"")</f>
        <v/>
      </c>
      <c r="W640">
        <f t="shared" si="128"/>
        <v>0</v>
      </c>
      <c r="Z640" t="str">
        <f>IFERROR(VLOOKUP(Y640,tbFactorMes,2,FALSE),"")</f>
        <v/>
      </c>
      <c r="AA640">
        <f t="shared" si="129"/>
        <v>0</v>
      </c>
      <c r="AD640" t="str">
        <f>IFERROR(VLOOKUP(AC640,tbFactorMes,2,FALSE),"")</f>
        <v/>
      </c>
      <c r="AE640">
        <f t="shared" si="130"/>
        <v>0</v>
      </c>
      <c r="AH640" t="str">
        <f>IFERROR(VLOOKUP(AG640,tbFactorMes,2,FALSE),"")</f>
        <v/>
      </c>
      <c r="AI640">
        <f t="shared" si="131"/>
        <v>0</v>
      </c>
      <c r="AL640" t="str">
        <f>IFERROR(VLOOKUP(AK640,tbFactorMes,2,FALSE),"")</f>
        <v/>
      </c>
      <c r="AM640">
        <f t="shared" si="132"/>
        <v>0</v>
      </c>
      <c r="AP640" t="str">
        <f>IFERROR(VLOOKUP(AO640,tbFactorMes,2,FALSE),"")</f>
        <v/>
      </c>
      <c r="AQ640">
        <f t="shared" si="133"/>
        <v>0</v>
      </c>
      <c r="AT640" t="str">
        <f>IFERROR(VLOOKUP(AS640,tbFactorMes,2,FALSE),"")</f>
        <v/>
      </c>
      <c r="AU640">
        <f t="shared" si="134"/>
        <v>0</v>
      </c>
      <c r="AX640" t="str">
        <f>IFERROR(VLOOKUP(AW640,tbFactorMes,2,FALSE),"")</f>
        <v/>
      </c>
      <c r="AY640">
        <f t="shared" si="135"/>
        <v>0</v>
      </c>
      <c r="BB640" t="str">
        <f>IFERROR(VLOOKUP(BA640,tbFactorMes,2,FALSE),"")</f>
        <v/>
      </c>
      <c r="BC640">
        <f t="shared" si="136"/>
        <v>0</v>
      </c>
      <c r="BF640" t="str">
        <f>IFERROR(VLOOKUP(BE640,tbFactorMes,2,FALSE),"")</f>
        <v/>
      </c>
      <c r="BG640">
        <f t="shared" si="137"/>
        <v>0</v>
      </c>
      <c r="BH640">
        <f t="shared" si="138"/>
        <v>0</v>
      </c>
      <c r="BI640">
        <f t="shared" si="139"/>
        <v>0</v>
      </c>
    </row>
    <row r="641" spans="11:61" x14ac:dyDescent="0.35">
      <c r="K641" t="str">
        <f>IFERROR(VLOOKUP(F641,tbTurnos,3,FALSE),"")</f>
        <v/>
      </c>
      <c r="N641" t="str">
        <f>IFERROR(VLOOKUP(M641,tbFactorMes,2,FALSE),"")</f>
        <v/>
      </c>
      <c r="O641">
        <f t="shared" si="126"/>
        <v>0</v>
      </c>
      <c r="R641" t="str">
        <f>IFERROR(VLOOKUP(Q641,tbFactorMes,2,FALSE),"")</f>
        <v/>
      </c>
      <c r="S641">
        <f t="shared" si="127"/>
        <v>0</v>
      </c>
      <c r="V641" t="str">
        <f>IFERROR(VLOOKUP(U641,tbFactorMes,2,FALSE),"")</f>
        <v/>
      </c>
      <c r="W641">
        <f t="shared" si="128"/>
        <v>0</v>
      </c>
      <c r="Z641" t="str">
        <f>IFERROR(VLOOKUP(Y641,tbFactorMes,2,FALSE),"")</f>
        <v/>
      </c>
      <c r="AA641">
        <f t="shared" si="129"/>
        <v>0</v>
      </c>
      <c r="AD641" t="str">
        <f>IFERROR(VLOOKUP(AC641,tbFactorMes,2,FALSE),"")</f>
        <v/>
      </c>
      <c r="AE641">
        <f t="shared" si="130"/>
        <v>0</v>
      </c>
      <c r="AH641" t="str">
        <f>IFERROR(VLOOKUP(AG641,tbFactorMes,2,FALSE),"")</f>
        <v/>
      </c>
      <c r="AI641">
        <f t="shared" si="131"/>
        <v>0</v>
      </c>
      <c r="AL641" t="str">
        <f>IFERROR(VLOOKUP(AK641,tbFactorMes,2,FALSE),"")</f>
        <v/>
      </c>
      <c r="AM641">
        <f t="shared" si="132"/>
        <v>0</v>
      </c>
      <c r="AP641" t="str">
        <f>IFERROR(VLOOKUP(AO641,tbFactorMes,2,FALSE),"")</f>
        <v/>
      </c>
      <c r="AQ641">
        <f t="shared" si="133"/>
        <v>0</v>
      </c>
      <c r="AT641" t="str">
        <f>IFERROR(VLOOKUP(AS641,tbFactorMes,2,FALSE),"")</f>
        <v/>
      </c>
      <c r="AU641">
        <f t="shared" si="134"/>
        <v>0</v>
      </c>
      <c r="AX641" t="str">
        <f>IFERROR(VLOOKUP(AW641,tbFactorMes,2,FALSE),"")</f>
        <v/>
      </c>
      <c r="AY641">
        <f t="shared" si="135"/>
        <v>0</v>
      </c>
      <c r="BB641" t="str">
        <f>IFERROR(VLOOKUP(BA641,tbFactorMes,2,FALSE),"")</f>
        <v/>
      </c>
      <c r="BC641">
        <f t="shared" si="136"/>
        <v>0</v>
      </c>
      <c r="BF641" t="str">
        <f>IFERROR(VLOOKUP(BE641,tbFactorMes,2,FALSE),"")</f>
        <v/>
      </c>
      <c r="BG641">
        <f t="shared" si="137"/>
        <v>0</v>
      </c>
      <c r="BH641">
        <f t="shared" si="138"/>
        <v>0</v>
      </c>
      <c r="BI641">
        <f t="shared" si="139"/>
        <v>0</v>
      </c>
    </row>
    <row r="642" spans="11:61" x14ac:dyDescent="0.35">
      <c r="K642" t="str">
        <f>IFERROR(VLOOKUP(F642,tbTurnos,3,FALSE),"")</f>
        <v/>
      </c>
      <c r="N642" t="str">
        <f>IFERROR(VLOOKUP(M642,tbFactorMes,2,FALSE),"")</f>
        <v/>
      </c>
      <c r="O642">
        <f t="shared" ref="O642:O705" si="140">IFERROR((L642*$K642)/N642,0)*$J642</f>
        <v>0</v>
      </c>
      <c r="R642" t="str">
        <f>IFERROR(VLOOKUP(Q642,tbFactorMes,2,FALSE),"")</f>
        <v/>
      </c>
      <c r="S642">
        <f t="shared" ref="S642:S705" si="141">IFERROR((P642*$K642)/R642,0)*$J642</f>
        <v>0</v>
      </c>
      <c r="V642" t="str">
        <f>IFERROR(VLOOKUP(U642,tbFactorMes,2,FALSE),"")</f>
        <v/>
      </c>
      <c r="W642">
        <f t="shared" ref="W642:W705" si="142">IFERROR((T642*$K642)/V642,0)*$J642</f>
        <v>0</v>
      </c>
      <c r="Z642" t="str">
        <f>IFERROR(VLOOKUP(Y642,tbFactorMes,2,FALSE),"")</f>
        <v/>
      </c>
      <c r="AA642">
        <f t="shared" ref="AA642:AA705" si="143">IFERROR((X642*$K642)/Z642,0)*$J642</f>
        <v>0</v>
      </c>
      <c r="AD642" t="str">
        <f>IFERROR(VLOOKUP(AC642,tbFactorMes,2,FALSE),"")</f>
        <v/>
      </c>
      <c r="AE642">
        <f t="shared" ref="AE642:AE705" si="144">IFERROR((AB642*$K642)/AD642,0)*$J642</f>
        <v>0</v>
      </c>
      <c r="AH642" t="str">
        <f>IFERROR(VLOOKUP(AG642,tbFactorMes,2,FALSE),"")</f>
        <v/>
      </c>
      <c r="AI642">
        <f t="shared" ref="AI642:AI705" si="145">IFERROR((AF642*$K642)/AH642,0)*$J642</f>
        <v>0</v>
      </c>
      <c r="AL642" t="str">
        <f>IFERROR(VLOOKUP(AK642,tbFactorMes,2,FALSE),"")</f>
        <v/>
      </c>
      <c r="AM642">
        <f t="shared" ref="AM642:AM705" si="146">IFERROR((AJ642*$K642)/AL642,0)*$J642</f>
        <v>0</v>
      </c>
      <c r="AP642" t="str">
        <f>IFERROR(VLOOKUP(AO642,tbFactorMes,2,FALSE),"")</f>
        <v/>
      </c>
      <c r="AQ642">
        <f t="shared" ref="AQ642:AQ705" si="147">IFERROR((AN642*$K642)/AP642,0)*$J642</f>
        <v>0</v>
      </c>
      <c r="AT642" t="str">
        <f>IFERROR(VLOOKUP(AS642,tbFactorMes,2,FALSE),"")</f>
        <v/>
      </c>
      <c r="AU642">
        <f t="shared" ref="AU642:AU705" si="148">IFERROR((AR642*$K642)/AT642,0)*$J642</f>
        <v>0</v>
      </c>
      <c r="AX642" t="str">
        <f>IFERROR(VLOOKUP(AW642,tbFactorMes,2,FALSE),"")</f>
        <v/>
      </c>
      <c r="AY642">
        <f t="shared" ref="AY642:AY705" si="149">IFERROR((AV642*$K642)/AX642,0)*$J642</f>
        <v>0</v>
      </c>
      <c r="BB642" t="str">
        <f>IFERROR(VLOOKUP(BA642,tbFactorMes,2,FALSE),"")</f>
        <v/>
      </c>
      <c r="BC642">
        <f t="shared" ref="BC642:BC705" si="150">IFERROR((AZ642*$K642)/BB642,0)*$J642</f>
        <v>0</v>
      </c>
      <c r="BF642" t="str">
        <f>IFERROR(VLOOKUP(BE642,tbFactorMes,2,FALSE),"")</f>
        <v/>
      </c>
      <c r="BG642">
        <f t="shared" ref="BG642:BG705" si="151">IFERROR((BD642*$K642)/BF642,0)*$J642</f>
        <v>0</v>
      </c>
      <c r="BH642">
        <f t="shared" ref="BH642:BH705" si="152">IFERROR(SUM(O642,S642,W642,AA642,AE642,AI642,AM642,AQ642,AU642,AY642,BC642,BG642),0)</f>
        <v>0</v>
      </c>
      <c r="BI642">
        <f t="shared" ref="BI642:BI705" si="153">IFERROR(BH642*(1-$I642),0)</f>
        <v>0</v>
      </c>
    </row>
    <row r="643" spans="11:61" x14ac:dyDescent="0.35">
      <c r="K643" t="str">
        <f>IFERROR(VLOOKUP(F643,tbTurnos,3,FALSE),"")</f>
        <v/>
      </c>
      <c r="N643" t="str">
        <f>IFERROR(VLOOKUP(M643,tbFactorMes,2,FALSE),"")</f>
        <v/>
      </c>
      <c r="O643">
        <f t="shared" si="140"/>
        <v>0</v>
      </c>
      <c r="R643" t="str">
        <f>IFERROR(VLOOKUP(Q643,tbFactorMes,2,FALSE),"")</f>
        <v/>
      </c>
      <c r="S643">
        <f t="shared" si="141"/>
        <v>0</v>
      </c>
      <c r="V643" t="str">
        <f>IFERROR(VLOOKUP(U643,tbFactorMes,2,FALSE),"")</f>
        <v/>
      </c>
      <c r="W643">
        <f t="shared" si="142"/>
        <v>0</v>
      </c>
      <c r="Z643" t="str">
        <f>IFERROR(VLOOKUP(Y643,tbFactorMes,2,FALSE),"")</f>
        <v/>
      </c>
      <c r="AA643">
        <f t="shared" si="143"/>
        <v>0</v>
      </c>
      <c r="AD643" t="str">
        <f>IFERROR(VLOOKUP(AC643,tbFactorMes,2,FALSE),"")</f>
        <v/>
      </c>
      <c r="AE643">
        <f t="shared" si="144"/>
        <v>0</v>
      </c>
      <c r="AH643" t="str">
        <f>IFERROR(VLOOKUP(AG643,tbFactorMes,2,FALSE),"")</f>
        <v/>
      </c>
      <c r="AI643">
        <f t="shared" si="145"/>
        <v>0</v>
      </c>
      <c r="AL643" t="str">
        <f>IFERROR(VLOOKUP(AK643,tbFactorMes,2,FALSE),"")</f>
        <v/>
      </c>
      <c r="AM643">
        <f t="shared" si="146"/>
        <v>0</v>
      </c>
      <c r="AP643" t="str">
        <f>IFERROR(VLOOKUP(AO643,tbFactorMes,2,FALSE),"")</f>
        <v/>
      </c>
      <c r="AQ643">
        <f t="shared" si="147"/>
        <v>0</v>
      </c>
      <c r="AT643" t="str">
        <f>IFERROR(VLOOKUP(AS643,tbFactorMes,2,FALSE),"")</f>
        <v/>
      </c>
      <c r="AU643">
        <f t="shared" si="148"/>
        <v>0</v>
      </c>
      <c r="AX643" t="str">
        <f>IFERROR(VLOOKUP(AW643,tbFactorMes,2,FALSE),"")</f>
        <v/>
      </c>
      <c r="AY643">
        <f t="shared" si="149"/>
        <v>0</v>
      </c>
      <c r="BB643" t="str">
        <f>IFERROR(VLOOKUP(BA643,tbFactorMes,2,FALSE),"")</f>
        <v/>
      </c>
      <c r="BC643">
        <f t="shared" si="150"/>
        <v>0</v>
      </c>
      <c r="BF643" t="str">
        <f>IFERROR(VLOOKUP(BE643,tbFactorMes,2,FALSE),"")</f>
        <v/>
      </c>
      <c r="BG643">
        <f t="shared" si="151"/>
        <v>0</v>
      </c>
      <c r="BH643">
        <f t="shared" si="152"/>
        <v>0</v>
      </c>
      <c r="BI643">
        <f t="shared" si="153"/>
        <v>0</v>
      </c>
    </row>
    <row r="644" spans="11:61" x14ac:dyDescent="0.35">
      <c r="K644" t="str">
        <f>IFERROR(VLOOKUP(F644,tbTurnos,3,FALSE),"")</f>
        <v/>
      </c>
      <c r="N644" t="str">
        <f>IFERROR(VLOOKUP(M644,tbFactorMes,2,FALSE),"")</f>
        <v/>
      </c>
      <c r="O644">
        <f t="shared" si="140"/>
        <v>0</v>
      </c>
      <c r="R644" t="str">
        <f>IFERROR(VLOOKUP(Q644,tbFactorMes,2,FALSE),"")</f>
        <v/>
      </c>
      <c r="S644">
        <f t="shared" si="141"/>
        <v>0</v>
      </c>
      <c r="V644" t="str">
        <f>IFERROR(VLOOKUP(U644,tbFactorMes,2,FALSE),"")</f>
        <v/>
      </c>
      <c r="W644">
        <f t="shared" si="142"/>
        <v>0</v>
      </c>
      <c r="Z644" t="str">
        <f>IFERROR(VLOOKUP(Y644,tbFactorMes,2,FALSE),"")</f>
        <v/>
      </c>
      <c r="AA644">
        <f t="shared" si="143"/>
        <v>0</v>
      </c>
      <c r="AD644" t="str">
        <f>IFERROR(VLOOKUP(AC644,tbFactorMes,2,FALSE),"")</f>
        <v/>
      </c>
      <c r="AE644">
        <f t="shared" si="144"/>
        <v>0</v>
      </c>
      <c r="AH644" t="str">
        <f>IFERROR(VLOOKUP(AG644,tbFactorMes,2,FALSE),"")</f>
        <v/>
      </c>
      <c r="AI644">
        <f t="shared" si="145"/>
        <v>0</v>
      </c>
      <c r="AL644" t="str">
        <f>IFERROR(VLOOKUP(AK644,tbFactorMes,2,FALSE),"")</f>
        <v/>
      </c>
      <c r="AM644">
        <f t="shared" si="146"/>
        <v>0</v>
      </c>
      <c r="AP644" t="str">
        <f>IFERROR(VLOOKUP(AO644,tbFactorMes,2,FALSE),"")</f>
        <v/>
      </c>
      <c r="AQ644">
        <f t="shared" si="147"/>
        <v>0</v>
      </c>
      <c r="AT644" t="str">
        <f>IFERROR(VLOOKUP(AS644,tbFactorMes,2,FALSE),"")</f>
        <v/>
      </c>
      <c r="AU644">
        <f t="shared" si="148"/>
        <v>0</v>
      </c>
      <c r="AX644" t="str">
        <f>IFERROR(VLOOKUP(AW644,tbFactorMes,2,FALSE),"")</f>
        <v/>
      </c>
      <c r="AY644">
        <f t="shared" si="149"/>
        <v>0</v>
      </c>
      <c r="BB644" t="str">
        <f>IFERROR(VLOOKUP(BA644,tbFactorMes,2,FALSE),"")</f>
        <v/>
      </c>
      <c r="BC644">
        <f t="shared" si="150"/>
        <v>0</v>
      </c>
      <c r="BF644" t="str">
        <f>IFERROR(VLOOKUP(BE644,tbFactorMes,2,FALSE),"")</f>
        <v/>
      </c>
      <c r="BG644">
        <f t="shared" si="151"/>
        <v>0</v>
      </c>
      <c r="BH644">
        <f t="shared" si="152"/>
        <v>0</v>
      </c>
      <c r="BI644">
        <f t="shared" si="153"/>
        <v>0</v>
      </c>
    </row>
    <row r="645" spans="11:61" x14ac:dyDescent="0.35">
      <c r="K645" t="str">
        <f>IFERROR(VLOOKUP(F645,tbTurnos,3,FALSE),"")</f>
        <v/>
      </c>
      <c r="N645" t="str">
        <f>IFERROR(VLOOKUP(M645,tbFactorMes,2,FALSE),"")</f>
        <v/>
      </c>
      <c r="O645">
        <f t="shared" si="140"/>
        <v>0</v>
      </c>
      <c r="R645" t="str">
        <f>IFERROR(VLOOKUP(Q645,tbFactorMes,2,FALSE),"")</f>
        <v/>
      </c>
      <c r="S645">
        <f t="shared" si="141"/>
        <v>0</v>
      </c>
      <c r="V645" t="str">
        <f>IFERROR(VLOOKUP(U645,tbFactorMes,2,FALSE),"")</f>
        <v/>
      </c>
      <c r="W645">
        <f t="shared" si="142"/>
        <v>0</v>
      </c>
      <c r="Z645" t="str">
        <f>IFERROR(VLOOKUP(Y645,tbFactorMes,2,FALSE),"")</f>
        <v/>
      </c>
      <c r="AA645">
        <f t="shared" si="143"/>
        <v>0</v>
      </c>
      <c r="AD645" t="str">
        <f>IFERROR(VLOOKUP(AC645,tbFactorMes,2,FALSE),"")</f>
        <v/>
      </c>
      <c r="AE645">
        <f t="shared" si="144"/>
        <v>0</v>
      </c>
      <c r="AH645" t="str">
        <f>IFERROR(VLOOKUP(AG645,tbFactorMes,2,FALSE),"")</f>
        <v/>
      </c>
      <c r="AI645">
        <f t="shared" si="145"/>
        <v>0</v>
      </c>
      <c r="AL645" t="str">
        <f>IFERROR(VLOOKUP(AK645,tbFactorMes,2,FALSE),"")</f>
        <v/>
      </c>
      <c r="AM645">
        <f t="shared" si="146"/>
        <v>0</v>
      </c>
      <c r="AP645" t="str">
        <f>IFERROR(VLOOKUP(AO645,tbFactorMes,2,FALSE),"")</f>
        <v/>
      </c>
      <c r="AQ645">
        <f t="shared" si="147"/>
        <v>0</v>
      </c>
      <c r="AT645" t="str">
        <f>IFERROR(VLOOKUP(AS645,tbFactorMes,2,FALSE),"")</f>
        <v/>
      </c>
      <c r="AU645">
        <f t="shared" si="148"/>
        <v>0</v>
      </c>
      <c r="AX645" t="str">
        <f>IFERROR(VLOOKUP(AW645,tbFactorMes,2,FALSE),"")</f>
        <v/>
      </c>
      <c r="AY645">
        <f t="shared" si="149"/>
        <v>0</v>
      </c>
      <c r="BB645" t="str">
        <f>IFERROR(VLOOKUP(BA645,tbFactorMes,2,FALSE),"")</f>
        <v/>
      </c>
      <c r="BC645">
        <f t="shared" si="150"/>
        <v>0</v>
      </c>
      <c r="BF645" t="str">
        <f>IFERROR(VLOOKUP(BE645,tbFactorMes,2,FALSE),"")</f>
        <v/>
      </c>
      <c r="BG645">
        <f t="shared" si="151"/>
        <v>0</v>
      </c>
      <c r="BH645">
        <f t="shared" si="152"/>
        <v>0</v>
      </c>
      <c r="BI645">
        <f t="shared" si="153"/>
        <v>0</v>
      </c>
    </row>
    <row r="646" spans="11:61" x14ac:dyDescent="0.35">
      <c r="K646" t="str">
        <f>IFERROR(VLOOKUP(F646,tbTurnos,3,FALSE),"")</f>
        <v/>
      </c>
      <c r="N646" t="str">
        <f>IFERROR(VLOOKUP(M646,tbFactorMes,2,FALSE),"")</f>
        <v/>
      </c>
      <c r="O646">
        <f t="shared" si="140"/>
        <v>0</v>
      </c>
      <c r="R646" t="str">
        <f>IFERROR(VLOOKUP(Q646,tbFactorMes,2,FALSE),"")</f>
        <v/>
      </c>
      <c r="S646">
        <f t="shared" si="141"/>
        <v>0</v>
      </c>
      <c r="V646" t="str">
        <f>IFERROR(VLOOKUP(U646,tbFactorMes,2,FALSE),"")</f>
        <v/>
      </c>
      <c r="W646">
        <f t="shared" si="142"/>
        <v>0</v>
      </c>
      <c r="Z646" t="str">
        <f>IFERROR(VLOOKUP(Y646,tbFactorMes,2,FALSE),"")</f>
        <v/>
      </c>
      <c r="AA646">
        <f t="shared" si="143"/>
        <v>0</v>
      </c>
      <c r="AD646" t="str">
        <f>IFERROR(VLOOKUP(AC646,tbFactorMes,2,FALSE),"")</f>
        <v/>
      </c>
      <c r="AE646">
        <f t="shared" si="144"/>
        <v>0</v>
      </c>
      <c r="AH646" t="str">
        <f>IFERROR(VLOOKUP(AG646,tbFactorMes,2,FALSE),"")</f>
        <v/>
      </c>
      <c r="AI646">
        <f t="shared" si="145"/>
        <v>0</v>
      </c>
      <c r="AL646" t="str">
        <f>IFERROR(VLOOKUP(AK646,tbFactorMes,2,FALSE),"")</f>
        <v/>
      </c>
      <c r="AM646">
        <f t="shared" si="146"/>
        <v>0</v>
      </c>
      <c r="AP646" t="str">
        <f>IFERROR(VLOOKUP(AO646,tbFactorMes,2,FALSE),"")</f>
        <v/>
      </c>
      <c r="AQ646">
        <f t="shared" si="147"/>
        <v>0</v>
      </c>
      <c r="AT646" t="str">
        <f>IFERROR(VLOOKUP(AS646,tbFactorMes,2,FALSE),"")</f>
        <v/>
      </c>
      <c r="AU646">
        <f t="shared" si="148"/>
        <v>0</v>
      </c>
      <c r="AX646" t="str">
        <f>IFERROR(VLOOKUP(AW646,tbFactorMes,2,FALSE),"")</f>
        <v/>
      </c>
      <c r="AY646">
        <f t="shared" si="149"/>
        <v>0</v>
      </c>
      <c r="BB646" t="str">
        <f>IFERROR(VLOOKUP(BA646,tbFactorMes,2,FALSE),"")</f>
        <v/>
      </c>
      <c r="BC646">
        <f t="shared" si="150"/>
        <v>0</v>
      </c>
      <c r="BF646" t="str">
        <f>IFERROR(VLOOKUP(BE646,tbFactorMes,2,FALSE),"")</f>
        <v/>
      </c>
      <c r="BG646">
        <f t="shared" si="151"/>
        <v>0</v>
      </c>
      <c r="BH646">
        <f t="shared" si="152"/>
        <v>0</v>
      </c>
      <c r="BI646">
        <f t="shared" si="153"/>
        <v>0</v>
      </c>
    </row>
    <row r="647" spans="11:61" x14ac:dyDescent="0.35">
      <c r="K647" t="str">
        <f>IFERROR(VLOOKUP(F647,tbTurnos,3,FALSE),"")</f>
        <v/>
      </c>
      <c r="N647" t="str">
        <f>IFERROR(VLOOKUP(M647,tbFactorMes,2,FALSE),"")</f>
        <v/>
      </c>
      <c r="O647">
        <f t="shared" si="140"/>
        <v>0</v>
      </c>
      <c r="R647" t="str">
        <f>IFERROR(VLOOKUP(Q647,tbFactorMes,2,FALSE),"")</f>
        <v/>
      </c>
      <c r="S647">
        <f t="shared" si="141"/>
        <v>0</v>
      </c>
      <c r="V647" t="str">
        <f>IFERROR(VLOOKUP(U647,tbFactorMes,2,FALSE),"")</f>
        <v/>
      </c>
      <c r="W647">
        <f t="shared" si="142"/>
        <v>0</v>
      </c>
      <c r="Z647" t="str">
        <f>IFERROR(VLOOKUP(Y647,tbFactorMes,2,FALSE),"")</f>
        <v/>
      </c>
      <c r="AA647">
        <f t="shared" si="143"/>
        <v>0</v>
      </c>
      <c r="AD647" t="str">
        <f>IFERROR(VLOOKUP(AC647,tbFactorMes,2,FALSE),"")</f>
        <v/>
      </c>
      <c r="AE647">
        <f t="shared" si="144"/>
        <v>0</v>
      </c>
      <c r="AH647" t="str">
        <f>IFERROR(VLOOKUP(AG647,tbFactorMes,2,FALSE),"")</f>
        <v/>
      </c>
      <c r="AI647">
        <f t="shared" si="145"/>
        <v>0</v>
      </c>
      <c r="AL647" t="str">
        <f>IFERROR(VLOOKUP(AK647,tbFactorMes,2,FALSE),"")</f>
        <v/>
      </c>
      <c r="AM647">
        <f t="shared" si="146"/>
        <v>0</v>
      </c>
      <c r="AP647" t="str">
        <f>IFERROR(VLOOKUP(AO647,tbFactorMes,2,FALSE),"")</f>
        <v/>
      </c>
      <c r="AQ647">
        <f t="shared" si="147"/>
        <v>0</v>
      </c>
      <c r="AT647" t="str">
        <f>IFERROR(VLOOKUP(AS647,tbFactorMes,2,FALSE),"")</f>
        <v/>
      </c>
      <c r="AU647">
        <f t="shared" si="148"/>
        <v>0</v>
      </c>
      <c r="AX647" t="str">
        <f>IFERROR(VLOOKUP(AW647,tbFactorMes,2,FALSE),"")</f>
        <v/>
      </c>
      <c r="AY647">
        <f t="shared" si="149"/>
        <v>0</v>
      </c>
      <c r="BB647" t="str">
        <f>IFERROR(VLOOKUP(BA647,tbFactorMes,2,FALSE),"")</f>
        <v/>
      </c>
      <c r="BC647">
        <f t="shared" si="150"/>
        <v>0</v>
      </c>
      <c r="BF647" t="str">
        <f>IFERROR(VLOOKUP(BE647,tbFactorMes,2,FALSE),"")</f>
        <v/>
      </c>
      <c r="BG647">
        <f t="shared" si="151"/>
        <v>0</v>
      </c>
      <c r="BH647">
        <f t="shared" si="152"/>
        <v>0</v>
      </c>
      <c r="BI647">
        <f t="shared" si="153"/>
        <v>0</v>
      </c>
    </row>
    <row r="648" spans="11:61" x14ac:dyDescent="0.35">
      <c r="K648" t="str">
        <f>IFERROR(VLOOKUP(F648,tbTurnos,3,FALSE),"")</f>
        <v/>
      </c>
      <c r="N648" t="str">
        <f>IFERROR(VLOOKUP(M648,tbFactorMes,2,FALSE),"")</f>
        <v/>
      </c>
      <c r="O648">
        <f t="shared" si="140"/>
        <v>0</v>
      </c>
      <c r="R648" t="str">
        <f>IFERROR(VLOOKUP(Q648,tbFactorMes,2,FALSE),"")</f>
        <v/>
      </c>
      <c r="S648">
        <f t="shared" si="141"/>
        <v>0</v>
      </c>
      <c r="V648" t="str">
        <f>IFERROR(VLOOKUP(U648,tbFactorMes,2,FALSE),"")</f>
        <v/>
      </c>
      <c r="W648">
        <f t="shared" si="142"/>
        <v>0</v>
      </c>
      <c r="Z648" t="str">
        <f>IFERROR(VLOOKUP(Y648,tbFactorMes,2,FALSE),"")</f>
        <v/>
      </c>
      <c r="AA648">
        <f t="shared" si="143"/>
        <v>0</v>
      </c>
      <c r="AD648" t="str">
        <f>IFERROR(VLOOKUP(AC648,tbFactorMes,2,FALSE),"")</f>
        <v/>
      </c>
      <c r="AE648">
        <f t="shared" si="144"/>
        <v>0</v>
      </c>
      <c r="AH648" t="str">
        <f>IFERROR(VLOOKUP(AG648,tbFactorMes,2,FALSE),"")</f>
        <v/>
      </c>
      <c r="AI648">
        <f t="shared" si="145"/>
        <v>0</v>
      </c>
      <c r="AL648" t="str">
        <f>IFERROR(VLOOKUP(AK648,tbFactorMes,2,FALSE),"")</f>
        <v/>
      </c>
      <c r="AM648">
        <f t="shared" si="146"/>
        <v>0</v>
      </c>
      <c r="AP648" t="str">
        <f>IFERROR(VLOOKUP(AO648,tbFactorMes,2,FALSE),"")</f>
        <v/>
      </c>
      <c r="AQ648">
        <f t="shared" si="147"/>
        <v>0</v>
      </c>
      <c r="AT648" t="str">
        <f>IFERROR(VLOOKUP(AS648,tbFactorMes,2,FALSE),"")</f>
        <v/>
      </c>
      <c r="AU648">
        <f t="shared" si="148"/>
        <v>0</v>
      </c>
      <c r="AX648" t="str">
        <f>IFERROR(VLOOKUP(AW648,tbFactorMes,2,FALSE),"")</f>
        <v/>
      </c>
      <c r="AY648">
        <f t="shared" si="149"/>
        <v>0</v>
      </c>
      <c r="BB648" t="str">
        <f>IFERROR(VLOOKUP(BA648,tbFactorMes,2,FALSE),"")</f>
        <v/>
      </c>
      <c r="BC648">
        <f t="shared" si="150"/>
        <v>0</v>
      </c>
      <c r="BF648" t="str">
        <f>IFERROR(VLOOKUP(BE648,tbFactorMes,2,FALSE),"")</f>
        <v/>
      </c>
      <c r="BG648">
        <f t="shared" si="151"/>
        <v>0</v>
      </c>
      <c r="BH648">
        <f t="shared" si="152"/>
        <v>0</v>
      </c>
      <c r="BI648">
        <f t="shared" si="153"/>
        <v>0</v>
      </c>
    </row>
    <row r="649" spans="11:61" x14ac:dyDescent="0.35">
      <c r="K649" t="str">
        <f>IFERROR(VLOOKUP(F649,tbTurnos,3,FALSE),"")</f>
        <v/>
      </c>
      <c r="N649" t="str">
        <f>IFERROR(VLOOKUP(M649,tbFactorMes,2,FALSE),"")</f>
        <v/>
      </c>
      <c r="O649">
        <f t="shared" si="140"/>
        <v>0</v>
      </c>
      <c r="R649" t="str">
        <f>IFERROR(VLOOKUP(Q649,tbFactorMes,2,FALSE),"")</f>
        <v/>
      </c>
      <c r="S649">
        <f t="shared" si="141"/>
        <v>0</v>
      </c>
      <c r="V649" t="str">
        <f>IFERROR(VLOOKUP(U649,tbFactorMes,2,FALSE),"")</f>
        <v/>
      </c>
      <c r="W649">
        <f t="shared" si="142"/>
        <v>0</v>
      </c>
      <c r="Z649" t="str">
        <f>IFERROR(VLOOKUP(Y649,tbFactorMes,2,FALSE),"")</f>
        <v/>
      </c>
      <c r="AA649">
        <f t="shared" si="143"/>
        <v>0</v>
      </c>
      <c r="AD649" t="str">
        <f>IFERROR(VLOOKUP(AC649,tbFactorMes,2,FALSE),"")</f>
        <v/>
      </c>
      <c r="AE649">
        <f t="shared" si="144"/>
        <v>0</v>
      </c>
      <c r="AH649" t="str">
        <f>IFERROR(VLOOKUP(AG649,tbFactorMes,2,FALSE),"")</f>
        <v/>
      </c>
      <c r="AI649">
        <f t="shared" si="145"/>
        <v>0</v>
      </c>
      <c r="AL649" t="str">
        <f>IFERROR(VLOOKUP(AK649,tbFactorMes,2,FALSE),"")</f>
        <v/>
      </c>
      <c r="AM649">
        <f t="shared" si="146"/>
        <v>0</v>
      </c>
      <c r="AP649" t="str">
        <f>IFERROR(VLOOKUP(AO649,tbFactorMes,2,FALSE),"")</f>
        <v/>
      </c>
      <c r="AQ649">
        <f t="shared" si="147"/>
        <v>0</v>
      </c>
      <c r="AT649" t="str">
        <f>IFERROR(VLOOKUP(AS649,tbFactorMes,2,FALSE),"")</f>
        <v/>
      </c>
      <c r="AU649">
        <f t="shared" si="148"/>
        <v>0</v>
      </c>
      <c r="AX649" t="str">
        <f>IFERROR(VLOOKUP(AW649,tbFactorMes,2,FALSE),"")</f>
        <v/>
      </c>
      <c r="AY649">
        <f t="shared" si="149"/>
        <v>0</v>
      </c>
      <c r="BB649" t="str">
        <f>IFERROR(VLOOKUP(BA649,tbFactorMes,2,FALSE),"")</f>
        <v/>
      </c>
      <c r="BC649">
        <f t="shared" si="150"/>
        <v>0</v>
      </c>
      <c r="BF649" t="str">
        <f>IFERROR(VLOOKUP(BE649,tbFactorMes,2,FALSE),"")</f>
        <v/>
      </c>
      <c r="BG649">
        <f t="shared" si="151"/>
        <v>0</v>
      </c>
      <c r="BH649">
        <f t="shared" si="152"/>
        <v>0</v>
      </c>
      <c r="BI649">
        <f t="shared" si="153"/>
        <v>0</v>
      </c>
    </row>
    <row r="650" spans="11:61" x14ac:dyDescent="0.35">
      <c r="K650" t="str">
        <f>IFERROR(VLOOKUP(F650,tbTurnos,3,FALSE),"")</f>
        <v/>
      </c>
      <c r="N650" t="str">
        <f>IFERROR(VLOOKUP(M650,tbFactorMes,2,FALSE),"")</f>
        <v/>
      </c>
      <c r="O650">
        <f t="shared" si="140"/>
        <v>0</v>
      </c>
      <c r="R650" t="str">
        <f>IFERROR(VLOOKUP(Q650,tbFactorMes,2,FALSE),"")</f>
        <v/>
      </c>
      <c r="S650">
        <f t="shared" si="141"/>
        <v>0</v>
      </c>
      <c r="V650" t="str">
        <f>IFERROR(VLOOKUP(U650,tbFactorMes,2,FALSE),"")</f>
        <v/>
      </c>
      <c r="W650">
        <f t="shared" si="142"/>
        <v>0</v>
      </c>
      <c r="Z650" t="str">
        <f>IFERROR(VLOOKUP(Y650,tbFactorMes,2,FALSE),"")</f>
        <v/>
      </c>
      <c r="AA650">
        <f t="shared" si="143"/>
        <v>0</v>
      </c>
      <c r="AD650" t="str">
        <f>IFERROR(VLOOKUP(AC650,tbFactorMes,2,FALSE),"")</f>
        <v/>
      </c>
      <c r="AE650">
        <f t="shared" si="144"/>
        <v>0</v>
      </c>
      <c r="AH650" t="str">
        <f>IFERROR(VLOOKUP(AG650,tbFactorMes,2,FALSE),"")</f>
        <v/>
      </c>
      <c r="AI650">
        <f t="shared" si="145"/>
        <v>0</v>
      </c>
      <c r="AL650" t="str">
        <f>IFERROR(VLOOKUP(AK650,tbFactorMes,2,FALSE),"")</f>
        <v/>
      </c>
      <c r="AM650">
        <f t="shared" si="146"/>
        <v>0</v>
      </c>
      <c r="AP650" t="str">
        <f>IFERROR(VLOOKUP(AO650,tbFactorMes,2,FALSE),"")</f>
        <v/>
      </c>
      <c r="AQ650">
        <f t="shared" si="147"/>
        <v>0</v>
      </c>
      <c r="AT650" t="str">
        <f>IFERROR(VLOOKUP(AS650,tbFactorMes,2,FALSE),"")</f>
        <v/>
      </c>
      <c r="AU650">
        <f t="shared" si="148"/>
        <v>0</v>
      </c>
      <c r="AX650" t="str">
        <f>IFERROR(VLOOKUP(AW650,tbFactorMes,2,FALSE),"")</f>
        <v/>
      </c>
      <c r="AY650">
        <f t="shared" si="149"/>
        <v>0</v>
      </c>
      <c r="BB650" t="str">
        <f>IFERROR(VLOOKUP(BA650,tbFactorMes,2,FALSE),"")</f>
        <v/>
      </c>
      <c r="BC650">
        <f t="shared" si="150"/>
        <v>0</v>
      </c>
      <c r="BF650" t="str">
        <f>IFERROR(VLOOKUP(BE650,tbFactorMes,2,FALSE),"")</f>
        <v/>
      </c>
      <c r="BG650">
        <f t="shared" si="151"/>
        <v>0</v>
      </c>
      <c r="BH650">
        <f t="shared" si="152"/>
        <v>0</v>
      </c>
      <c r="BI650">
        <f t="shared" si="153"/>
        <v>0</v>
      </c>
    </row>
    <row r="651" spans="11:61" x14ac:dyDescent="0.35">
      <c r="K651" t="str">
        <f>IFERROR(VLOOKUP(F651,tbTurnos,3,FALSE),"")</f>
        <v/>
      </c>
      <c r="N651" t="str">
        <f>IFERROR(VLOOKUP(M651,tbFactorMes,2,FALSE),"")</f>
        <v/>
      </c>
      <c r="O651">
        <f t="shared" si="140"/>
        <v>0</v>
      </c>
      <c r="R651" t="str">
        <f>IFERROR(VLOOKUP(Q651,tbFactorMes,2,FALSE),"")</f>
        <v/>
      </c>
      <c r="S651">
        <f t="shared" si="141"/>
        <v>0</v>
      </c>
      <c r="V651" t="str">
        <f>IFERROR(VLOOKUP(U651,tbFactorMes,2,FALSE),"")</f>
        <v/>
      </c>
      <c r="W651">
        <f t="shared" si="142"/>
        <v>0</v>
      </c>
      <c r="Z651" t="str">
        <f>IFERROR(VLOOKUP(Y651,tbFactorMes,2,FALSE),"")</f>
        <v/>
      </c>
      <c r="AA651">
        <f t="shared" si="143"/>
        <v>0</v>
      </c>
      <c r="AD651" t="str">
        <f>IFERROR(VLOOKUP(AC651,tbFactorMes,2,FALSE),"")</f>
        <v/>
      </c>
      <c r="AE651">
        <f t="shared" si="144"/>
        <v>0</v>
      </c>
      <c r="AH651" t="str">
        <f>IFERROR(VLOOKUP(AG651,tbFactorMes,2,FALSE),"")</f>
        <v/>
      </c>
      <c r="AI651">
        <f t="shared" si="145"/>
        <v>0</v>
      </c>
      <c r="AL651" t="str">
        <f>IFERROR(VLOOKUP(AK651,tbFactorMes,2,FALSE),"")</f>
        <v/>
      </c>
      <c r="AM651">
        <f t="shared" si="146"/>
        <v>0</v>
      </c>
      <c r="AP651" t="str">
        <f>IFERROR(VLOOKUP(AO651,tbFactorMes,2,FALSE),"")</f>
        <v/>
      </c>
      <c r="AQ651">
        <f t="shared" si="147"/>
        <v>0</v>
      </c>
      <c r="AT651" t="str">
        <f>IFERROR(VLOOKUP(AS651,tbFactorMes,2,FALSE),"")</f>
        <v/>
      </c>
      <c r="AU651">
        <f t="shared" si="148"/>
        <v>0</v>
      </c>
      <c r="AX651" t="str">
        <f>IFERROR(VLOOKUP(AW651,tbFactorMes,2,FALSE),"")</f>
        <v/>
      </c>
      <c r="AY651">
        <f t="shared" si="149"/>
        <v>0</v>
      </c>
      <c r="BB651" t="str">
        <f>IFERROR(VLOOKUP(BA651,tbFactorMes,2,FALSE),"")</f>
        <v/>
      </c>
      <c r="BC651">
        <f t="shared" si="150"/>
        <v>0</v>
      </c>
      <c r="BF651" t="str">
        <f>IFERROR(VLOOKUP(BE651,tbFactorMes,2,FALSE),"")</f>
        <v/>
      </c>
      <c r="BG651">
        <f t="shared" si="151"/>
        <v>0</v>
      </c>
      <c r="BH651">
        <f t="shared" si="152"/>
        <v>0</v>
      </c>
      <c r="BI651">
        <f t="shared" si="153"/>
        <v>0</v>
      </c>
    </row>
    <row r="652" spans="11:61" x14ac:dyDescent="0.35">
      <c r="K652" t="str">
        <f>IFERROR(VLOOKUP(F652,tbTurnos,3,FALSE),"")</f>
        <v/>
      </c>
      <c r="N652" t="str">
        <f>IFERROR(VLOOKUP(M652,tbFactorMes,2,FALSE),"")</f>
        <v/>
      </c>
      <c r="O652">
        <f t="shared" si="140"/>
        <v>0</v>
      </c>
      <c r="R652" t="str">
        <f>IFERROR(VLOOKUP(Q652,tbFactorMes,2,FALSE),"")</f>
        <v/>
      </c>
      <c r="S652">
        <f t="shared" si="141"/>
        <v>0</v>
      </c>
      <c r="V652" t="str">
        <f>IFERROR(VLOOKUP(U652,tbFactorMes,2,FALSE),"")</f>
        <v/>
      </c>
      <c r="W652">
        <f t="shared" si="142"/>
        <v>0</v>
      </c>
      <c r="Z652" t="str">
        <f>IFERROR(VLOOKUP(Y652,tbFactorMes,2,FALSE),"")</f>
        <v/>
      </c>
      <c r="AA652">
        <f t="shared" si="143"/>
        <v>0</v>
      </c>
      <c r="AD652" t="str">
        <f>IFERROR(VLOOKUP(AC652,tbFactorMes,2,FALSE),"")</f>
        <v/>
      </c>
      <c r="AE652">
        <f t="shared" si="144"/>
        <v>0</v>
      </c>
      <c r="AH652" t="str">
        <f>IFERROR(VLOOKUP(AG652,tbFactorMes,2,FALSE),"")</f>
        <v/>
      </c>
      <c r="AI652">
        <f t="shared" si="145"/>
        <v>0</v>
      </c>
      <c r="AL652" t="str">
        <f>IFERROR(VLOOKUP(AK652,tbFactorMes,2,FALSE),"")</f>
        <v/>
      </c>
      <c r="AM652">
        <f t="shared" si="146"/>
        <v>0</v>
      </c>
      <c r="AP652" t="str">
        <f>IFERROR(VLOOKUP(AO652,tbFactorMes,2,FALSE),"")</f>
        <v/>
      </c>
      <c r="AQ652">
        <f t="shared" si="147"/>
        <v>0</v>
      </c>
      <c r="AT652" t="str">
        <f>IFERROR(VLOOKUP(AS652,tbFactorMes,2,FALSE),"")</f>
        <v/>
      </c>
      <c r="AU652">
        <f t="shared" si="148"/>
        <v>0</v>
      </c>
      <c r="AX652" t="str">
        <f>IFERROR(VLOOKUP(AW652,tbFactorMes,2,FALSE),"")</f>
        <v/>
      </c>
      <c r="AY652">
        <f t="shared" si="149"/>
        <v>0</v>
      </c>
      <c r="BB652" t="str">
        <f>IFERROR(VLOOKUP(BA652,tbFactorMes,2,FALSE),"")</f>
        <v/>
      </c>
      <c r="BC652">
        <f t="shared" si="150"/>
        <v>0</v>
      </c>
      <c r="BF652" t="str">
        <f>IFERROR(VLOOKUP(BE652,tbFactorMes,2,FALSE),"")</f>
        <v/>
      </c>
      <c r="BG652">
        <f t="shared" si="151"/>
        <v>0</v>
      </c>
      <c r="BH652">
        <f t="shared" si="152"/>
        <v>0</v>
      </c>
      <c r="BI652">
        <f t="shared" si="153"/>
        <v>0</v>
      </c>
    </row>
    <row r="653" spans="11:61" x14ac:dyDescent="0.35">
      <c r="K653" t="str">
        <f>IFERROR(VLOOKUP(F653,tbTurnos,3,FALSE),"")</f>
        <v/>
      </c>
      <c r="N653" t="str">
        <f>IFERROR(VLOOKUP(M653,tbFactorMes,2,FALSE),"")</f>
        <v/>
      </c>
      <c r="O653">
        <f t="shared" si="140"/>
        <v>0</v>
      </c>
      <c r="R653" t="str">
        <f>IFERROR(VLOOKUP(Q653,tbFactorMes,2,FALSE),"")</f>
        <v/>
      </c>
      <c r="S653">
        <f t="shared" si="141"/>
        <v>0</v>
      </c>
      <c r="V653" t="str">
        <f>IFERROR(VLOOKUP(U653,tbFactorMes,2,FALSE),"")</f>
        <v/>
      </c>
      <c r="W653">
        <f t="shared" si="142"/>
        <v>0</v>
      </c>
      <c r="Z653" t="str">
        <f>IFERROR(VLOOKUP(Y653,tbFactorMes,2,FALSE),"")</f>
        <v/>
      </c>
      <c r="AA653">
        <f t="shared" si="143"/>
        <v>0</v>
      </c>
      <c r="AD653" t="str">
        <f>IFERROR(VLOOKUP(AC653,tbFactorMes,2,FALSE),"")</f>
        <v/>
      </c>
      <c r="AE653">
        <f t="shared" si="144"/>
        <v>0</v>
      </c>
      <c r="AH653" t="str">
        <f>IFERROR(VLOOKUP(AG653,tbFactorMes,2,FALSE),"")</f>
        <v/>
      </c>
      <c r="AI653">
        <f t="shared" si="145"/>
        <v>0</v>
      </c>
      <c r="AL653" t="str">
        <f>IFERROR(VLOOKUP(AK653,tbFactorMes,2,FALSE),"")</f>
        <v/>
      </c>
      <c r="AM653">
        <f t="shared" si="146"/>
        <v>0</v>
      </c>
      <c r="AP653" t="str">
        <f>IFERROR(VLOOKUP(AO653,tbFactorMes,2,FALSE),"")</f>
        <v/>
      </c>
      <c r="AQ653">
        <f t="shared" si="147"/>
        <v>0</v>
      </c>
      <c r="AT653" t="str">
        <f>IFERROR(VLOOKUP(AS653,tbFactorMes,2,FALSE),"")</f>
        <v/>
      </c>
      <c r="AU653">
        <f t="shared" si="148"/>
        <v>0</v>
      </c>
      <c r="AX653" t="str">
        <f>IFERROR(VLOOKUP(AW653,tbFactorMes,2,FALSE),"")</f>
        <v/>
      </c>
      <c r="AY653">
        <f t="shared" si="149"/>
        <v>0</v>
      </c>
      <c r="BB653" t="str">
        <f>IFERROR(VLOOKUP(BA653,tbFactorMes,2,FALSE),"")</f>
        <v/>
      </c>
      <c r="BC653">
        <f t="shared" si="150"/>
        <v>0</v>
      </c>
      <c r="BF653" t="str">
        <f>IFERROR(VLOOKUP(BE653,tbFactorMes,2,FALSE),"")</f>
        <v/>
      </c>
      <c r="BG653">
        <f t="shared" si="151"/>
        <v>0</v>
      </c>
      <c r="BH653">
        <f t="shared" si="152"/>
        <v>0</v>
      </c>
      <c r="BI653">
        <f t="shared" si="153"/>
        <v>0</v>
      </c>
    </row>
    <row r="654" spans="11:61" x14ac:dyDescent="0.35">
      <c r="K654" t="str">
        <f>IFERROR(VLOOKUP(F654,tbTurnos,3,FALSE),"")</f>
        <v/>
      </c>
      <c r="N654" t="str">
        <f>IFERROR(VLOOKUP(M654,tbFactorMes,2,FALSE),"")</f>
        <v/>
      </c>
      <c r="O654">
        <f t="shared" si="140"/>
        <v>0</v>
      </c>
      <c r="R654" t="str">
        <f>IFERROR(VLOOKUP(Q654,tbFactorMes,2,FALSE),"")</f>
        <v/>
      </c>
      <c r="S654">
        <f t="shared" si="141"/>
        <v>0</v>
      </c>
      <c r="V654" t="str">
        <f>IFERROR(VLOOKUP(U654,tbFactorMes,2,FALSE),"")</f>
        <v/>
      </c>
      <c r="W654">
        <f t="shared" si="142"/>
        <v>0</v>
      </c>
      <c r="Z654" t="str">
        <f>IFERROR(VLOOKUP(Y654,tbFactorMes,2,FALSE),"")</f>
        <v/>
      </c>
      <c r="AA654">
        <f t="shared" si="143"/>
        <v>0</v>
      </c>
      <c r="AD654" t="str">
        <f>IFERROR(VLOOKUP(AC654,tbFactorMes,2,FALSE),"")</f>
        <v/>
      </c>
      <c r="AE654">
        <f t="shared" si="144"/>
        <v>0</v>
      </c>
      <c r="AH654" t="str">
        <f>IFERROR(VLOOKUP(AG654,tbFactorMes,2,FALSE),"")</f>
        <v/>
      </c>
      <c r="AI654">
        <f t="shared" si="145"/>
        <v>0</v>
      </c>
      <c r="AL654" t="str">
        <f>IFERROR(VLOOKUP(AK654,tbFactorMes,2,FALSE),"")</f>
        <v/>
      </c>
      <c r="AM654">
        <f t="shared" si="146"/>
        <v>0</v>
      </c>
      <c r="AP654" t="str">
        <f>IFERROR(VLOOKUP(AO654,tbFactorMes,2,FALSE),"")</f>
        <v/>
      </c>
      <c r="AQ654">
        <f t="shared" si="147"/>
        <v>0</v>
      </c>
      <c r="AT654" t="str">
        <f>IFERROR(VLOOKUP(AS654,tbFactorMes,2,FALSE),"")</f>
        <v/>
      </c>
      <c r="AU654">
        <f t="shared" si="148"/>
        <v>0</v>
      </c>
      <c r="AX654" t="str">
        <f>IFERROR(VLOOKUP(AW654,tbFactorMes,2,FALSE),"")</f>
        <v/>
      </c>
      <c r="AY654">
        <f t="shared" si="149"/>
        <v>0</v>
      </c>
      <c r="BB654" t="str">
        <f>IFERROR(VLOOKUP(BA654,tbFactorMes,2,FALSE),"")</f>
        <v/>
      </c>
      <c r="BC654">
        <f t="shared" si="150"/>
        <v>0</v>
      </c>
      <c r="BF654" t="str">
        <f>IFERROR(VLOOKUP(BE654,tbFactorMes,2,FALSE),"")</f>
        <v/>
      </c>
      <c r="BG654">
        <f t="shared" si="151"/>
        <v>0</v>
      </c>
      <c r="BH654">
        <f t="shared" si="152"/>
        <v>0</v>
      </c>
      <c r="BI654">
        <f t="shared" si="153"/>
        <v>0</v>
      </c>
    </row>
    <row r="655" spans="11:61" x14ac:dyDescent="0.35">
      <c r="K655" t="str">
        <f>IFERROR(VLOOKUP(F655,tbTurnos,3,FALSE),"")</f>
        <v/>
      </c>
      <c r="N655" t="str">
        <f>IFERROR(VLOOKUP(M655,tbFactorMes,2,FALSE),"")</f>
        <v/>
      </c>
      <c r="O655">
        <f t="shared" si="140"/>
        <v>0</v>
      </c>
      <c r="R655" t="str">
        <f>IFERROR(VLOOKUP(Q655,tbFactorMes,2,FALSE),"")</f>
        <v/>
      </c>
      <c r="S655">
        <f t="shared" si="141"/>
        <v>0</v>
      </c>
      <c r="V655" t="str">
        <f>IFERROR(VLOOKUP(U655,tbFactorMes,2,FALSE),"")</f>
        <v/>
      </c>
      <c r="W655">
        <f t="shared" si="142"/>
        <v>0</v>
      </c>
      <c r="Z655" t="str">
        <f>IFERROR(VLOOKUP(Y655,tbFactorMes,2,FALSE),"")</f>
        <v/>
      </c>
      <c r="AA655">
        <f t="shared" si="143"/>
        <v>0</v>
      </c>
      <c r="AD655" t="str">
        <f>IFERROR(VLOOKUP(AC655,tbFactorMes,2,FALSE),"")</f>
        <v/>
      </c>
      <c r="AE655">
        <f t="shared" si="144"/>
        <v>0</v>
      </c>
      <c r="AH655" t="str">
        <f>IFERROR(VLOOKUP(AG655,tbFactorMes,2,FALSE),"")</f>
        <v/>
      </c>
      <c r="AI655">
        <f t="shared" si="145"/>
        <v>0</v>
      </c>
      <c r="AL655" t="str">
        <f>IFERROR(VLOOKUP(AK655,tbFactorMes,2,FALSE),"")</f>
        <v/>
      </c>
      <c r="AM655">
        <f t="shared" si="146"/>
        <v>0</v>
      </c>
      <c r="AP655" t="str">
        <f>IFERROR(VLOOKUP(AO655,tbFactorMes,2,FALSE),"")</f>
        <v/>
      </c>
      <c r="AQ655">
        <f t="shared" si="147"/>
        <v>0</v>
      </c>
      <c r="AT655" t="str">
        <f>IFERROR(VLOOKUP(AS655,tbFactorMes,2,FALSE),"")</f>
        <v/>
      </c>
      <c r="AU655">
        <f t="shared" si="148"/>
        <v>0</v>
      </c>
      <c r="AX655" t="str">
        <f>IFERROR(VLOOKUP(AW655,tbFactorMes,2,FALSE),"")</f>
        <v/>
      </c>
      <c r="AY655">
        <f t="shared" si="149"/>
        <v>0</v>
      </c>
      <c r="BB655" t="str">
        <f>IFERROR(VLOOKUP(BA655,tbFactorMes,2,FALSE),"")</f>
        <v/>
      </c>
      <c r="BC655">
        <f t="shared" si="150"/>
        <v>0</v>
      </c>
      <c r="BF655" t="str">
        <f>IFERROR(VLOOKUP(BE655,tbFactorMes,2,FALSE),"")</f>
        <v/>
      </c>
      <c r="BG655">
        <f t="shared" si="151"/>
        <v>0</v>
      </c>
      <c r="BH655">
        <f t="shared" si="152"/>
        <v>0</v>
      </c>
      <c r="BI655">
        <f t="shared" si="153"/>
        <v>0</v>
      </c>
    </row>
    <row r="656" spans="11:61" x14ac:dyDescent="0.35">
      <c r="K656" t="str">
        <f>IFERROR(VLOOKUP(F656,tbTurnos,3,FALSE),"")</f>
        <v/>
      </c>
      <c r="N656" t="str">
        <f>IFERROR(VLOOKUP(M656,tbFactorMes,2,FALSE),"")</f>
        <v/>
      </c>
      <c r="O656">
        <f t="shared" si="140"/>
        <v>0</v>
      </c>
      <c r="R656" t="str">
        <f>IFERROR(VLOOKUP(Q656,tbFactorMes,2,FALSE),"")</f>
        <v/>
      </c>
      <c r="S656">
        <f t="shared" si="141"/>
        <v>0</v>
      </c>
      <c r="V656" t="str">
        <f>IFERROR(VLOOKUP(U656,tbFactorMes,2,FALSE),"")</f>
        <v/>
      </c>
      <c r="W656">
        <f t="shared" si="142"/>
        <v>0</v>
      </c>
      <c r="Z656" t="str">
        <f>IFERROR(VLOOKUP(Y656,tbFactorMes,2,FALSE),"")</f>
        <v/>
      </c>
      <c r="AA656">
        <f t="shared" si="143"/>
        <v>0</v>
      </c>
      <c r="AD656" t="str">
        <f>IFERROR(VLOOKUP(AC656,tbFactorMes,2,FALSE),"")</f>
        <v/>
      </c>
      <c r="AE656">
        <f t="shared" si="144"/>
        <v>0</v>
      </c>
      <c r="AH656" t="str">
        <f>IFERROR(VLOOKUP(AG656,tbFactorMes,2,FALSE),"")</f>
        <v/>
      </c>
      <c r="AI656">
        <f t="shared" si="145"/>
        <v>0</v>
      </c>
      <c r="AL656" t="str">
        <f>IFERROR(VLOOKUP(AK656,tbFactorMes,2,FALSE),"")</f>
        <v/>
      </c>
      <c r="AM656">
        <f t="shared" si="146"/>
        <v>0</v>
      </c>
      <c r="AP656" t="str">
        <f>IFERROR(VLOOKUP(AO656,tbFactorMes,2,FALSE),"")</f>
        <v/>
      </c>
      <c r="AQ656">
        <f t="shared" si="147"/>
        <v>0</v>
      </c>
      <c r="AT656" t="str">
        <f>IFERROR(VLOOKUP(AS656,tbFactorMes,2,FALSE),"")</f>
        <v/>
      </c>
      <c r="AU656">
        <f t="shared" si="148"/>
        <v>0</v>
      </c>
      <c r="AX656" t="str">
        <f>IFERROR(VLOOKUP(AW656,tbFactorMes,2,FALSE),"")</f>
        <v/>
      </c>
      <c r="AY656">
        <f t="shared" si="149"/>
        <v>0</v>
      </c>
      <c r="BB656" t="str">
        <f>IFERROR(VLOOKUP(BA656,tbFactorMes,2,FALSE),"")</f>
        <v/>
      </c>
      <c r="BC656">
        <f t="shared" si="150"/>
        <v>0</v>
      </c>
      <c r="BF656" t="str">
        <f>IFERROR(VLOOKUP(BE656,tbFactorMes,2,FALSE),"")</f>
        <v/>
      </c>
      <c r="BG656">
        <f t="shared" si="151"/>
        <v>0</v>
      </c>
      <c r="BH656">
        <f t="shared" si="152"/>
        <v>0</v>
      </c>
      <c r="BI656">
        <f t="shared" si="153"/>
        <v>0</v>
      </c>
    </row>
    <row r="657" spans="11:61" x14ac:dyDescent="0.35">
      <c r="K657" t="str">
        <f>IFERROR(VLOOKUP(F657,tbTurnos,3,FALSE),"")</f>
        <v/>
      </c>
      <c r="N657" t="str">
        <f>IFERROR(VLOOKUP(M657,tbFactorMes,2,FALSE),"")</f>
        <v/>
      </c>
      <c r="O657">
        <f t="shared" si="140"/>
        <v>0</v>
      </c>
      <c r="R657" t="str">
        <f>IFERROR(VLOOKUP(Q657,tbFactorMes,2,FALSE),"")</f>
        <v/>
      </c>
      <c r="S657">
        <f t="shared" si="141"/>
        <v>0</v>
      </c>
      <c r="V657" t="str">
        <f>IFERROR(VLOOKUP(U657,tbFactorMes,2,FALSE),"")</f>
        <v/>
      </c>
      <c r="W657">
        <f t="shared" si="142"/>
        <v>0</v>
      </c>
      <c r="Z657" t="str">
        <f>IFERROR(VLOOKUP(Y657,tbFactorMes,2,FALSE),"")</f>
        <v/>
      </c>
      <c r="AA657">
        <f t="shared" si="143"/>
        <v>0</v>
      </c>
      <c r="AD657" t="str">
        <f>IFERROR(VLOOKUP(AC657,tbFactorMes,2,FALSE),"")</f>
        <v/>
      </c>
      <c r="AE657">
        <f t="shared" si="144"/>
        <v>0</v>
      </c>
      <c r="AH657" t="str">
        <f>IFERROR(VLOOKUP(AG657,tbFactorMes,2,FALSE),"")</f>
        <v/>
      </c>
      <c r="AI657">
        <f t="shared" si="145"/>
        <v>0</v>
      </c>
      <c r="AL657" t="str">
        <f>IFERROR(VLOOKUP(AK657,tbFactorMes,2,FALSE),"")</f>
        <v/>
      </c>
      <c r="AM657">
        <f t="shared" si="146"/>
        <v>0</v>
      </c>
      <c r="AP657" t="str">
        <f>IFERROR(VLOOKUP(AO657,tbFactorMes,2,FALSE),"")</f>
        <v/>
      </c>
      <c r="AQ657">
        <f t="shared" si="147"/>
        <v>0</v>
      </c>
      <c r="AT657" t="str">
        <f>IFERROR(VLOOKUP(AS657,tbFactorMes,2,FALSE),"")</f>
        <v/>
      </c>
      <c r="AU657">
        <f t="shared" si="148"/>
        <v>0</v>
      </c>
      <c r="AX657" t="str">
        <f>IFERROR(VLOOKUP(AW657,tbFactorMes,2,FALSE),"")</f>
        <v/>
      </c>
      <c r="AY657">
        <f t="shared" si="149"/>
        <v>0</v>
      </c>
      <c r="BB657" t="str">
        <f>IFERROR(VLOOKUP(BA657,tbFactorMes,2,FALSE),"")</f>
        <v/>
      </c>
      <c r="BC657">
        <f t="shared" si="150"/>
        <v>0</v>
      </c>
      <c r="BF657" t="str">
        <f>IFERROR(VLOOKUP(BE657,tbFactorMes,2,FALSE),"")</f>
        <v/>
      </c>
      <c r="BG657">
        <f t="shared" si="151"/>
        <v>0</v>
      </c>
      <c r="BH657">
        <f t="shared" si="152"/>
        <v>0</v>
      </c>
      <c r="BI657">
        <f t="shared" si="153"/>
        <v>0</v>
      </c>
    </row>
    <row r="658" spans="11:61" x14ac:dyDescent="0.35">
      <c r="K658" t="str">
        <f>IFERROR(VLOOKUP(F658,tbTurnos,3,FALSE),"")</f>
        <v/>
      </c>
      <c r="N658" t="str">
        <f>IFERROR(VLOOKUP(M658,tbFactorMes,2,FALSE),"")</f>
        <v/>
      </c>
      <c r="O658">
        <f t="shared" si="140"/>
        <v>0</v>
      </c>
      <c r="R658" t="str">
        <f>IFERROR(VLOOKUP(Q658,tbFactorMes,2,FALSE),"")</f>
        <v/>
      </c>
      <c r="S658">
        <f t="shared" si="141"/>
        <v>0</v>
      </c>
      <c r="V658" t="str">
        <f>IFERROR(VLOOKUP(U658,tbFactorMes,2,FALSE),"")</f>
        <v/>
      </c>
      <c r="W658">
        <f t="shared" si="142"/>
        <v>0</v>
      </c>
      <c r="Z658" t="str">
        <f>IFERROR(VLOOKUP(Y658,tbFactorMes,2,FALSE),"")</f>
        <v/>
      </c>
      <c r="AA658">
        <f t="shared" si="143"/>
        <v>0</v>
      </c>
      <c r="AD658" t="str">
        <f>IFERROR(VLOOKUP(AC658,tbFactorMes,2,FALSE),"")</f>
        <v/>
      </c>
      <c r="AE658">
        <f t="shared" si="144"/>
        <v>0</v>
      </c>
      <c r="AH658" t="str">
        <f>IFERROR(VLOOKUP(AG658,tbFactorMes,2,FALSE),"")</f>
        <v/>
      </c>
      <c r="AI658">
        <f t="shared" si="145"/>
        <v>0</v>
      </c>
      <c r="AL658" t="str">
        <f>IFERROR(VLOOKUP(AK658,tbFactorMes,2,FALSE),"")</f>
        <v/>
      </c>
      <c r="AM658">
        <f t="shared" si="146"/>
        <v>0</v>
      </c>
      <c r="AP658" t="str">
        <f>IFERROR(VLOOKUP(AO658,tbFactorMes,2,FALSE),"")</f>
        <v/>
      </c>
      <c r="AQ658">
        <f t="shared" si="147"/>
        <v>0</v>
      </c>
      <c r="AT658" t="str">
        <f>IFERROR(VLOOKUP(AS658,tbFactorMes,2,FALSE),"")</f>
        <v/>
      </c>
      <c r="AU658">
        <f t="shared" si="148"/>
        <v>0</v>
      </c>
      <c r="AX658" t="str">
        <f>IFERROR(VLOOKUP(AW658,tbFactorMes,2,FALSE),"")</f>
        <v/>
      </c>
      <c r="AY658">
        <f t="shared" si="149"/>
        <v>0</v>
      </c>
      <c r="BB658" t="str">
        <f>IFERROR(VLOOKUP(BA658,tbFactorMes,2,FALSE),"")</f>
        <v/>
      </c>
      <c r="BC658">
        <f t="shared" si="150"/>
        <v>0</v>
      </c>
      <c r="BF658" t="str">
        <f>IFERROR(VLOOKUP(BE658,tbFactorMes,2,FALSE),"")</f>
        <v/>
      </c>
      <c r="BG658">
        <f t="shared" si="151"/>
        <v>0</v>
      </c>
      <c r="BH658">
        <f t="shared" si="152"/>
        <v>0</v>
      </c>
      <c r="BI658">
        <f t="shared" si="153"/>
        <v>0</v>
      </c>
    </row>
    <row r="659" spans="11:61" x14ac:dyDescent="0.35">
      <c r="K659" t="str">
        <f>IFERROR(VLOOKUP(F659,tbTurnos,3,FALSE),"")</f>
        <v/>
      </c>
      <c r="N659" t="str">
        <f>IFERROR(VLOOKUP(M659,tbFactorMes,2,FALSE),"")</f>
        <v/>
      </c>
      <c r="O659">
        <f t="shared" si="140"/>
        <v>0</v>
      </c>
      <c r="R659" t="str">
        <f>IFERROR(VLOOKUP(Q659,tbFactorMes,2,FALSE),"")</f>
        <v/>
      </c>
      <c r="S659">
        <f t="shared" si="141"/>
        <v>0</v>
      </c>
      <c r="V659" t="str">
        <f>IFERROR(VLOOKUP(U659,tbFactorMes,2,FALSE),"")</f>
        <v/>
      </c>
      <c r="W659">
        <f t="shared" si="142"/>
        <v>0</v>
      </c>
      <c r="Z659" t="str">
        <f>IFERROR(VLOOKUP(Y659,tbFactorMes,2,FALSE),"")</f>
        <v/>
      </c>
      <c r="AA659">
        <f t="shared" si="143"/>
        <v>0</v>
      </c>
      <c r="AD659" t="str">
        <f>IFERROR(VLOOKUP(AC659,tbFactorMes,2,FALSE),"")</f>
        <v/>
      </c>
      <c r="AE659">
        <f t="shared" si="144"/>
        <v>0</v>
      </c>
      <c r="AH659" t="str">
        <f>IFERROR(VLOOKUP(AG659,tbFactorMes,2,FALSE),"")</f>
        <v/>
      </c>
      <c r="AI659">
        <f t="shared" si="145"/>
        <v>0</v>
      </c>
      <c r="AL659" t="str">
        <f>IFERROR(VLOOKUP(AK659,tbFactorMes,2,FALSE),"")</f>
        <v/>
      </c>
      <c r="AM659">
        <f t="shared" si="146"/>
        <v>0</v>
      </c>
      <c r="AP659" t="str">
        <f>IFERROR(VLOOKUP(AO659,tbFactorMes,2,FALSE),"")</f>
        <v/>
      </c>
      <c r="AQ659">
        <f t="shared" si="147"/>
        <v>0</v>
      </c>
      <c r="AT659" t="str">
        <f>IFERROR(VLOOKUP(AS659,tbFactorMes,2,FALSE),"")</f>
        <v/>
      </c>
      <c r="AU659">
        <f t="shared" si="148"/>
        <v>0</v>
      </c>
      <c r="AX659" t="str">
        <f>IFERROR(VLOOKUP(AW659,tbFactorMes,2,FALSE),"")</f>
        <v/>
      </c>
      <c r="AY659">
        <f t="shared" si="149"/>
        <v>0</v>
      </c>
      <c r="BB659" t="str">
        <f>IFERROR(VLOOKUP(BA659,tbFactorMes,2,FALSE),"")</f>
        <v/>
      </c>
      <c r="BC659">
        <f t="shared" si="150"/>
        <v>0</v>
      </c>
      <c r="BF659" t="str">
        <f>IFERROR(VLOOKUP(BE659,tbFactorMes,2,FALSE),"")</f>
        <v/>
      </c>
      <c r="BG659">
        <f t="shared" si="151"/>
        <v>0</v>
      </c>
      <c r="BH659">
        <f t="shared" si="152"/>
        <v>0</v>
      </c>
      <c r="BI659">
        <f t="shared" si="153"/>
        <v>0</v>
      </c>
    </row>
    <row r="660" spans="11:61" x14ac:dyDescent="0.35">
      <c r="K660" t="str">
        <f>IFERROR(VLOOKUP(F660,tbTurnos,3,FALSE),"")</f>
        <v/>
      </c>
      <c r="N660" t="str">
        <f>IFERROR(VLOOKUP(M660,tbFactorMes,2,FALSE),"")</f>
        <v/>
      </c>
      <c r="O660">
        <f t="shared" si="140"/>
        <v>0</v>
      </c>
      <c r="R660" t="str">
        <f>IFERROR(VLOOKUP(Q660,tbFactorMes,2,FALSE),"")</f>
        <v/>
      </c>
      <c r="S660">
        <f t="shared" si="141"/>
        <v>0</v>
      </c>
      <c r="V660" t="str">
        <f>IFERROR(VLOOKUP(U660,tbFactorMes,2,FALSE),"")</f>
        <v/>
      </c>
      <c r="W660">
        <f t="shared" si="142"/>
        <v>0</v>
      </c>
      <c r="Z660" t="str">
        <f>IFERROR(VLOOKUP(Y660,tbFactorMes,2,FALSE),"")</f>
        <v/>
      </c>
      <c r="AA660">
        <f t="shared" si="143"/>
        <v>0</v>
      </c>
      <c r="AD660" t="str">
        <f>IFERROR(VLOOKUP(AC660,tbFactorMes,2,FALSE),"")</f>
        <v/>
      </c>
      <c r="AE660">
        <f t="shared" si="144"/>
        <v>0</v>
      </c>
      <c r="AH660" t="str">
        <f>IFERROR(VLOOKUP(AG660,tbFactorMes,2,FALSE),"")</f>
        <v/>
      </c>
      <c r="AI660">
        <f t="shared" si="145"/>
        <v>0</v>
      </c>
      <c r="AL660" t="str">
        <f>IFERROR(VLOOKUP(AK660,tbFactorMes,2,FALSE),"")</f>
        <v/>
      </c>
      <c r="AM660">
        <f t="shared" si="146"/>
        <v>0</v>
      </c>
      <c r="AP660" t="str">
        <f>IFERROR(VLOOKUP(AO660,tbFactorMes,2,FALSE),"")</f>
        <v/>
      </c>
      <c r="AQ660">
        <f t="shared" si="147"/>
        <v>0</v>
      </c>
      <c r="AT660" t="str">
        <f>IFERROR(VLOOKUP(AS660,tbFactorMes,2,FALSE),"")</f>
        <v/>
      </c>
      <c r="AU660">
        <f t="shared" si="148"/>
        <v>0</v>
      </c>
      <c r="AX660" t="str">
        <f>IFERROR(VLOOKUP(AW660,tbFactorMes,2,FALSE),"")</f>
        <v/>
      </c>
      <c r="AY660">
        <f t="shared" si="149"/>
        <v>0</v>
      </c>
      <c r="BB660" t="str">
        <f>IFERROR(VLOOKUP(BA660,tbFactorMes,2,FALSE),"")</f>
        <v/>
      </c>
      <c r="BC660">
        <f t="shared" si="150"/>
        <v>0</v>
      </c>
      <c r="BF660" t="str">
        <f>IFERROR(VLOOKUP(BE660,tbFactorMes,2,FALSE),"")</f>
        <v/>
      </c>
      <c r="BG660">
        <f t="shared" si="151"/>
        <v>0</v>
      </c>
      <c r="BH660">
        <f t="shared" si="152"/>
        <v>0</v>
      </c>
      <c r="BI660">
        <f t="shared" si="153"/>
        <v>0</v>
      </c>
    </row>
    <row r="661" spans="11:61" x14ac:dyDescent="0.35">
      <c r="K661" t="str">
        <f>IFERROR(VLOOKUP(F661,tbTurnos,3,FALSE),"")</f>
        <v/>
      </c>
      <c r="N661" t="str">
        <f>IFERROR(VLOOKUP(M661,tbFactorMes,2,FALSE),"")</f>
        <v/>
      </c>
      <c r="O661">
        <f t="shared" si="140"/>
        <v>0</v>
      </c>
      <c r="R661" t="str">
        <f>IFERROR(VLOOKUP(Q661,tbFactorMes,2,FALSE),"")</f>
        <v/>
      </c>
      <c r="S661">
        <f t="shared" si="141"/>
        <v>0</v>
      </c>
      <c r="V661" t="str">
        <f>IFERROR(VLOOKUP(U661,tbFactorMes,2,FALSE),"")</f>
        <v/>
      </c>
      <c r="W661">
        <f t="shared" si="142"/>
        <v>0</v>
      </c>
      <c r="Z661" t="str">
        <f>IFERROR(VLOOKUP(Y661,tbFactorMes,2,FALSE),"")</f>
        <v/>
      </c>
      <c r="AA661">
        <f t="shared" si="143"/>
        <v>0</v>
      </c>
      <c r="AD661" t="str">
        <f>IFERROR(VLOOKUP(AC661,tbFactorMes,2,FALSE),"")</f>
        <v/>
      </c>
      <c r="AE661">
        <f t="shared" si="144"/>
        <v>0</v>
      </c>
      <c r="AH661" t="str">
        <f>IFERROR(VLOOKUP(AG661,tbFactorMes,2,FALSE),"")</f>
        <v/>
      </c>
      <c r="AI661">
        <f t="shared" si="145"/>
        <v>0</v>
      </c>
      <c r="AL661" t="str">
        <f>IFERROR(VLOOKUP(AK661,tbFactorMes,2,FALSE),"")</f>
        <v/>
      </c>
      <c r="AM661">
        <f t="shared" si="146"/>
        <v>0</v>
      </c>
      <c r="AP661" t="str">
        <f>IFERROR(VLOOKUP(AO661,tbFactorMes,2,FALSE),"")</f>
        <v/>
      </c>
      <c r="AQ661">
        <f t="shared" si="147"/>
        <v>0</v>
      </c>
      <c r="AT661" t="str">
        <f>IFERROR(VLOOKUP(AS661,tbFactorMes,2,FALSE),"")</f>
        <v/>
      </c>
      <c r="AU661">
        <f t="shared" si="148"/>
        <v>0</v>
      </c>
      <c r="AX661" t="str">
        <f>IFERROR(VLOOKUP(AW661,tbFactorMes,2,FALSE),"")</f>
        <v/>
      </c>
      <c r="AY661">
        <f t="shared" si="149"/>
        <v>0</v>
      </c>
      <c r="BB661" t="str">
        <f>IFERROR(VLOOKUP(BA661,tbFactorMes,2,FALSE),"")</f>
        <v/>
      </c>
      <c r="BC661">
        <f t="shared" si="150"/>
        <v>0</v>
      </c>
      <c r="BF661" t="str">
        <f>IFERROR(VLOOKUP(BE661,tbFactorMes,2,FALSE),"")</f>
        <v/>
      </c>
      <c r="BG661">
        <f t="shared" si="151"/>
        <v>0</v>
      </c>
      <c r="BH661">
        <f t="shared" si="152"/>
        <v>0</v>
      </c>
      <c r="BI661">
        <f t="shared" si="153"/>
        <v>0</v>
      </c>
    </row>
    <row r="662" spans="11:61" x14ac:dyDescent="0.35">
      <c r="K662" t="str">
        <f>IFERROR(VLOOKUP(F662,tbTurnos,3,FALSE),"")</f>
        <v/>
      </c>
      <c r="N662" t="str">
        <f>IFERROR(VLOOKUP(M662,tbFactorMes,2,FALSE),"")</f>
        <v/>
      </c>
      <c r="O662">
        <f t="shared" si="140"/>
        <v>0</v>
      </c>
      <c r="R662" t="str">
        <f>IFERROR(VLOOKUP(Q662,tbFactorMes,2,FALSE),"")</f>
        <v/>
      </c>
      <c r="S662">
        <f t="shared" si="141"/>
        <v>0</v>
      </c>
      <c r="V662" t="str">
        <f>IFERROR(VLOOKUP(U662,tbFactorMes,2,FALSE),"")</f>
        <v/>
      </c>
      <c r="W662">
        <f t="shared" si="142"/>
        <v>0</v>
      </c>
      <c r="Z662" t="str">
        <f>IFERROR(VLOOKUP(Y662,tbFactorMes,2,FALSE),"")</f>
        <v/>
      </c>
      <c r="AA662">
        <f t="shared" si="143"/>
        <v>0</v>
      </c>
      <c r="AD662" t="str">
        <f>IFERROR(VLOOKUP(AC662,tbFactorMes,2,FALSE),"")</f>
        <v/>
      </c>
      <c r="AE662">
        <f t="shared" si="144"/>
        <v>0</v>
      </c>
      <c r="AH662" t="str">
        <f>IFERROR(VLOOKUP(AG662,tbFactorMes,2,FALSE),"")</f>
        <v/>
      </c>
      <c r="AI662">
        <f t="shared" si="145"/>
        <v>0</v>
      </c>
      <c r="AL662" t="str">
        <f>IFERROR(VLOOKUP(AK662,tbFactorMes,2,FALSE),"")</f>
        <v/>
      </c>
      <c r="AM662">
        <f t="shared" si="146"/>
        <v>0</v>
      </c>
      <c r="AP662" t="str">
        <f>IFERROR(VLOOKUP(AO662,tbFactorMes,2,FALSE),"")</f>
        <v/>
      </c>
      <c r="AQ662">
        <f t="shared" si="147"/>
        <v>0</v>
      </c>
      <c r="AT662" t="str">
        <f>IFERROR(VLOOKUP(AS662,tbFactorMes,2,FALSE),"")</f>
        <v/>
      </c>
      <c r="AU662">
        <f t="shared" si="148"/>
        <v>0</v>
      </c>
      <c r="AX662" t="str">
        <f>IFERROR(VLOOKUP(AW662,tbFactorMes,2,FALSE),"")</f>
        <v/>
      </c>
      <c r="AY662">
        <f t="shared" si="149"/>
        <v>0</v>
      </c>
      <c r="BB662" t="str">
        <f>IFERROR(VLOOKUP(BA662,tbFactorMes,2,FALSE),"")</f>
        <v/>
      </c>
      <c r="BC662">
        <f t="shared" si="150"/>
        <v>0</v>
      </c>
      <c r="BF662" t="str">
        <f>IFERROR(VLOOKUP(BE662,tbFactorMes,2,FALSE),"")</f>
        <v/>
      </c>
      <c r="BG662">
        <f t="shared" si="151"/>
        <v>0</v>
      </c>
      <c r="BH662">
        <f t="shared" si="152"/>
        <v>0</v>
      </c>
      <c r="BI662">
        <f t="shared" si="153"/>
        <v>0</v>
      </c>
    </row>
    <row r="663" spans="11:61" x14ac:dyDescent="0.35">
      <c r="K663" t="str">
        <f>IFERROR(VLOOKUP(F663,tbTurnos,3,FALSE),"")</f>
        <v/>
      </c>
      <c r="N663" t="str">
        <f>IFERROR(VLOOKUP(M663,tbFactorMes,2,FALSE),"")</f>
        <v/>
      </c>
      <c r="O663">
        <f t="shared" si="140"/>
        <v>0</v>
      </c>
      <c r="R663" t="str">
        <f>IFERROR(VLOOKUP(Q663,tbFactorMes,2,FALSE),"")</f>
        <v/>
      </c>
      <c r="S663">
        <f t="shared" si="141"/>
        <v>0</v>
      </c>
      <c r="V663" t="str">
        <f>IFERROR(VLOOKUP(U663,tbFactorMes,2,FALSE),"")</f>
        <v/>
      </c>
      <c r="W663">
        <f t="shared" si="142"/>
        <v>0</v>
      </c>
      <c r="Z663" t="str">
        <f>IFERROR(VLOOKUP(Y663,tbFactorMes,2,FALSE),"")</f>
        <v/>
      </c>
      <c r="AA663">
        <f t="shared" si="143"/>
        <v>0</v>
      </c>
      <c r="AD663" t="str">
        <f>IFERROR(VLOOKUP(AC663,tbFactorMes,2,FALSE),"")</f>
        <v/>
      </c>
      <c r="AE663">
        <f t="shared" si="144"/>
        <v>0</v>
      </c>
      <c r="AH663" t="str">
        <f>IFERROR(VLOOKUP(AG663,tbFactorMes,2,FALSE),"")</f>
        <v/>
      </c>
      <c r="AI663">
        <f t="shared" si="145"/>
        <v>0</v>
      </c>
      <c r="AL663" t="str">
        <f>IFERROR(VLOOKUP(AK663,tbFactorMes,2,FALSE),"")</f>
        <v/>
      </c>
      <c r="AM663">
        <f t="shared" si="146"/>
        <v>0</v>
      </c>
      <c r="AP663" t="str">
        <f>IFERROR(VLOOKUP(AO663,tbFactorMes,2,FALSE),"")</f>
        <v/>
      </c>
      <c r="AQ663">
        <f t="shared" si="147"/>
        <v>0</v>
      </c>
      <c r="AT663" t="str">
        <f>IFERROR(VLOOKUP(AS663,tbFactorMes,2,FALSE),"")</f>
        <v/>
      </c>
      <c r="AU663">
        <f t="shared" si="148"/>
        <v>0</v>
      </c>
      <c r="AX663" t="str">
        <f>IFERROR(VLOOKUP(AW663,tbFactorMes,2,FALSE),"")</f>
        <v/>
      </c>
      <c r="AY663">
        <f t="shared" si="149"/>
        <v>0</v>
      </c>
      <c r="BB663" t="str">
        <f>IFERROR(VLOOKUP(BA663,tbFactorMes,2,FALSE),"")</f>
        <v/>
      </c>
      <c r="BC663">
        <f t="shared" si="150"/>
        <v>0</v>
      </c>
      <c r="BF663" t="str">
        <f>IFERROR(VLOOKUP(BE663,tbFactorMes,2,FALSE),"")</f>
        <v/>
      </c>
      <c r="BG663">
        <f t="shared" si="151"/>
        <v>0</v>
      </c>
      <c r="BH663">
        <f t="shared" si="152"/>
        <v>0</v>
      </c>
      <c r="BI663">
        <f t="shared" si="153"/>
        <v>0</v>
      </c>
    </row>
    <row r="664" spans="11:61" x14ac:dyDescent="0.35">
      <c r="K664" t="str">
        <f>IFERROR(VLOOKUP(F664,tbTurnos,3,FALSE),"")</f>
        <v/>
      </c>
      <c r="N664" t="str">
        <f>IFERROR(VLOOKUP(M664,tbFactorMes,2,FALSE),"")</f>
        <v/>
      </c>
      <c r="O664">
        <f t="shared" si="140"/>
        <v>0</v>
      </c>
      <c r="R664" t="str">
        <f>IFERROR(VLOOKUP(Q664,tbFactorMes,2,FALSE),"")</f>
        <v/>
      </c>
      <c r="S664">
        <f t="shared" si="141"/>
        <v>0</v>
      </c>
      <c r="V664" t="str">
        <f>IFERROR(VLOOKUP(U664,tbFactorMes,2,FALSE),"")</f>
        <v/>
      </c>
      <c r="W664">
        <f t="shared" si="142"/>
        <v>0</v>
      </c>
      <c r="Z664" t="str">
        <f>IFERROR(VLOOKUP(Y664,tbFactorMes,2,FALSE),"")</f>
        <v/>
      </c>
      <c r="AA664">
        <f t="shared" si="143"/>
        <v>0</v>
      </c>
      <c r="AD664" t="str">
        <f>IFERROR(VLOOKUP(AC664,tbFactorMes,2,FALSE),"")</f>
        <v/>
      </c>
      <c r="AE664">
        <f t="shared" si="144"/>
        <v>0</v>
      </c>
      <c r="AH664" t="str">
        <f>IFERROR(VLOOKUP(AG664,tbFactorMes,2,FALSE),"")</f>
        <v/>
      </c>
      <c r="AI664">
        <f t="shared" si="145"/>
        <v>0</v>
      </c>
      <c r="AL664" t="str">
        <f>IFERROR(VLOOKUP(AK664,tbFactorMes,2,FALSE),"")</f>
        <v/>
      </c>
      <c r="AM664">
        <f t="shared" si="146"/>
        <v>0</v>
      </c>
      <c r="AP664" t="str">
        <f>IFERROR(VLOOKUP(AO664,tbFactorMes,2,FALSE),"")</f>
        <v/>
      </c>
      <c r="AQ664">
        <f t="shared" si="147"/>
        <v>0</v>
      </c>
      <c r="AT664" t="str">
        <f>IFERROR(VLOOKUP(AS664,tbFactorMes,2,FALSE),"")</f>
        <v/>
      </c>
      <c r="AU664">
        <f t="shared" si="148"/>
        <v>0</v>
      </c>
      <c r="AX664" t="str">
        <f>IFERROR(VLOOKUP(AW664,tbFactorMes,2,FALSE),"")</f>
        <v/>
      </c>
      <c r="AY664">
        <f t="shared" si="149"/>
        <v>0</v>
      </c>
      <c r="BB664" t="str">
        <f>IFERROR(VLOOKUP(BA664,tbFactorMes,2,FALSE),"")</f>
        <v/>
      </c>
      <c r="BC664">
        <f t="shared" si="150"/>
        <v>0</v>
      </c>
      <c r="BF664" t="str">
        <f>IFERROR(VLOOKUP(BE664,tbFactorMes,2,FALSE),"")</f>
        <v/>
      </c>
      <c r="BG664">
        <f t="shared" si="151"/>
        <v>0</v>
      </c>
      <c r="BH664">
        <f t="shared" si="152"/>
        <v>0</v>
      </c>
      <c r="BI664">
        <f t="shared" si="153"/>
        <v>0</v>
      </c>
    </row>
    <row r="665" spans="11:61" x14ac:dyDescent="0.35">
      <c r="K665" t="str">
        <f>IFERROR(VLOOKUP(F665,tbTurnos,3,FALSE),"")</f>
        <v/>
      </c>
      <c r="N665" t="str">
        <f>IFERROR(VLOOKUP(M665,tbFactorMes,2,FALSE),"")</f>
        <v/>
      </c>
      <c r="O665">
        <f t="shared" si="140"/>
        <v>0</v>
      </c>
      <c r="R665" t="str">
        <f>IFERROR(VLOOKUP(Q665,tbFactorMes,2,FALSE),"")</f>
        <v/>
      </c>
      <c r="S665">
        <f t="shared" si="141"/>
        <v>0</v>
      </c>
      <c r="V665" t="str">
        <f>IFERROR(VLOOKUP(U665,tbFactorMes,2,FALSE),"")</f>
        <v/>
      </c>
      <c r="W665">
        <f t="shared" si="142"/>
        <v>0</v>
      </c>
      <c r="Z665" t="str">
        <f>IFERROR(VLOOKUP(Y665,tbFactorMes,2,FALSE),"")</f>
        <v/>
      </c>
      <c r="AA665">
        <f t="shared" si="143"/>
        <v>0</v>
      </c>
      <c r="AD665" t="str">
        <f>IFERROR(VLOOKUP(AC665,tbFactorMes,2,FALSE),"")</f>
        <v/>
      </c>
      <c r="AE665">
        <f t="shared" si="144"/>
        <v>0</v>
      </c>
      <c r="AH665" t="str">
        <f>IFERROR(VLOOKUP(AG665,tbFactorMes,2,FALSE),"")</f>
        <v/>
      </c>
      <c r="AI665">
        <f t="shared" si="145"/>
        <v>0</v>
      </c>
      <c r="AL665" t="str">
        <f>IFERROR(VLOOKUP(AK665,tbFactorMes,2,FALSE),"")</f>
        <v/>
      </c>
      <c r="AM665">
        <f t="shared" si="146"/>
        <v>0</v>
      </c>
      <c r="AP665" t="str">
        <f>IFERROR(VLOOKUP(AO665,tbFactorMes,2,FALSE),"")</f>
        <v/>
      </c>
      <c r="AQ665">
        <f t="shared" si="147"/>
        <v>0</v>
      </c>
      <c r="AT665" t="str">
        <f>IFERROR(VLOOKUP(AS665,tbFactorMes,2,FALSE),"")</f>
        <v/>
      </c>
      <c r="AU665">
        <f t="shared" si="148"/>
        <v>0</v>
      </c>
      <c r="AX665" t="str">
        <f>IFERROR(VLOOKUP(AW665,tbFactorMes,2,FALSE),"")</f>
        <v/>
      </c>
      <c r="AY665">
        <f t="shared" si="149"/>
        <v>0</v>
      </c>
      <c r="BB665" t="str">
        <f>IFERROR(VLOOKUP(BA665,tbFactorMes,2,FALSE),"")</f>
        <v/>
      </c>
      <c r="BC665">
        <f t="shared" si="150"/>
        <v>0</v>
      </c>
      <c r="BF665" t="str">
        <f>IFERROR(VLOOKUP(BE665,tbFactorMes,2,FALSE),"")</f>
        <v/>
      </c>
      <c r="BG665">
        <f t="shared" si="151"/>
        <v>0</v>
      </c>
      <c r="BH665">
        <f t="shared" si="152"/>
        <v>0</v>
      </c>
      <c r="BI665">
        <f t="shared" si="153"/>
        <v>0</v>
      </c>
    </row>
    <row r="666" spans="11:61" x14ac:dyDescent="0.35">
      <c r="K666" t="str">
        <f>IFERROR(VLOOKUP(F666,tbTurnos,3,FALSE),"")</f>
        <v/>
      </c>
      <c r="N666" t="str">
        <f>IFERROR(VLOOKUP(M666,tbFactorMes,2,FALSE),"")</f>
        <v/>
      </c>
      <c r="O666">
        <f t="shared" si="140"/>
        <v>0</v>
      </c>
      <c r="R666" t="str">
        <f>IFERROR(VLOOKUP(Q666,tbFactorMes,2,FALSE),"")</f>
        <v/>
      </c>
      <c r="S666">
        <f t="shared" si="141"/>
        <v>0</v>
      </c>
      <c r="V666" t="str">
        <f>IFERROR(VLOOKUP(U666,tbFactorMes,2,FALSE),"")</f>
        <v/>
      </c>
      <c r="W666">
        <f t="shared" si="142"/>
        <v>0</v>
      </c>
      <c r="Z666" t="str">
        <f>IFERROR(VLOOKUP(Y666,tbFactorMes,2,FALSE),"")</f>
        <v/>
      </c>
      <c r="AA666">
        <f t="shared" si="143"/>
        <v>0</v>
      </c>
      <c r="AD666" t="str">
        <f>IFERROR(VLOOKUP(AC666,tbFactorMes,2,FALSE),"")</f>
        <v/>
      </c>
      <c r="AE666">
        <f t="shared" si="144"/>
        <v>0</v>
      </c>
      <c r="AH666" t="str">
        <f>IFERROR(VLOOKUP(AG666,tbFactorMes,2,FALSE),"")</f>
        <v/>
      </c>
      <c r="AI666">
        <f t="shared" si="145"/>
        <v>0</v>
      </c>
      <c r="AL666" t="str">
        <f>IFERROR(VLOOKUP(AK666,tbFactorMes,2,FALSE),"")</f>
        <v/>
      </c>
      <c r="AM666">
        <f t="shared" si="146"/>
        <v>0</v>
      </c>
      <c r="AP666" t="str">
        <f>IFERROR(VLOOKUP(AO666,tbFactorMes,2,FALSE),"")</f>
        <v/>
      </c>
      <c r="AQ666">
        <f t="shared" si="147"/>
        <v>0</v>
      </c>
      <c r="AT666" t="str">
        <f>IFERROR(VLOOKUP(AS666,tbFactorMes,2,FALSE),"")</f>
        <v/>
      </c>
      <c r="AU666">
        <f t="shared" si="148"/>
        <v>0</v>
      </c>
      <c r="AX666" t="str">
        <f>IFERROR(VLOOKUP(AW666,tbFactorMes,2,FALSE),"")</f>
        <v/>
      </c>
      <c r="AY666">
        <f t="shared" si="149"/>
        <v>0</v>
      </c>
      <c r="BB666" t="str">
        <f>IFERROR(VLOOKUP(BA666,tbFactorMes,2,FALSE),"")</f>
        <v/>
      </c>
      <c r="BC666">
        <f t="shared" si="150"/>
        <v>0</v>
      </c>
      <c r="BF666" t="str">
        <f>IFERROR(VLOOKUP(BE666,tbFactorMes,2,FALSE),"")</f>
        <v/>
      </c>
      <c r="BG666">
        <f t="shared" si="151"/>
        <v>0</v>
      </c>
      <c r="BH666">
        <f t="shared" si="152"/>
        <v>0</v>
      </c>
      <c r="BI666">
        <f t="shared" si="153"/>
        <v>0</v>
      </c>
    </row>
    <row r="667" spans="11:61" x14ac:dyDescent="0.35">
      <c r="K667" t="str">
        <f>IFERROR(VLOOKUP(F667,tbTurnos,3,FALSE),"")</f>
        <v/>
      </c>
      <c r="N667" t="str">
        <f>IFERROR(VLOOKUP(M667,tbFactorMes,2,FALSE),"")</f>
        <v/>
      </c>
      <c r="O667">
        <f t="shared" si="140"/>
        <v>0</v>
      </c>
      <c r="R667" t="str">
        <f>IFERROR(VLOOKUP(Q667,tbFactorMes,2,FALSE),"")</f>
        <v/>
      </c>
      <c r="S667">
        <f t="shared" si="141"/>
        <v>0</v>
      </c>
      <c r="V667" t="str">
        <f>IFERROR(VLOOKUP(U667,tbFactorMes,2,FALSE),"")</f>
        <v/>
      </c>
      <c r="W667">
        <f t="shared" si="142"/>
        <v>0</v>
      </c>
      <c r="Z667" t="str">
        <f>IFERROR(VLOOKUP(Y667,tbFactorMes,2,FALSE),"")</f>
        <v/>
      </c>
      <c r="AA667">
        <f t="shared" si="143"/>
        <v>0</v>
      </c>
      <c r="AD667" t="str">
        <f>IFERROR(VLOOKUP(AC667,tbFactorMes,2,FALSE),"")</f>
        <v/>
      </c>
      <c r="AE667">
        <f t="shared" si="144"/>
        <v>0</v>
      </c>
      <c r="AH667" t="str">
        <f>IFERROR(VLOOKUP(AG667,tbFactorMes,2,FALSE),"")</f>
        <v/>
      </c>
      <c r="AI667">
        <f t="shared" si="145"/>
        <v>0</v>
      </c>
      <c r="AL667" t="str">
        <f>IFERROR(VLOOKUP(AK667,tbFactorMes,2,FALSE),"")</f>
        <v/>
      </c>
      <c r="AM667">
        <f t="shared" si="146"/>
        <v>0</v>
      </c>
      <c r="AP667" t="str">
        <f>IFERROR(VLOOKUP(AO667,tbFactorMes,2,FALSE),"")</f>
        <v/>
      </c>
      <c r="AQ667">
        <f t="shared" si="147"/>
        <v>0</v>
      </c>
      <c r="AT667" t="str">
        <f>IFERROR(VLOOKUP(AS667,tbFactorMes,2,FALSE),"")</f>
        <v/>
      </c>
      <c r="AU667">
        <f t="shared" si="148"/>
        <v>0</v>
      </c>
      <c r="AX667" t="str">
        <f>IFERROR(VLOOKUP(AW667,tbFactorMes,2,FALSE),"")</f>
        <v/>
      </c>
      <c r="AY667">
        <f t="shared" si="149"/>
        <v>0</v>
      </c>
      <c r="BB667" t="str">
        <f>IFERROR(VLOOKUP(BA667,tbFactorMes,2,FALSE),"")</f>
        <v/>
      </c>
      <c r="BC667">
        <f t="shared" si="150"/>
        <v>0</v>
      </c>
      <c r="BF667" t="str">
        <f>IFERROR(VLOOKUP(BE667,tbFactorMes,2,FALSE),"")</f>
        <v/>
      </c>
      <c r="BG667">
        <f t="shared" si="151"/>
        <v>0</v>
      </c>
      <c r="BH667">
        <f t="shared" si="152"/>
        <v>0</v>
      </c>
      <c r="BI667">
        <f t="shared" si="153"/>
        <v>0</v>
      </c>
    </row>
    <row r="668" spans="11:61" x14ac:dyDescent="0.35">
      <c r="K668" t="str">
        <f>IFERROR(VLOOKUP(F668,tbTurnos,3,FALSE),"")</f>
        <v/>
      </c>
      <c r="N668" t="str">
        <f>IFERROR(VLOOKUP(M668,tbFactorMes,2,FALSE),"")</f>
        <v/>
      </c>
      <c r="O668">
        <f t="shared" si="140"/>
        <v>0</v>
      </c>
      <c r="R668" t="str">
        <f>IFERROR(VLOOKUP(Q668,tbFactorMes,2,FALSE),"")</f>
        <v/>
      </c>
      <c r="S668">
        <f t="shared" si="141"/>
        <v>0</v>
      </c>
      <c r="V668" t="str">
        <f>IFERROR(VLOOKUP(U668,tbFactorMes,2,FALSE),"")</f>
        <v/>
      </c>
      <c r="W668">
        <f t="shared" si="142"/>
        <v>0</v>
      </c>
      <c r="Z668" t="str">
        <f>IFERROR(VLOOKUP(Y668,tbFactorMes,2,FALSE),"")</f>
        <v/>
      </c>
      <c r="AA668">
        <f t="shared" si="143"/>
        <v>0</v>
      </c>
      <c r="AD668" t="str">
        <f>IFERROR(VLOOKUP(AC668,tbFactorMes,2,FALSE),"")</f>
        <v/>
      </c>
      <c r="AE668">
        <f t="shared" si="144"/>
        <v>0</v>
      </c>
      <c r="AH668" t="str">
        <f>IFERROR(VLOOKUP(AG668,tbFactorMes,2,FALSE),"")</f>
        <v/>
      </c>
      <c r="AI668">
        <f t="shared" si="145"/>
        <v>0</v>
      </c>
      <c r="AL668" t="str">
        <f>IFERROR(VLOOKUP(AK668,tbFactorMes,2,FALSE),"")</f>
        <v/>
      </c>
      <c r="AM668">
        <f t="shared" si="146"/>
        <v>0</v>
      </c>
      <c r="AP668" t="str">
        <f>IFERROR(VLOOKUP(AO668,tbFactorMes,2,FALSE),"")</f>
        <v/>
      </c>
      <c r="AQ668">
        <f t="shared" si="147"/>
        <v>0</v>
      </c>
      <c r="AT668" t="str">
        <f>IFERROR(VLOOKUP(AS668,tbFactorMes,2,FALSE),"")</f>
        <v/>
      </c>
      <c r="AU668">
        <f t="shared" si="148"/>
        <v>0</v>
      </c>
      <c r="AX668" t="str">
        <f>IFERROR(VLOOKUP(AW668,tbFactorMes,2,FALSE),"")</f>
        <v/>
      </c>
      <c r="AY668">
        <f t="shared" si="149"/>
        <v>0</v>
      </c>
      <c r="BB668" t="str">
        <f>IFERROR(VLOOKUP(BA668,tbFactorMes,2,FALSE),"")</f>
        <v/>
      </c>
      <c r="BC668">
        <f t="shared" si="150"/>
        <v>0</v>
      </c>
      <c r="BF668" t="str">
        <f>IFERROR(VLOOKUP(BE668,tbFactorMes,2,FALSE),"")</f>
        <v/>
      </c>
      <c r="BG668">
        <f t="shared" si="151"/>
        <v>0</v>
      </c>
      <c r="BH668">
        <f t="shared" si="152"/>
        <v>0</v>
      </c>
      <c r="BI668">
        <f t="shared" si="153"/>
        <v>0</v>
      </c>
    </row>
    <row r="669" spans="11:61" x14ac:dyDescent="0.35">
      <c r="K669" t="str">
        <f>IFERROR(VLOOKUP(F669,tbTurnos,3,FALSE),"")</f>
        <v/>
      </c>
      <c r="N669" t="str">
        <f>IFERROR(VLOOKUP(M669,tbFactorMes,2,FALSE),"")</f>
        <v/>
      </c>
      <c r="O669">
        <f t="shared" si="140"/>
        <v>0</v>
      </c>
      <c r="R669" t="str">
        <f>IFERROR(VLOOKUP(Q669,tbFactorMes,2,FALSE),"")</f>
        <v/>
      </c>
      <c r="S669">
        <f t="shared" si="141"/>
        <v>0</v>
      </c>
      <c r="V669" t="str">
        <f>IFERROR(VLOOKUP(U669,tbFactorMes,2,FALSE),"")</f>
        <v/>
      </c>
      <c r="W669">
        <f t="shared" si="142"/>
        <v>0</v>
      </c>
      <c r="Z669" t="str">
        <f>IFERROR(VLOOKUP(Y669,tbFactorMes,2,FALSE),"")</f>
        <v/>
      </c>
      <c r="AA669">
        <f t="shared" si="143"/>
        <v>0</v>
      </c>
      <c r="AD669" t="str">
        <f>IFERROR(VLOOKUP(AC669,tbFactorMes,2,FALSE),"")</f>
        <v/>
      </c>
      <c r="AE669">
        <f t="shared" si="144"/>
        <v>0</v>
      </c>
      <c r="AH669" t="str">
        <f>IFERROR(VLOOKUP(AG669,tbFactorMes,2,FALSE),"")</f>
        <v/>
      </c>
      <c r="AI669">
        <f t="shared" si="145"/>
        <v>0</v>
      </c>
      <c r="AL669" t="str">
        <f>IFERROR(VLOOKUP(AK669,tbFactorMes,2,FALSE),"")</f>
        <v/>
      </c>
      <c r="AM669">
        <f t="shared" si="146"/>
        <v>0</v>
      </c>
      <c r="AP669" t="str">
        <f>IFERROR(VLOOKUP(AO669,tbFactorMes,2,FALSE),"")</f>
        <v/>
      </c>
      <c r="AQ669">
        <f t="shared" si="147"/>
        <v>0</v>
      </c>
      <c r="AT669" t="str">
        <f>IFERROR(VLOOKUP(AS669,tbFactorMes,2,FALSE),"")</f>
        <v/>
      </c>
      <c r="AU669">
        <f t="shared" si="148"/>
        <v>0</v>
      </c>
      <c r="AX669" t="str">
        <f>IFERROR(VLOOKUP(AW669,tbFactorMes,2,FALSE),"")</f>
        <v/>
      </c>
      <c r="AY669">
        <f t="shared" si="149"/>
        <v>0</v>
      </c>
      <c r="BB669" t="str">
        <f>IFERROR(VLOOKUP(BA669,tbFactorMes,2,FALSE),"")</f>
        <v/>
      </c>
      <c r="BC669">
        <f t="shared" si="150"/>
        <v>0</v>
      </c>
      <c r="BF669" t="str">
        <f>IFERROR(VLOOKUP(BE669,tbFactorMes,2,FALSE),"")</f>
        <v/>
      </c>
      <c r="BG669">
        <f t="shared" si="151"/>
        <v>0</v>
      </c>
      <c r="BH669">
        <f t="shared" si="152"/>
        <v>0</v>
      </c>
      <c r="BI669">
        <f t="shared" si="153"/>
        <v>0</v>
      </c>
    </row>
    <row r="670" spans="11:61" x14ac:dyDescent="0.35">
      <c r="K670" t="str">
        <f>IFERROR(VLOOKUP(F670,tbTurnos,3,FALSE),"")</f>
        <v/>
      </c>
      <c r="N670" t="str">
        <f>IFERROR(VLOOKUP(M670,tbFactorMes,2,FALSE),"")</f>
        <v/>
      </c>
      <c r="O670">
        <f t="shared" si="140"/>
        <v>0</v>
      </c>
      <c r="R670" t="str">
        <f>IFERROR(VLOOKUP(Q670,tbFactorMes,2,FALSE),"")</f>
        <v/>
      </c>
      <c r="S670">
        <f t="shared" si="141"/>
        <v>0</v>
      </c>
      <c r="V670" t="str">
        <f>IFERROR(VLOOKUP(U670,tbFactorMes,2,FALSE),"")</f>
        <v/>
      </c>
      <c r="W670">
        <f t="shared" si="142"/>
        <v>0</v>
      </c>
      <c r="Z670" t="str">
        <f>IFERROR(VLOOKUP(Y670,tbFactorMes,2,FALSE),"")</f>
        <v/>
      </c>
      <c r="AA670">
        <f t="shared" si="143"/>
        <v>0</v>
      </c>
      <c r="AD670" t="str">
        <f>IFERROR(VLOOKUP(AC670,tbFactorMes,2,FALSE),"")</f>
        <v/>
      </c>
      <c r="AE670">
        <f t="shared" si="144"/>
        <v>0</v>
      </c>
      <c r="AH670" t="str">
        <f>IFERROR(VLOOKUP(AG670,tbFactorMes,2,FALSE),"")</f>
        <v/>
      </c>
      <c r="AI670">
        <f t="shared" si="145"/>
        <v>0</v>
      </c>
      <c r="AL670" t="str">
        <f>IFERROR(VLOOKUP(AK670,tbFactorMes,2,FALSE),"")</f>
        <v/>
      </c>
      <c r="AM670">
        <f t="shared" si="146"/>
        <v>0</v>
      </c>
      <c r="AP670" t="str">
        <f>IFERROR(VLOOKUP(AO670,tbFactorMes,2,FALSE),"")</f>
        <v/>
      </c>
      <c r="AQ670">
        <f t="shared" si="147"/>
        <v>0</v>
      </c>
      <c r="AT670" t="str">
        <f>IFERROR(VLOOKUP(AS670,tbFactorMes,2,FALSE),"")</f>
        <v/>
      </c>
      <c r="AU670">
        <f t="shared" si="148"/>
        <v>0</v>
      </c>
      <c r="AX670" t="str">
        <f>IFERROR(VLOOKUP(AW670,tbFactorMes,2,FALSE),"")</f>
        <v/>
      </c>
      <c r="AY670">
        <f t="shared" si="149"/>
        <v>0</v>
      </c>
      <c r="BB670" t="str">
        <f>IFERROR(VLOOKUP(BA670,tbFactorMes,2,FALSE),"")</f>
        <v/>
      </c>
      <c r="BC670">
        <f t="shared" si="150"/>
        <v>0</v>
      </c>
      <c r="BF670" t="str">
        <f>IFERROR(VLOOKUP(BE670,tbFactorMes,2,FALSE),"")</f>
        <v/>
      </c>
      <c r="BG670">
        <f t="shared" si="151"/>
        <v>0</v>
      </c>
      <c r="BH670">
        <f t="shared" si="152"/>
        <v>0</v>
      </c>
      <c r="BI670">
        <f t="shared" si="153"/>
        <v>0</v>
      </c>
    </row>
    <row r="671" spans="11:61" x14ac:dyDescent="0.35">
      <c r="K671" t="str">
        <f>IFERROR(VLOOKUP(F671,tbTurnos,3,FALSE),"")</f>
        <v/>
      </c>
      <c r="N671" t="str">
        <f>IFERROR(VLOOKUP(M671,tbFactorMes,2,FALSE),"")</f>
        <v/>
      </c>
      <c r="O671">
        <f t="shared" si="140"/>
        <v>0</v>
      </c>
      <c r="R671" t="str">
        <f>IFERROR(VLOOKUP(Q671,tbFactorMes,2,FALSE),"")</f>
        <v/>
      </c>
      <c r="S671">
        <f t="shared" si="141"/>
        <v>0</v>
      </c>
      <c r="V671" t="str">
        <f>IFERROR(VLOOKUP(U671,tbFactorMes,2,FALSE),"")</f>
        <v/>
      </c>
      <c r="W671">
        <f t="shared" si="142"/>
        <v>0</v>
      </c>
      <c r="Z671" t="str">
        <f>IFERROR(VLOOKUP(Y671,tbFactorMes,2,FALSE),"")</f>
        <v/>
      </c>
      <c r="AA671">
        <f t="shared" si="143"/>
        <v>0</v>
      </c>
      <c r="AD671" t="str">
        <f>IFERROR(VLOOKUP(AC671,tbFactorMes,2,FALSE),"")</f>
        <v/>
      </c>
      <c r="AE671">
        <f t="shared" si="144"/>
        <v>0</v>
      </c>
      <c r="AH671" t="str">
        <f>IFERROR(VLOOKUP(AG671,tbFactorMes,2,FALSE),"")</f>
        <v/>
      </c>
      <c r="AI671">
        <f t="shared" si="145"/>
        <v>0</v>
      </c>
      <c r="AL671" t="str">
        <f>IFERROR(VLOOKUP(AK671,tbFactorMes,2,FALSE),"")</f>
        <v/>
      </c>
      <c r="AM671">
        <f t="shared" si="146"/>
        <v>0</v>
      </c>
      <c r="AP671" t="str">
        <f>IFERROR(VLOOKUP(AO671,tbFactorMes,2,FALSE),"")</f>
        <v/>
      </c>
      <c r="AQ671">
        <f t="shared" si="147"/>
        <v>0</v>
      </c>
      <c r="AT671" t="str">
        <f>IFERROR(VLOOKUP(AS671,tbFactorMes,2,FALSE),"")</f>
        <v/>
      </c>
      <c r="AU671">
        <f t="shared" si="148"/>
        <v>0</v>
      </c>
      <c r="AX671" t="str">
        <f>IFERROR(VLOOKUP(AW671,tbFactorMes,2,FALSE),"")</f>
        <v/>
      </c>
      <c r="AY671">
        <f t="shared" si="149"/>
        <v>0</v>
      </c>
      <c r="BB671" t="str">
        <f>IFERROR(VLOOKUP(BA671,tbFactorMes,2,FALSE),"")</f>
        <v/>
      </c>
      <c r="BC671">
        <f t="shared" si="150"/>
        <v>0</v>
      </c>
      <c r="BF671" t="str">
        <f>IFERROR(VLOOKUP(BE671,tbFactorMes,2,FALSE),"")</f>
        <v/>
      </c>
      <c r="BG671">
        <f t="shared" si="151"/>
        <v>0</v>
      </c>
      <c r="BH671">
        <f t="shared" si="152"/>
        <v>0</v>
      </c>
      <c r="BI671">
        <f t="shared" si="153"/>
        <v>0</v>
      </c>
    </row>
    <row r="672" spans="11:61" x14ac:dyDescent="0.35">
      <c r="K672" t="str">
        <f>IFERROR(VLOOKUP(F672,tbTurnos,3,FALSE),"")</f>
        <v/>
      </c>
      <c r="N672" t="str">
        <f>IFERROR(VLOOKUP(M672,tbFactorMes,2,FALSE),"")</f>
        <v/>
      </c>
      <c r="O672">
        <f t="shared" si="140"/>
        <v>0</v>
      </c>
      <c r="R672" t="str">
        <f>IFERROR(VLOOKUP(Q672,tbFactorMes,2,FALSE),"")</f>
        <v/>
      </c>
      <c r="S672">
        <f t="shared" si="141"/>
        <v>0</v>
      </c>
      <c r="V672" t="str">
        <f>IFERROR(VLOOKUP(U672,tbFactorMes,2,FALSE),"")</f>
        <v/>
      </c>
      <c r="W672">
        <f t="shared" si="142"/>
        <v>0</v>
      </c>
      <c r="Z672" t="str">
        <f>IFERROR(VLOOKUP(Y672,tbFactorMes,2,FALSE),"")</f>
        <v/>
      </c>
      <c r="AA672">
        <f t="shared" si="143"/>
        <v>0</v>
      </c>
      <c r="AD672" t="str">
        <f>IFERROR(VLOOKUP(AC672,tbFactorMes,2,FALSE),"")</f>
        <v/>
      </c>
      <c r="AE672">
        <f t="shared" si="144"/>
        <v>0</v>
      </c>
      <c r="AH672" t="str">
        <f>IFERROR(VLOOKUP(AG672,tbFactorMes,2,FALSE),"")</f>
        <v/>
      </c>
      <c r="AI672">
        <f t="shared" si="145"/>
        <v>0</v>
      </c>
      <c r="AL672" t="str">
        <f>IFERROR(VLOOKUP(AK672,tbFactorMes,2,FALSE),"")</f>
        <v/>
      </c>
      <c r="AM672">
        <f t="shared" si="146"/>
        <v>0</v>
      </c>
      <c r="AP672" t="str">
        <f>IFERROR(VLOOKUP(AO672,tbFactorMes,2,FALSE),"")</f>
        <v/>
      </c>
      <c r="AQ672">
        <f t="shared" si="147"/>
        <v>0</v>
      </c>
      <c r="AT672" t="str">
        <f>IFERROR(VLOOKUP(AS672,tbFactorMes,2,FALSE),"")</f>
        <v/>
      </c>
      <c r="AU672">
        <f t="shared" si="148"/>
        <v>0</v>
      </c>
      <c r="AX672" t="str">
        <f>IFERROR(VLOOKUP(AW672,tbFactorMes,2,FALSE),"")</f>
        <v/>
      </c>
      <c r="AY672">
        <f t="shared" si="149"/>
        <v>0</v>
      </c>
      <c r="BB672" t="str">
        <f>IFERROR(VLOOKUP(BA672,tbFactorMes,2,FALSE),"")</f>
        <v/>
      </c>
      <c r="BC672">
        <f t="shared" si="150"/>
        <v>0</v>
      </c>
      <c r="BF672" t="str">
        <f>IFERROR(VLOOKUP(BE672,tbFactorMes,2,FALSE),"")</f>
        <v/>
      </c>
      <c r="BG672">
        <f t="shared" si="151"/>
        <v>0</v>
      </c>
      <c r="BH672">
        <f t="shared" si="152"/>
        <v>0</v>
      </c>
      <c r="BI672">
        <f t="shared" si="153"/>
        <v>0</v>
      </c>
    </row>
    <row r="673" spans="11:61" x14ac:dyDescent="0.35">
      <c r="K673" t="str">
        <f>IFERROR(VLOOKUP(F673,tbTurnos,3,FALSE),"")</f>
        <v/>
      </c>
      <c r="N673" t="str">
        <f>IFERROR(VLOOKUP(M673,tbFactorMes,2,FALSE),"")</f>
        <v/>
      </c>
      <c r="O673">
        <f t="shared" si="140"/>
        <v>0</v>
      </c>
      <c r="R673" t="str">
        <f>IFERROR(VLOOKUP(Q673,tbFactorMes,2,FALSE),"")</f>
        <v/>
      </c>
      <c r="S673">
        <f t="shared" si="141"/>
        <v>0</v>
      </c>
      <c r="V673" t="str">
        <f>IFERROR(VLOOKUP(U673,tbFactorMes,2,FALSE),"")</f>
        <v/>
      </c>
      <c r="W673">
        <f t="shared" si="142"/>
        <v>0</v>
      </c>
      <c r="Z673" t="str">
        <f>IFERROR(VLOOKUP(Y673,tbFactorMes,2,FALSE),"")</f>
        <v/>
      </c>
      <c r="AA673">
        <f t="shared" si="143"/>
        <v>0</v>
      </c>
      <c r="AD673" t="str">
        <f>IFERROR(VLOOKUP(AC673,tbFactorMes,2,FALSE),"")</f>
        <v/>
      </c>
      <c r="AE673">
        <f t="shared" si="144"/>
        <v>0</v>
      </c>
      <c r="AH673" t="str">
        <f>IFERROR(VLOOKUP(AG673,tbFactorMes,2,FALSE),"")</f>
        <v/>
      </c>
      <c r="AI673">
        <f t="shared" si="145"/>
        <v>0</v>
      </c>
      <c r="AL673" t="str">
        <f>IFERROR(VLOOKUP(AK673,tbFactorMes,2,FALSE),"")</f>
        <v/>
      </c>
      <c r="AM673">
        <f t="shared" si="146"/>
        <v>0</v>
      </c>
      <c r="AP673" t="str">
        <f>IFERROR(VLOOKUP(AO673,tbFactorMes,2,FALSE),"")</f>
        <v/>
      </c>
      <c r="AQ673">
        <f t="shared" si="147"/>
        <v>0</v>
      </c>
      <c r="AT673" t="str">
        <f>IFERROR(VLOOKUP(AS673,tbFactorMes,2,FALSE),"")</f>
        <v/>
      </c>
      <c r="AU673">
        <f t="shared" si="148"/>
        <v>0</v>
      </c>
      <c r="AX673" t="str">
        <f>IFERROR(VLOOKUP(AW673,tbFactorMes,2,FALSE),"")</f>
        <v/>
      </c>
      <c r="AY673">
        <f t="shared" si="149"/>
        <v>0</v>
      </c>
      <c r="BB673" t="str">
        <f>IFERROR(VLOOKUP(BA673,tbFactorMes,2,FALSE),"")</f>
        <v/>
      </c>
      <c r="BC673">
        <f t="shared" si="150"/>
        <v>0</v>
      </c>
      <c r="BF673" t="str">
        <f>IFERROR(VLOOKUP(BE673,tbFactorMes,2,FALSE),"")</f>
        <v/>
      </c>
      <c r="BG673">
        <f t="shared" si="151"/>
        <v>0</v>
      </c>
      <c r="BH673">
        <f t="shared" si="152"/>
        <v>0</v>
      </c>
      <c r="BI673">
        <f t="shared" si="153"/>
        <v>0</v>
      </c>
    </row>
    <row r="674" spans="11:61" x14ac:dyDescent="0.35">
      <c r="K674" t="str">
        <f>IFERROR(VLOOKUP(F674,tbTurnos,3,FALSE),"")</f>
        <v/>
      </c>
      <c r="N674" t="str">
        <f>IFERROR(VLOOKUP(M674,tbFactorMes,2,FALSE),"")</f>
        <v/>
      </c>
      <c r="O674">
        <f t="shared" si="140"/>
        <v>0</v>
      </c>
      <c r="R674" t="str">
        <f>IFERROR(VLOOKUP(Q674,tbFactorMes,2,FALSE),"")</f>
        <v/>
      </c>
      <c r="S674">
        <f t="shared" si="141"/>
        <v>0</v>
      </c>
      <c r="V674" t="str">
        <f>IFERROR(VLOOKUP(U674,tbFactorMes,2,FALSE),"")</f>
        <v/>
      </c>
      <c r="W674">
        <f t="shared" si="142"/>
        <v>0</v>
      </c>
      <c r="Z674" t="str">
        <f>IFERROR(VLOOKUP(Y674,tbFactorMes,2,FALSE),"")</f>
        <v/>
      </c>
      <c r="AA674">
        <f t="shared" si="143"/>
        <v>0</v>
      </c>
      <c r="AD674" t="str">
        <f>IFERROR(VLOOKUP(AC674,tbFactorMes,2,FALSE),"")</f>
        <v/>
      </c>
      <c r="AE674">
        <f t="shared" si="144"/>
        <v>0</v>
      </c>
      <c r="AH674" t="str">
        <f>IFERROR(VLOOKUP(AG674,tbFactorMes,2,FALSE),"")</f>
        <v/>
      </c>
      <c r="AI674">
        <f t="shared" si="145"/>
        <v>0</v>
      </c>
      <c r="AL674" t="str">
        <f>IFERROR(VLOOKUP(AK674,tbFactorMes,2,FALSE),"")</f>
        <v/>
      </c>
      <c r="AM674">
        <f t="shared" si="146"/>
        <v>0</v>
      </c>
      <c r="AP674" t="str">
        <f>IFERROR(VLOOKUP(AO674,tbFactorMes,2,FALSE),"")</f>
        <v/>
      </c>
      <c r="AQ674">
        <f t="shared" si="147"/>
        <v>0</v>
      </c>
      <c r="AT674" t="str">
        <f>IFERROR(VLOOKUP(AS674,tbFactorMes,2,FALSE),"")</f>
        <v/>
      </c>
      <c r="AU674">
        <f t="shared" si="148"/>
        <v>0</v>
      </c>
      <c r="AX674" t="str">
        <f>IFERROR(VLOOKUP(AW674,tbFactorMes,2,FALSE),"")</f>
        <v/>
      </c>
      <c r="AY674">
        <f t="shared" si="149"/>
        <v>0</v>
      </c>
      <c r="BB674" t="str">
        <f>IFERROR(VLOOKUP(BA674,tbFactorMes,2,FALSE),"")</f>
        <v/>
      </c>
      <c r="BC674">
        <f t="shared" si="150"/>
        <v>0</v>
      </c>
      <c r="BF674" t="str">
        <f>IFERROR(VLOOKUP(BE674,tbFactorMes,2,FALSE),"")</f>
        <v/>
      </c>
      <c r="BG674">
        <f t="shared" si="151"/>
        <v>0</v>
      </c>
      <c r="BH674">
        <f t="shared" si="152"/>
        <v>0</v>
      </c>
      <c r="BI674">
        <f t="shared" si="153"/>
        <v>0</v>
      </c>
    </row>
    <row r="675" spans="11:61" x14ac:dyDescent="0.35">
      <c r="K675" t="str">
        <f>IFERROR(VLOOKUP(F675,tbTurnos,3,FALSE),"")</f>
        <v/>
      </c>
      <c r="N675" t="str">
        <f>IFERROR(VLOOKUP(M675,tbFactorMes,2,FALSE),"")</f>
        <v/>
      </c>
      <c r="O675">
        <f t="shared" si="140"/>
        <v>0</v>
      </c>
      <c r="R675" t="str">
        <f>IFERROR(VLOOKUP(Q675,tbFactorMes,2,FALSE),"")</f>
        <v/>
      </c>
      <c r="S675">
        <f t="shared" si="141"/>
        <v>0</v>
      </c>
      <c r="V675" t="str">
        <f>IFERROR(VLOOKUP(U675,tbFactorMes,2,FALSE),"")</f>
        <v/>
      </c>
      <c r="W675">
        <f t="shared" si="142"/>
        <v>0</v>
      </c>
      <c r="Z675" t="str">
        <f>IFERROR(VLOOKUP(Y675,tbFactorMes,2,FALSE),"")</f>
        <v/>
      </c>
      <c r="AA675">
        <f t="shared" si="143"/>
        <v>0</v>
      </c>
      <c r="AD675" t="str">
        <f>IFERROR(VLOOKUP(AC675,tbFactorMes,2,FALSE),"")</f>
        <v/>
      </c>
      <c r="AE675">
        <f t="shared" si="144"/>
        <v>0</v>
      </c>
      <c r="AH675" t="str">
        <f>IFERROR(VLOOKUP(AG675,tbFactorMes,2,FALSE),"")</f>
        <v/>
      </c>
      <c r="AI675">
        <f t="shared" si="145"/>
        <v>0</v>
      </c>
      <c r="AL675" t="str">
        <f>IFERROR(VLOOKUP(AK675,tbFactorMes,2,FALSE),"")</f>
        <v/>
      </c>
      <c r="AM675">
        <f t="shared" si="146"/>
        <v>0</v>
      </c>
      <c r="AP675" t="str">
        <f>IFERROR(VLOOKUP(AO675,tbFactorMes,2,FALSE),"")</f>
        <v/>
      </c>
      <c r="AQ675">
        <f t="shared" si="147"/>
        <v>0</v>
      </c>
      <c r="AT675" t="str">
        <f>IFERROR(VLOOKUP(AS675,tbFactorMes,2,FALSE),"")</f>
        <v/>
      </c>
      <c r="AU675">
        <f t="shared" si="148"/>
        <v>0</v>
      </c>
      <c r="AX675" t="str">
        <f>IFERROR(VLOOKUP(AW675,tbFactorMes,2,FALSE),"")</f>
        <v/>
      </c>
      <c r="AY675">
        <f t="shared" si="149"/>
        <v>0</v>
      </c>
      <c r="BB675" t="str">
        <f>IFERROR(VLOOKUP(BA675,tbFactorMes,2,FALSE),"")</f>
        <v/>
      </c>
      <c r="BC675">
        <f t="shared" si="150"/>
        <v>0</v>
      </c>
      <c r="BF675" t="str">
        <f>IFERROR(VLOOKUP(BE675,tbFactorMes,2,FALSE),"")</f>
        <v/>
      </c>
      <c r="BG675">
        <f t="shared" si="151"/>
        <v>0</v>
      </c>
      <c r="BH675">
        <f t="shared" si="152"/>
        <v>0</v>
      </c>
      <c r="BI675">
        <f t="shared" si="153"/>
        <v>0</v>
      </c>
    </row>
    <row r="676" spans="11:61" x14ac:dyDescent="0.35">
      <c r="K676" t="str">
        <f>IFERROR(VLOOKUP(F676,tbTurnos,3,FALSE),"")</f>
        <v/>
      </c>
      <c r="N676" t="str">
        <f>IFERROR(VLOOKUP(M676,tbFactorMes,2,FALSE),"")</f>
        <v/>
      </c>
      <c r="O676">
        <f t="shared" si="140"/>
        <v>0</v>
      </c>
      <c r="R676" t="str">
        <f>IFERROR(VLOOKUP(Q676,tbFactorMes,2,FALSE),"")</f>
        <v/>
      </c>
      <c r="S676">
        <f t="shared" si="141"/>
        <v>0</v>
      </c>
      <c r="V676" t="str">
        <f>IFERROR(VLOOKUP(U676,tbFactorMes,2,FALSE),"")</f>
        <v/>
      </c>
      <c r="W676">
        <f t="shared" si="142"/>
        <v>0</v>
      </c>
      <c r="Z676" t="str">
        <f>IFERROR(VLOOKUP(Y676,tbFactorMes,2,FALSE),"")</f>
        <v/>
      </c>
      <c r="AA676">
        <f t="shared" si="143"/>
        <v>0</v>
      </c>
      <c r="AD676" t="str">
        <f>IFERROR(VLOOKUP(AC676,tbFactorMes,2,FALSE),"")</f>
        <v/>
      </c>
      <c r="AE676">
        <f t="shared" si="144"/>
        <v>0</v>
      </c>
      <c r="AH676" t="str">
        <f>IFERROR(VLOOKUP(AG676,tbFactorMes,2,FALSE),"")</f>
        <v/>
      </c>
      <c r="AI676">
        <f t="shared" si="145"/>
        <v>0</v>
      </c>
      <c r="AL676" t="str">
        <f>IFERROR(VLOOKUP(AK676,tbFactorMes,2,FALSE),"")</f>
        <v/>
      </c>
      <c r="AM676">
        <f t="shared" si="146"/>
        <v>0</v>
      </c>
      <c r="AP676" t="str">
        <f>IFERROR(VLOOKUP(AO676,tbFactorMes,2,FALSE),"")</f>
        <v/>
      </c>
      <c r="AQ676">
        <f t="shared" si="147"/>
        <v>0</v>
      </c>
      <c r="AT676" t="str">
        <f>IFERROR(VLOOKUP(AS676,tbFactorMes,2,FALSE),"")</f>
        <v/>
      </c>
      <c r="AU676">
        <f t="shared" si="148"/>
        <v>0</v>
      </c>
      <c r="AX676" t="str">
        <f>IFERROR(VLOOKUP(AW676,tbFactorMes,2,FALSE),"")</f>
        <v/>
      </c>
      <c r="AY676">
        <f t="shared" si="149"/>
        <v>0</v>
      </c>
      <c r="BB676" t="str">
        <f>IFERROR(VLOOKUP(BA676,tbFactorMes,2,FALSE),"")</f>
        <v/>
      </c>
      <c r="BC676">
        <f t="shared" si="150"/>
        <v>0</v>
      </c>
      <c r="BF676" t="str">
        <f>IFERROR(VLOOKUP(BE676,tbFactorMes,2,FALSE),"")</f>
        <v/>
      </c>
      <c r="BG676">
        <f t="shared" si="151"/>
        <v>0</v>
      </c>
      <c r="BH676">
        <f t="shared" si="152"/>
        <v>0</v>
      </c>
      <c r="BI676">
        <f t="shared" si="153"/>
        <v>0</v>
      </c>
    </row>
    <row r="677" spans="11:61" x14ac:dyDescent="0.35">
      <c r="K677" t="str">
        <f>IFERROR(VLOOKUP(F677,tbTurnos,3,FALSE),"")</f>
        <v/>
      </c>
      <c r="N677" t="str">
        <f>IFERROR(VLOOKUP(M677,tbFactorMes,2,FALSE),"")</f>
        <v/>
      </c>
      <c r="O677">
        <f t="shared" si="140"/>
        <v>0</v>
      </c>
      <c r="R677" t="str">
        <f>IFERROR(VLOOKUP(Q677,tbFactorMes,2,FALSE),"")</f>
        <v/>
      </c>
      <c r="S677">
        <f t="shared" si="141"/>
        <v>0</v>
      </c>
      <c r="V677" t="str">
        <f>IFERROR(VLOOKUP(U677,tbFactorMes,2,FALSE),"")</f>
        <v/>
      </c>
      <c r="W677">
        <f t="shared" si="142"/>
        <v>0</v>
      </c>
      <c r="Z677" t="str">
        <f>IFERROR(VLOOKUP(Y677,tbFactorMes,2,FALSE),"")</f>
        <v/>
      </c>
      <c r="AA677">
        <f t="shared" si="143"/>
        <v>0</v>
      </c>
      <c r="AD677" t="str">
        <f>IFERROR(VLOOKUP(AC677,tbFactorMes,2,FALSE),"")</f>
        <v/>
      </c>
      <c r="AE677">
        <f t="shared" si="144"/>
        <v>0</v>
      </c>
      <c r="AH677" t="str">
        <f>IFERROR(VLOOKUP(AG677,tbFactorMes,2,FALSE),"")</f>
        <v/>
      </c>
      <c r="AI677">
        <f t="shared" si="145"/>
        <v>0</v>
      </c>
      <c r="AL677" t="str">
        <f>IFERROR(VLOOKUP(AK677,tbFactorMes,2,FALSE),"")</f>
        <v/>
      </c>
      <c r="AM677">
        <f t="shared" si="146"/>
        <v>0</v>
      </c>
      <c r="AP677" t="str">
        <f>IFERROR(VLOOKUP(AO677,tbFactorMes,2,FALSE),"")</f>
        <v/>
      </c>
      <c r="AQ677">
        <f t="shared" si="147"/>
        <v>0</v>
      </c>
      <c r="AT677" t="str">
        <f>IFERROR(VLOOKUP(AS677,tbFactorMes,2,FALSE),"")</f>
        <v/>
      </c>
      <c r="AU677">
        <f t="shared" si="148"/>
        <v>0</v>
      </c>
      <c r="AX677" t="str">
        <f>IFERROR(VLOOKUP(AW677,tbFactorMes,2,FALSE),"")</f>
        <v/>
      </c>
      <c r="AY677">
        <f t="shared" si="149"/>
        <v>0</v>
      </c>
      <c r="BB677" t="str">
        <f>IFERROR(VLOOKUP(BA677,tbFactorMes,2,FALSE),"")</f>
        <v/>
      </c>
      <c r="BC677">
        <f t="shared" si="150"/>
        <v>0</v>
      </c>
      <c r="BF677" t="str">
        <f>IFERROR(VLOOKUP(BE677,tbFactorMes,2,FALSE),"")</f>
        <v/>
      </c>
      <c r="BG677">
        <f t="shared" si="151"/>
        <v>0</v>
      </c>
      <c r="BH677">
        <f t="shared" si="152"/>
        <v>0</v>
      </c>
      <c r="BI677">
        <f t="shared" si="153"/>
        <v>0</v>
      </c>
    </row>
    <row r="678" spans="11:61" x14ac:dyDescent="0.35">
      <c r="K678" t="str">
        <f>IFERROR(VLOOKUP(F678,tbTurnos,3,FALSE),"")</f>
        <v/>
      </c>
      <c r="N678" t="str">
        <f>IFERROR(VLOOKUP(M678,tbFactorMes,2,FALSE),"")</f>
        <v/>
      </c>
      <c r="O678">
        <f t="shared" si="140"/>
        <v>0</v>
      </c>
      <c r="R678" t="str">
        <f>IFERROR(VLOOKUP(Q678,tbFactorMes,2,FALSE),"")</f>
        <v/>
      </c>
      <c r="S678">
        <f t="shared" si="141"/>
        <v>0</v>
      </c>
      <c r="V678" t="str">
        <f>IFERROR(VLOOKUP(U678,tbFactorMes,2,FALSE),"")</f>
        <v/>
      </c>
      <c r="W678">
        <f t="shared" si="142"/>
        <v>0</v>
      </c>
      <c r="Z678" t="str">
        <f>IFERROR(VLOOKUP(Y678,tbFactorMes,2,FALSE),"")</f>
        <v/>
      </c>
      <c r="AA678">
        <f t="shared" si="143"/>
        <v>0</v>
      </c>
      <c r="AD678" t="str">
        <f>IFERROR(VLOOKUP(AC678,tbFactorMes,2,FALSE),"")</f>
        <v/>
      </c>
      <c r="AE678">
        <f t="shared" si="144"/>
        <v>0</v>
      </c>
      <c r="AH678" t="str">
        <f>IFERROR(VLOOKUP(AG678,tbFactorMes,2,FALSE),"")</f>
        <v/>
      </c>
      <c r="AI678">
        <f t="shared" si="145"/>
        <v>0</v>
      </c>
      <c r="AL678" t="str">
        <f>IFERROR(VLOOKUP(AK678,tbFactorMes,2,FALSE),"")</f>
        <v/>
      </c>
      <c r="AM678">
        <f t="shared" si="146"/>
        <v>0</v>
      </c>
      <c r="AP678" t="str">
        <f>IFERROR(VLOOKUP(AO678,tbFactorMes,2,FALSE),"")</f>
        <v/>
      </c>
      <c r="AQ678">
        <f t="shared" si="147"/>
        <v>0</v>
      </c>
      <c r="AT678" t="str">
        <f>IFERROR(VLOOKUP(AS678,tbFactorMes,2,FALSE),"")</f>
        <v/>
      </c>
      <c r="AU678">
        <f t="shared" si="148"/>
        <v>0</v>
      </c>
      <c r="AX678" t="str">
        <f>IFERROR(VLOOKUP(AW678,tbFactorMes,2,FALSE),"")</f>
        <v/>
      </c>
      <c r="AY678">
        <f t="shared" si="149"/>
        <v>0</v>
      </c>
      <c r="BB678" t="str">
        <f>IFERROR(VLOOKUP(BA678,tbFactorMes,2,FALSE),"")</f>
        <v/>
      </c>
      <c r="BC678">
        <f t="shared" si="150"/>
        <v>0</v>
      </c>
      <c r="BF678" t="str">
        <f>IFERROR(VLOOKUP(BE678,tbFactorMes,2,FALSE),"")</f>
        <v/>
      </c>
      <c r="BG678">
        <f t="shared" si="151"/>
        <v>0</v>
      </c>
      <c r="BH678">
        <f t="shared" si="152"/>
        <v>0</v>
      </c>
      <c r="BI678">
        <f t="shared" si="153"/>
        <v>0</v>
      </c>
    </row>
    <row r="679" spans="11:61" x14ac:dyDescent="0.35">
      <c r="K679" t="str">
        <f>IFERROR(VLOOKUP(F679,tbTurnos,3,FALSE),"")</f>
        <v/>
      </c>
      <c r="N679" t="str">
        <f>IFERROR(VLOOKUP(M679,tbFactorMes,2,FALSE),"")</f>
        <v/>
      </c>
      <c r="O679">
        <f t="shared" si="140"/>
        <v>0</v>
      </c>
      <c r="R679" t="str">
        <f>IFERROR(VLOOKUP(Q679,tbFactorMes,2,FALSE),"")</f>
        <v/>
      </c>
      <c r="S679">
        <f t="shared" si="141"/>
        <v>0</v>
      </c>
      <c r="V679" t="str">
        <f>IFERROR(VLOOKUP(U679,tbFactorMes,2,FALSE),"")</f>
        <v/>
      </c>
      <c r="W679">
        <f t="shared" si="142"/>
        <v>0</v>
      </c>
      <c r="Z679" t="str">
        <f>IFERROR(VLOOKUP(Y679,tbFactorMes,2,FALSE),"")</f>
        <v/>
      </c>
      <c r="AA679">
        <f t="shared" si="143"/>
        <v>0</v>
      </c>
      <c r="AD679" t="str">
        <f>IFERROR(VLOOKUP(AC679,tbFactorMes,2,FALSE),"")</f>
        <v/>
      </c>
      <c r="AE679">
        <f t="shared" si="144"/>
        <v>0</v>
      </c>
      <c r="AH679" t="str">
        <f>IFERROR(VLOOKUP(AG679,tbFactorMes,2,FALSE),"")</f>
        <v/>
      </c>
      <c r="AI679">
        <f t="shared" si="145"/>
        <v>0</v>
      </c>
      <c r="AL679" t="str">
        <f>IFERROR(VLOOKUP(AK679,tbFactorMes,2,FALSE),"")</f>
        <v/>
      </c>
      <c r="AM679">
        <f t="shared" si="146"/>
        <v>0</v>
      </c>
      <c r="AP679" t="str">
        <f>IFERROR(VLOOKUP(AO679,tbFactorMes,2,FALSE),"")</f>
        <v/>
      </c>
      <c r="AQ679">
        <f t="shared" si="147"/>
        <v>0</v>
      </c>
      <c r="AT679" t="str">
        <f>IFERROR(VLOOKUP(AS679,tbFactorMes,2,FALSE),"")</f>
        <v/>
      </c>
      <c r="AU679">
        <f t="shared" si="148"/>
        <v>0</v>
      </c>
      <c r="AX679" t="str">
        <f>IFERROR(VLOOKUP(AW679,tbFactorMes,2,FALSE),"")</f>
        <v/>
      </c>
      <c r="AY679">
        <f t="shared" si="149"/>
        <v>0</v>
      </c>
      <c r="BB679" t="str">
        <f>IFERROR(VLOOKUP(BA679,tbFactorMes,2,FALSE),"")</f>
        <v/>
      </c>
      <c r="BC679">
        <f t="shared" si="150"/>
        <v>0</v>
      </c>
      <c r="BF679" t="str">
        <f>IFERROR(VLOOKUP(BE679,tbFactorMes,2,FALSE),"")</f>
        <v/>
      </c>
      <c r="BG679">
        <f t="shared" si="151"/>
        <v>0</v>
      </c>
      <c r="BH679">
        <f t="shared" si="152"/>
        <v>0</v>
      </c>
      <c r="BI679">
        <f t="shared" si="153"/>
        <v>0</v>
      </c>
    </row>
    <row r="680" spans="11:61" x14ac:dyDescent="0.35">
      <c r="K680" t="str">
        <f>IFERROR(VLOOKUP(F680,tbTurnos,3,FALSE),"")</f>
        <v/>
      </c>
      <c r="N680" t="str">
        <f>IFERROR(VLOOKUP(M680,tbFactorMes,2,FALSE),"")</f>
        <v/>
      </c>
      <c r="O680">
        <f t="shared" si="140"/>
        <v>0</v>
      </c>
      <c r="R680" t="str">
        <f>IFERROR(VLOOKUP(Q680,tbFactorMes,2,FALSE),"")</f>
        <v/>
      </c>
      <c r="S680">
        <f t="shared" si="141"/>
        <v>0</v>
      </c>
      <c r="V680" t="str">
        <f>IFERROR(VLOOKUP(U680,tbFactorMes,2,FALSE),"")</f>
        <v/>
      </c>
      <c r="W680">
        <f t="shared" si="142"/>
        <v>0</v>
      </c>
      <c r="Z680" t="str">
        <f>IFERROR(VLOOKUP(Y680,tbFactorMes,2,FALSE),"")</f>
        <v/>
      </c>
      <c r="AA680">
        <f t="shared" si="143"/>
        <v>0</v>
      </c>
      <c r="AD680" t="str">
        <f>IFERROR(VLOOKUP(AC680,tbFactorMes,2,FALSE),"")</f>
        <v/>
      </c>
      <c r="AE680">
        <f t="shared" si="144"/>
        <v>0</v>
      </c>
      <c r="AH680" t="str">
        <f>IFERROR(VLOOKUP(AG680,tbFactorMes,2,FALSE),"")</f>
        <v/>
      </c>
      <c r="AI680">
        <f t="shared" si="145"/>
        <v>0</v>
      </c>
      <c r="AL680" t="str">
        <f>IFERROR(VLOOKUP(AK680,tbFactorMes,2,FALSE),"")</f>
        <v/>
      </c>
      <c r="AM680">
        <f t="shared" si="146"/>
        <v>0</v>
      </c>
      <c r="AP680" t="str">
        <f>IFERROR(VLOOKUP(AO680,tbFactorMes,2,FALSE),"")</f>
        <v/>
      </c>
      <c r="AQ680">
        <f t="shared" si="147"/>
        <v>0</v>
      </c>
      <c r="AT680" t="str">
        <f>IFERROR(VLOOKUP(AS680,tbFactorMes,2,FALSE),"")</f>
        <v/>
      </c>
      <c r="AU680">
        <f t="shared" si="148"/>
        <v>0</v>
      </c>
      <c r="AX680" t="str">
        <f>IFERROR(VLOOKUP(AW680,tbFactorMes,2,FALSE),"")</f>
        <v/>
      </c>
      <c r="AY680">
        <f t="shared" si="149"/>
        <v>0</v>
      </c>
      <c r="BB680" t="str">
        <f>IFERROR(VLOOKUP(BA680,tbFactorMes,2,FALSE),"")</f>
        <v/>
      </c>
      <c r="BC680">
        <f t="shared" si="150"/>
        <v>0</v>
      </c>
      <c r="BF680" t="str">
        <f>IFERROR(VLOOKUP(BE680,tbFactorMes,2,FALSE),"")</f>
        <v/>
      </c>
      <c r="BG680">
        <f t="shared" si="151"/>
        <v>0</v>
      </c>
      <c r="BH680">
        <f t="shared" si="152"/>
        <v>0</v>
      </c>
      <c r="BI680">
        <f t="shared" si="153"/>
        <v>0</v>
      </c>
    </row>
    <row r="681" spans="11:61" x14ac:dyDescent="0.35">
      <c r="K681" t="str">
        <f>IFERROR(VLOOKUP(F681,tbTurnos,3,FALSE),"")</f>
        <v/>
      </c>
      <c r="N681" t="str">
        <f>IFERROR(VLOOKUP(M681,tbFactorMes,2,FALSE),"")</f>
        <v/>
      </c>
      <c r="O681">
        <f t="shared" si="140"/>
        <v>0</v>
      </c>
      <c r="R681" t="str">
        <f>IFERROR(VLOOKUP(Q681,tbFactorMes,2,FALSE),"")</f>
        <v/>
      </c>
      <c r="S681">
        <f t="shared" si="141"/>
        <v>0</v>
      </c>
      <c r="V681" t="str">
        <f>IFERROR(VLOOKUP(U681,tbFactorMes,2,FALSE),"")</f>
        <v/>
      </c>
      <c r="W681">
        <f t="shared" si="142"/>
        <v>0</v>
      </c>
      <c r="Z681" t="str">
        <f>IFERROR(VLOOKUP(Y681,tbFactorMes,2,FALSE),"")</f>
        <v/>
      </c>
      <c r="AA681">
        <f t="shared" si="143"/>
        <v>0</v>
      </c>
      <c r="AD681" t="str">
        <f>IFERROR(VLOOKUP(AC681,tbFactorMes,2,FALSE),"")</f>
        <v/>
      </c>
      <c r="AE681">
        <f t="shared" si="144"/>
        <v>0</v>
      </c>
      <c r="AH681" t="str">
        <f>IFERROR(VLOOKUP(AG681,tbFactorMes,2,FALSE),"")</f>
        <v/>
      </c>
      <c r="AI681">
        <f t="shared" si="145"/>
        <v>0</v>
      </c>
      <c r="AL681" t="str">
        <f>IFERROR(VLOOKUP(AK681,tbFactorMes,2,FALSE),"")</f>
        <v/>
      </c>
      <c r="AM681">
        <f t="shared" si="146"/>
        <v>0</v>
      </c>
      <c r="AP681" t="str">
        <f>IFERROR(VLOOKUP(AO681,tbFactorMes,2,FALSE),"")</f>
        <v/>
      </c>
      <c r="AQ681">
        <f t="shared" si="147"/>
        <v>0</v>
      </c>
      <c r="AT681" t="str">
        <f>IFERROR(VLOOKUP(AS681,tbFactorMes,2,FALSE),"")</f>
        <v/>
      </c>
      <c r="AU681">
        <f t="shared" si="148"/>
        <v>0</v>
      </c>
      <c r="AX681" t="str">
        <f>IFERROR(VLOOKUP(AW681,tbFactorMes,2,FALSE),"")</f>
        <v/>
      </c>
      <c r="AY681">
        <f t="shared" si="149"/>
        <v>0</v>
      </c>
      <c r="BB681" t="str">
        <f>IFERROR(VLOOKUP(BA681,tbFactorMes,2,FALSE),"")</f>
        <v/>
      </c>
      <c r="BC681">
        <f t="shared" si="150"/>
        <v>0</v>
      </c>
      <c r="BF681" t="str">
        <f>IFERROR(VLOOKUP(BE681,tbFactorMes,2,FALSE),"")</f>
        <v/>
      </c>
      <c r="BG681">
        <f t="shared" si="151"/>
        <v>0</v>
      </c>
      <c r="BH681">
        <f t="shared" si="152"/>
        <v>0</v>
      </c>
      <c r="BI681">
        <f t="shared" si="153"/>
        <v>0</v>
      </c>
    </row>
    <row r="682" spans="11:61" x14ac:dyDescent="0.35">
      <c r="K682" t="str">
        <f>IFERROR(VLOOKUP(F682,tbTurnos,3,FALSE),"")</f>
        <v/>
      </c>
      <c r="N682" t="str">
        <f>IFERROR(VLOOKUP(M682,tbFactorMes,2,FALSE),"")</f>
        <v/>
      </c>
      <c r="O682">
        <f t="shared" si="140"/>
        <v>0</v>
      </c>
      <c r="R682" t="str">
        <f>IFERROR(VLOOKUP(Q682,tbFactorMes,2,FALSE),"")</f>
        <v/>
      </c>
      <c r="S682">
        <f t="shared" si="141"/>
        <v>0</v>
      </c>
      <c r="V682" t="str">
        <f>IFERROR(VLOOKUP(U682,tbFactorMes,2,FALSE),"")</f>
        <v/>
      </c>
      <c r="W682">
        <f t="shared" si="142"/>
        <v>0</v>
      </c>
      <c r="Z682" t="str">
        <f>IFERROR(VLOOKUP(Y682,tbFactorMes,2,FALSE),"")</f>
        <v/>
      </c>
      <c r="AA682">
        <f t="shared" si="143"/>
        <v>0</v>
      </c>
      <c r="AD682" t="str">
        <f>IFERROR(VLOOKUP(AC682,tbFactorMes,2,FALSE),"")</f>
        <v/>
      </c>
      <c r="AE682">
        <f t="shared" si="144"/>
        <v>0</v>
      </c>
      <c r="AH682" t="str">
        <f>IFERROR(VLOOKUP(AG682,tbFactorMes,2,FALSE),"")</f>
        <v/>
      </c>
      <c r="AI682">
        <f t="shared" si="145"/>
        <v>0</v>
      </c>
      <c r="AL682" t="str">
        <f>IFERROR(VLOOKUP(AK682,tbFactorMes,2,FALSE),"")</f>
        <v/>
      </c>
      <c r="AM682">
        <f t="shared" si="146"/>
        <v>0</v>
      </c>
      <c r="AP682" t="str">
        <f>IFERROR(VLOOKUP(AO682,tbFactorMes,2,FALSE),"")</f>
        <v/>
      </c>
      <c r="AQ682">
        <f t="shared" si="147"/>
        <v>0</v>
      </c>
      <c r="AT682" t="str">
        <f>IFERROR(VLOOKUP(AS682,tbFactorMes,2,FALSE),"")</f>
        <v/>
      </c>
      <c r="AU682">
        <f t="shared" si="148"/>
        <v>0</v>
      </c>
      <c r="AX682" t="str">
        <f>IFERROR(VLOOKUP(AW682,tbFactorMes,2,FALSE),"")</f>
        <v/>
      </c>
      <c r="AY682">
        <f t="shared" si="149"/>
        <v>0</v>
      </c>
      <c r="BB682" t="str">
        <f>IFERROR(VLOOKUP(BA682,tbFactorMes,2,FALSE),"")</f>
        <v/>
      </c>
      <c r="BC682">
        <f t="shared" si="150"/>
        <v>0</v>
      </c>
      <c r="BF682" t="str">
        <f>IFERROR(VLOOKUP(BE682,tbFactorMes,2,FALSE),"")</f>
        <v/>
      </c>
      <c r="BG682">
        <f t="shared" si="151"/>
        <v>0</v>
      </c>
      <c r="BH682">
        <f t="shared" si="152"/>
        <v>0</v>
      </c>
      <c r="BI682">
        <f t="shared" si="153"/>
        <v>0</v>
      </c>
    </row>
    <row r="683" spans="11:61" x14ac:dyDescent="0.35">
      <c r="K683" t="str">
        <f>IFERROR(VLOOKUP(F683,tbTurnos,3,FALSE),"")</f>
        <v/>
      </c>
      <c r="N683" t="str">
        <f>IFERROR(VLOOKUP(M683,tbFactorMes,2,FALSE),"")</f>
        <v/>
      </c>
      <c r="O683">
        <f t="shared" si="140"/>
        <v>0</v>
      </c>
      <c r="R683" t="str">
        <f>IFERROR(VLOOKUP(Q683,tbFactorMes,2,FALSE),"")</f>
        <v/>
      </c>
      <c r="S683">
        <f t="shared" si="141"/>
        <v>0</v>
      </c>
      <c r="V683" t="str">
        <f>IFERROR(VLOOKUP(U683,tbFactorMes,2,FALSE),"")</f>
        <v/>
      </c>
      <c r="W683">
        <f t="shared" si="142"/>
        <v>0</v>
      </c>
      <c r="Z683" t="str">
        <f>IFERROR(VLOOKUP(Y683,tbFactorMes,2,FALSE),"")</f>
        <v/>
      </c>
      <c r="AA683">
        <f t="shared" si="143"/>
        <v>0</v>
      </c>
      <c r="AD683" t="str">
        <f>IFERROR(VLOOKUP(AC683,tbFactorMes,2,FALSE),"")</f>
        <v/>
      </c>
      <c r="AE683">
        <f t="shared" si="144"/>
        <v>0</v>
      </c>
      <c r="AH683" t="str">
        <f>IFERROR(VLOOKUP(AG683,tbFactorMes,2,FALSE),"")</f>
        <v/>
      </c>
      <c r="AI683">
        <f t="shared" si="145"/>
        <v>0</v>
      </c>
      <c r="AL683" t="str">
        <f>IFERROR(VLOOKUP(AK683,tbFactorMes,2,FALSE),"")</f>
        <v/>
      </c>
      <c r="AM683">
        <f t="shared" si="146"/>
        <v>0</v>
      </c>
      <c r="AP683" t="str">
        <f>IFERROR(VLOOKUP(AO683,tbFactorMes,2,FALSE),"")</f>
        <v/>
      </c>
      <c r="AQ683">
        <f t="shared" si="147"/>
        <v>0</v>
      </c>
      <c r="AT683" t="str">
        <f>IFERROR(VLOOKUP(AS683,tbFactorMes,2,FALSE),"")</f>
        <v/>
      </c>
      <c r="AU683">
        <f t="shared" si="148"/>
        <v>0</v>
      </c>
      <c r="AX683" t="str">
        <f>IFERROR(VLOOKUP(AW683,tbFactorMes,2,FALSE),"")</f>
        <v/>
      </c>
      <c r="AY683">
        <f t="shared" si="149"/>
        <v>0</v>
      </c>
      <c r="BB683" t="str">
        <f>IFERROR(VLOOKUP(BA683,tbFactorMes,2,FALSE),"")</f>
        <v/>
      </c>
      <c r="BC683">
        <f t="shared" si="150"/>
        <v>0</v>
      </c>
      <c r="BF683" t="str">
        <f>IFERROR(VLOOKUP(BE683,tbFactorMes,2,FALSE),"")</f>
        <v/>
      </c>
      <c r="BG683">
        <f t="shared" si="151"/>
        <v>0</v>
      </c>
      <c r="BH683">
        <f t="shared" si="152"/>
        <v>0</v>
      </c>
      <c r="BI683">
        <f t="shared" si="153"/>
        <v>0</v>
      </c>
    </row>
    <row r="684" spans="11:61" x14ac:dyDescent="0.35">
      <c r="K684" t="str">
        <f>IFERROR(VLOOKUP(F684,tbTurnos,3,FALSE),"")</f>
        <v/>
      </c>
      <c r="N684" t="str">
        <f>IFERROR(VLOOKUP(M684,tbFactorMes,2,FALSE),"")</f>
        <v/>
      </c>
      <c r="O684">
        <f t="shared" si="140"/>
        <v>0</v>
      </c>
      <c r="R684" t="str">
        <f>IFERROR(VLOOKUP(Q684,tbFactorMes,2,FALSE),"")</f>
        <v/>
      </c>
      <c r="S684">
        <f t="shared" si="141"/>
        <v>0</v>
      </c>
      <c r="V684" t="str">
        <f>IFERROR(VLOOKUP(U684,tbFactorMes,2,FALSE),"")</f>
        <v/>
      </c>
      <c r="W684">
        <f t="shared" si="142"/>
        <v>0</v>
      </c>
      <c r="Z684" t="str">
        <f>IFERROR(VLOOKUP(Y684,tbFactorMes,2,FALSE),"")</f>
        <v/>
      </c>
      <c r="AA684">
        <f t="shared" si="143"/>
        <v>0</v>
      </c>
      <c r="AD684" t="str">
        <f>IFERROR(VLOOKUP(AC684,tbFactorMes,2,FALSE),"")</f>
        <v/>
      </c>
      <c r="AE684">
        <f t="shared" si="144"/>
        <v>0</v>
      </c>
      <c r="AH684" t="str">
        <f>IFERROR(VLOOKUP(AG684,tbFactorMes,2,FALSE),"")</f>
        <v/>
      </c>
      <c r="AI684">
        <f t="shared" si="145"/>
        <v>0</v>
      </c>
      <c r="AL684" t="str">
        <f>IFERROR(VLOOKUP(AK684,tbFactorMes,2,FALSE),"")</f>
        <v/>
      </c>
      <c r="AM684">
        <f t="shared" si="146"/>
        <v>0</v>
      </c>
      <c r="AP684" t="str">
        <f>IFERROR(VLOOKUP(AO684,tbFactorMes,2,FALSE),"")</f>
        <v/>
      </c>
      <c r="AQ684">
        <f t="shared" si="147"/>
        <v>0</v>
      </c>
      <c r="AT684" t="str">
        <f>IFERROR(VLOOKUP(AS684,tbFactorMes,2,FALSE),"")</f>
        <v/>
      </c>
      <c r="AU684">
        <f t="shared" si="148"/>
        <v>0</v>
      </c>
      <c r="AX684" t="str">
        <f>IFERROR(VLOOKUP(AW684,tbFactorMes,2,FALSE),"")</f>
        <v/>
      </c>
      <c r="AY684">
        <f t="shared" si="149"/>
        <v>0</v>
      </c>
      <c r="BB684" t="str">
        <f>IFERROR(VLOOKUP(BA684,tbFactorMes,2,FALSE),"")</f>
        <v/>
      </c>
      <c r="BC684">
        <f t="shared" si="150"/>
        <v>0</v>
      </c>
      <c r="BF684" t="str">
        <f>IFERROR(VLOOKUP(BE684,tbFactorMes,2,FALSE),"")</f>
        <v/>
      </c>
      <c r="BG684">
        <f t="shared" si="151"/>
        <v>0</v>
      </c>
      <c r="BH684">
        <f t="shared" si="152"/>
        <v>0</v>
      </c>
      <c r="BI684">
        <f t="shared" si="153"/>
        <v>0</v>
      </c>
    </row>
    <row r="685" spans="11:61" x14ac:dyDescent="0.35">
      <c r="K685" t="str">
        <f>IFERROR(VLOOKUP(F685,tbTurnos,3,FALSE),"")</f>
        <v/>
      </c>
      <c r="N685" t="str">
        <f>IFERROR(VLOOKUP(M685,tbFactorMes,2,FALSE),"")</f>
        <v/>
      </c>
      <c r="O685">
        <f t="shared" si="140"/>
        <v>0</v>
      </c>
      <c r="R685" t="str">
        <f>IFERROR(VLOOKUP(Q685,tbFactorMes,2,FALSE),"")</f>
        <v/>
      </c>
      <c r="S685">
        <f t="shared" si="141"/>
        <v>0</v>
      </c>
      <c r="V685" t="str">
        <f>IFERROR(VLOOKUP(U685,tbFactorMes,2,FALSE),"")</f>
        <v/>
      </c>
      <c r="W685">
        <f t="shared" si="142"/>
        <v>0</v>
      </c>
      <c r="Z685" t="str">
        <f>IFERROR(VLOOKUP(Y685,tbFactorMes,2,FALSE),"")</f>
        <v/>
      </c>
      <c r="AA685">
        <f t="shared" si="143"/>
        <v>0</v>
      </c>
      <c r="AD685" t="str">
        <f>IFERROR(VLOOKUP(AC685,tbFactorMes,2,FALSE),"")</f>
        <v/>
      </c>
      <c r="AE685">
        <f t="shared" si="144"/>
        <v>0</v>
      </c>
      <c r="AH685" t="str">
        <f>IFERROR(VLOOKUP(AG685,tbFactorMes,2,FALSE),"")</f>
        <v/>
      </c>
      <c r="AI685">
        <f t="shared" si="145"/>
        <v>0</v>
      </c>
      <c r="AL685" t="str">
        <f>IFERROR(VLOOKUP(AK685,tbFactorMes,2,FALSE),"")</f>
        <v/>
      </c>
      <c r="AM685">
        <f t="shared" si="146"/>
        <v>0</v>
      </c>
      <c r="AP685" t="str">
        <f>IFERROR(VLOOKUP(AO685,tbFactorMes,2,FALSE),"")</f>
        <v/>
      </c>
      <c r="AQ685">
        <f t="shared" si="147"/>
        <v>0</v>
      </c>
      <c r="AT685" t="str">
        <f>IFERROR(VLOOKUP(AS685,tbFactorMes,2,FALSE),"")</f>
        <v/>
      </c>
      <c r="AU685">
        <f t="shared" si="148"/>
        <v>0</v>
      </c>
      <c r="AX685" t="str">
        <f>IFERROR(VLOOKUP(AW685,tbFactorMes,2,FALSE),"")</f>
        <v/>
      </c>
      <c r="AY685">
        <f t="shared" si="149"/>
        <v>0</v>
      </c>
      <c r="BB685" t="str">
        <f>IFERROR(VLOOKUP(BA685,tbFactorMes,2,FALSE),"")</f>
        <v/>
      </c>
      <c r="BC685">
        <f t="shared" si="150"/>
        <v>0</v>
      </c>
      <c r="BF685" t="str">
        <f>IFERROR(VLOOKUP(BE685,tbFactorMes,2,FALSE),"")</f>
        <v/>
      </c>
      <c r="BG685">
        <f t="shared" si="151"/>
        <v>0</v>
      </c>
      <c r="BH685">
        <f t="shared" si="152"/>
        <v>0</v>
      </c>
      <c r="BI685">
        <f t="shared" si="153"/>
        <v>0</v>
      </c>
    </row>
    <row r="686" spans="11:61" x14ac:dyDescent="0.35">
      <c r="K686" t="str">
        <f>IFERROR(VLOOKUP(F686,tbTurnos,3,FALSE),"")</f>
        <v/>
      </c>
      <c r="N686" t="str">
        <f>IFERROR(VLOOKUP(M686,tbFactorMes,2,FALSE),"")</f>
        <v/>
      </c>
      <c r="O686">
        <f t="shared" si="140"/>
        <v>0</v>
      </c>
      <c r="R686" t="str">
        <f>IFERROR(VLOOKUP(Q686,tbFactorMes,2,FALSE),"")</f>
        <v/>
      </c>
      <c r="S686">
        <f t="shared" si="141"/>
        <v>0</v>
      </c>
      <c r="V686" t="str">
        <f>IFERROR(VLOOKUP(U686,tbFactorMes,2,FALSE),"")</f>
        <v/>
      </c>
      <c r="W686">
        <f t="shared" si="142"/>
        <v>0</v>
      </c>
      <c r="Z686" t="str">
        <f>IFERROR(VLOOKUP(Y686,tbFactorMes,2,FALSE),"")</f>
        <v/>
      </c>
      <c r="AA686">
        <f t="shared" si="143"/>
        <v>0</v>
      </c>
      <c r="AD686" t="str">
        <f>IFERROR(VLOOKUP(AC686,tbFactorMes,2,FALSE),"")</f>
        <v/>
      </c>
      <c r="AE686">
        <f t="shared" si="144"/>
        <v>0</v>
      </c>
      <c r="AH686" t="str">
        <f>IFERROR(VLOOKUP(AG686,tbFactorMes,2,FALSE),"")</f>
        <v/>
      </c>
      <c r="AI686">
        <f t="shared" si="145"/>
        <v>0</v>
      </c>
      <c r="AL686" t="str">
        <f>IFERROR(VLOOKUP(AK686,tbFactorMes,2,FALSE),"")</f>
        <v/>
      </c>
      <c r="AM686">
        <f t="shared" si="146"/>
        <v>0</v>
      </c>
      <c r="AP686" t="str">
        <f>IFERROR(VLOOKUP(AO686,tbFactorMes,2,FALSE),"")</f>
        <v/>
      </c>
      <c r="AQ686">
        <f t="shared" si="147"/>
        <v>0</v>
      </c>
      <c r="AT686" t="str">
        <f>IFERROR(VLOOKUP(AS686,tbFactorMes,2,FALSE),"")</f>
        <v/>
      </c>
      <c r="AU686">
        <f t="shared" si="148"/>
        <v>0</v>
      </c>
      <c r="AX686" t="str">
        <f>IFERROR(VLOOKUP(AW686,tbFactorMes,2,FALSE),"")</f>
        <v/>
      </c>
      <c r="AY686">
        <f t="shared" si="149"/>
        <v>0</v>
      </c>
      <c r="BB686" t="str">
        <f>IFERROR(VLOOKUP(BA686,tbFactorMes,2,FALSE),"")</f>
        <v/>
      </c>
      <c r="BC686">
        <f t="shared" si="150"/>
        <v>0</v>
      </c>
      <c r="BF686" t="str">
        <f>IFERROR(VLOOKUP(BE686,tbFactorMes,2,FALSE),"")</f>
        <v/>
      </c>
      <c r="BG686">
        <f t="shared" si="151"/>
        <v>0</v>
      </c>
      <c r="BH686">
        <f t="shared" si="152"/>
        <v>0</v>
      </c>
      <c r="BI686">
        <f t="shared" si="153"/>
        <v>0</v>
      </c>
    </row>
    <row r="687" spans="11:61" x14ac:dyDescent="0.35">
      <c r="K687" t="str">
        <f>IFERROR(VLOOKUP(F687,tbTurnos,3,FALSE),"")</f>
        <v/>
      </c>
      <c r="N687" t="str">
        <f>IFERROR(VLOOKUP(M687,tbFactorMes,2,FALSE),"")</f>
        <v/>
      </c>
      <c r="O687">
        <f t="shared" si="140"/>
        <v>0</v>
      </c>
      <c r="R687" t="str">
        <f>IFERROR(VLOOKUP(Q687,tbFactorMes,2,FALSE),"")</f>
        <v/>
      </c>
      <c r="S687">
        <f t="shared" si="141"/>
        <v>0</v>
      </c>
      <c r="V687" t="str">
        <f>IFERROR(VLOOKUP(U687,tbFactorMes,2,FALSE),"")</f>
        <v/>
      </c>
      <c r="W687">
        <f t="shared" si="142"/>
        <v>0</v>
      </c>
      <c r="Z687" t="str">
        <f>IFERROR(VLOOKUP(Y687,tbFactorMes,2,FALSE),"")</f>
        <v/>
      </c>
      <c r="AA687">
        <f t="shared" si="143"/>
        <v>0</v>
      </c>
      <c r="AD687" t="str">
        <f>IFERROR(VLOOKUP(AC687,tbFactorMes,2,FALSE),"")</f>
        <v/>
      </c>
      <c r="AE687">
        <f t="shared" si="144"/>
        <v>0</v>
      </c>
      <c r="AH687" t="str">
        <f>IFERROR(VLOOKUP(AG687,tbFactorMes,2,FALSE),"")</f>
        <v/>
      </c>
      <c r="AI687">
        <f t="shared" si="145"/>
        <v>0</v>
      </c>
      <c r="AL687" t="str">
        <f>IFERROR(VLOOKUP(AK687,tbFactorMes,2,FALSE),"")</f>
        <v/>
      </c>
      <c r="AM687">
        <f t="shared" si="146"/>
        <v>0</v>
      </c>
      <c r="AP687" t="str">
        <f>IFERROR(VLOOKUP(AO687,tbFactorMes,2,FALSE),"")</f>
        <v/>
      </c>
      <c r="AQ687">
        <f t="shared" si="147"/>
        <v>0</v>
      </c>
      <c r="AT687" t="str">
        <f>IFERROR(VLOOKUP(AS687,tbFactorMes,2,FALSE),"")</f>
        <v/>
      </c>
      <c r="AU687">
        <f t="shared" si="148"/>
        <v>0</v>
      </c>
      <c r="AX687" t="str">
        <f>IFERROR(VLOOKUP(AW687,tbFactorMes,2,FALSE),"")</f>
        <v/>
      </c>
      <c r="AY687">
        <f t="shared" si="149"/>
        <v>0</v>
      </c>
      <c r="BB687" t="str">
        <f>IFERROR(VLOOKUP(BA687,tbFactorMes,2,FALSE),"")</f>
        <v/>
      </c>
      <c r="BC687">
        <f t="shared" si="150"/>
        <v>0</v>
      </c>
      <c r="BF687" t="str">
        <f>IFERROR(VLOOKUP(BE687,tbFactorMes,2,FALSE),"")</f>
        <v/>
      </c>
      <c r="BG687">
        <f t="shared" si="151"/>
        <v>0</v>
      </c>
      <c r="BH687">
        <f t="shared" si="152"/>
        <v>0</v>
      </c>
      <c r="BI687">
        <f t="shared" si="153"/>
        <v>0</v>
      </c>
    </row>
    <row r="688" spans="11:61" x14ac:dyDescent="0.35">
      <c r="K688" t="str">
        <f>IFERROR(VLOOKUP(F688,tbTurnos,3,FALSE),"")</f>
        <v/>
      </c>
      <c r="N688" t="str">
        <f>IFERROR(VLOOKUP(M688,tbFactorMes,2,FALSE),"")</f>
        <v/>
      </c>
      <c r="O688">
        <f t="shared" si="140"/>
        <v>0</v>
      </c>
      <c r="R688" t="str">
        <f>IFERROR(VLOOKUP(Q688,tbFactorMes,2,FALSE),"")</f>
        <v/>
      </c>
      <c r="S688">
        <f t="shared" si="141"/>
        <v>0</v>
      </c>
      <c r="V688" t="str">
        <f>IFERROR(VLOOKUP(U688,tbFactorMes,2,FALSE),"")</f>
        <v/>
      </c>
      <c r="W688">
        <f t="shared" si="142"/>
        <v>0</v>
      </c>
      <c r="Z688" t="str">
        <f>IFERROR(VLOOKUP(Y688,tbFactorMes,2,FALSE),"")</f>
        <v/>
      </c>
      <c r="AA688">
        <f t="shared" si="143"/>
        <v>0</v>
      </c>
      <c r="AD688" t="str">
        <f>IFERROR(VLOOKUP(AC688,tbFactorMes,2,FALSE),"")</f>
        <v/>
      </c>
      <c r="AE688">
        <f t="shared" si="144"/>
        <v>0</v>
      </c>
      <c r="AH688" t="str">
        <f>IFERROR(VLOOKUP(AG688,tbFactorMes,2,FALSE),"")</f>
        <v/>
      </c>
      <c r="AI688">
        <f t="shared" si="145"/>
        <v>0</v>
      </c>
      <c r="AL688" t="str">
        <f>IFERROR(VLOOKUP(AK688,tbFactorMes,2,FALSE),"")</f>
        <v/>
      </c>
      <c r="AM688">
        <f t="shared" si="146"/>
        <v>0</v>
      </c>
      <c r="AP688" t="str">
        <f>IFERROR(VLOOKUP(AO688,tbFactorMes,2,FALSE),"")</f>
        <v/>
      </c>
      <c r="AQ688">
        <f t="shared" si="147"/>
        <v>0</v>
      </c>
      <c r="AT688" t="str">
        <f>IFERROR(VLOOKUP(AS688,tbFactorMes,2,FALSE),"")</f>
        <v/>
      </c>
      <c r="AU688">
        <f t="shared" si="148"/>
        <v>0</v>
      </c>
      <c r="AX688" t="str">
        <f>IFERROR(VLOOKUP(AW688,tbFactorMes,2,FALSE),"")</f>
        <v/>
      </c>
      <c r="AY688">
        <f t="shared" si="149"/>
        <v>0</v>
      </c>
      <c r="BB688" t="str">
        <f>IFERROR(VLOOKUP(BA688,tbFactorMes,2,FALSE),"")</f>
        <v/>
      </c>
      <c r="BC688">
        <f t="shared" si="150"/>
        <v>0</v>
      </c>
      <c r="BF688" t="str">
        <f>IFERROR(VLOOKUP(BE688,tbFactorMes,2,FALSE),"")</f>
        <v/>
      </c>
      <c r="BG688">
        <f t="shared" si="151"/>
        <v>0</v>
      </c>
      <c r="BH688">
        <f t="shared" si="152"/>
        <v>0</v>
      </c>
      <c r="BI688">
        <f t="shared" si="153"/>
        <v>0</v>
      </c>
    </row>
    <row r="689" spans="11:61" x14ac:dyDescent="0.35">
      <c r="K689" t="str">
        <f>IFERROR(VLOOKUP(F689,tbTurnos,3,FALSE),"")</f>
        <v/>
      </c>
      <c r="N689" t="str">
        <f>IFERROR(VLOOKUP(M689,tbFactorMes,2,FALSE),"")</f>
        <v/>
      </c>
      <c r="O689">
        <f t="shared" si="140"/>
        <v>0</v>
      </c>
      <c r="R689" t="str">
        <f>IFERROR(VLOOKUP(Q689,tbFactorMes,2,FALSE),"")</f>
        <v/>
      </c>
      <c r="S689">
        <f t="shared" si="141"/>
        <v>0</v>
      </c>
      <c r="V689" t="str">
        <f>IFERROR(VLOOKUP(U689,tbFactorMes,2,FALSE),"")</f>
        <v/>
      </c>
      <c r="W689">
        <f t="shared" si="142"/>
        <v>0</v>
      </c>
      <c r="Z689" t="str">
        <f>IFERROR(VLOOKUP(Y689,tbFactorMes,2,FALSE),"")</f>
        <v/>
      </c>
      <c r="AA689">
        <f t="shared" si="143"/>
        <v>0</v>
      </c>
      <c r="AD689" t="str">
        <f>IFERROR(VLOOKUP(AC689,tbFactorMes,2,FALSE),"")</f>
        <v/>
      </c>
      <c r="AE689">
        <f t="shared" si="144"/>
        <v>0</v>
      </c>
      <c r="AH689" t="str">
        <f>IFERROR(VLOOKUP(AG689,tbFactorMes,2,FALSE),"")</f>
        <v/>
      </c>
      <c r="AI689">
        <f t="shared" si="145"/>
        <v>0</v>
      </c>
      <c r="AL689" t="str">
        <f>IFERROR(VLOOKUP(AK689,tbFactorMes,2,FALSE),"")</f>
        <v/>
      </c>
      <c r="AM689">
        <f t="shared" si="146"/>
        <v>0</v>
      </c>
      <c r="AP689" t="str">
        <f>IFERROR(VLOOKUP(AO689,tbFactorMes,2,FALSE),"")</f>
        <v/>
      </c>
      <c r="AQ689">
        <f t="shared" si="147"/>
        <v>0</v>
      </c>
      <c r="AT689" t="str">
        <f>IFERROR(VLOOKUP(AS689,tbFactorMes,2,FALSE),"")</f>
        <v/>
      </c>
      <c r="AU689">
        <f t="shared" si="148"/>
        <v>0</v>
      </c>
      <c r="AX689" t="str">
        <f>IFERROR(VLOOKUP(AW689,tbFactorMes,2,FALSE),"")</f>
        <v/>
      </c>
      <c r="AY689">
        <f t="shared" si="149"/>
        <v>0</v>
      </c>
      <c r="BB689" t="str">
        <f>IFERROR(VLOOKUP(BA689,tbFactorMes,2,FALSE),"")</f>
        <v/>
      </c>
      <c r="BC689">
        <f t="shared" si="150"/>
        <v>0</v>
      </c>
      <c r="BF689" t="str">
        <f>IFERROR(VLOOKUP(BE689,tbFactorMes,2,FALSE),"")</f>
        <v/>
      </c>
      <c r="BG689">
        <f t="shared" si="151"/>
        <v>0</v>
      </c>
      <c r="BH689">
        <f t="shared" si="152"/>
        <v>0</v>
      </c>
      <c r="BI689">
        <f t="shared" si="153"/>
        <v>0</v>
      </c>
    </row>
    <row r="690" spans="11:61" x14ac:dyDescent="0.35">
      <c r="K690" t="str">
        <f>IFERROR(VLOOKUP(F690,tbTurnos,3,FALSE),"")</f>
        <v/>
      </c>
      <c r="N690" t="str">
        <f>IFERROR(VLOOKUP(M690,tbFactorMes,2,FALSE),"")</f>
        <v/>
      </c>
      <c r="O690">
        <f t="shared" si="140"/>
        <v>0</v>
      </c>
      <c r="R690" t="str">
        <f>IFERROR(VLOOKUP(Q690,tbFactorMes,2,FALSE),"")</f>
        <v/>
      </c>
      <c r="S690">
        <f t="shared" si="141"/>
        <v>0</v>
      </c>
      <c r="V690" t="str">
        <f>IFERROR(VLOOKUP(U690,tbFactorMes,2,FALSE),"")</f>
        <v/>
      </c>
      <c r="W690">
        <f t="shared" si="142"/>
        <v>0</v>
      </c>
      <c r="Z690" t="str">
        <f>IFERROR(VLOOKUP(Y690,tbFactorMes,2,FALSE),"")</f>
        <v/>
      </c>
      <c r="AA690">
        <f t="shared" si="143"/>
        <v>0</v>
      </c>
      <c r="AD690" t="str">
        <f>IFERROR(VLOOKUP(AC690,tbFactorMes,2,FALSE),"")</f>
        <v/>
      </c>
      <c r="AE690">
        <f t="shared" si="144"/>
        <v>0</v>
      </c>
      <c r="AH690" t="str">
        <f>IFERROR(VLOOKUP(AG690,tbFactorMes,2,FALSE),"")</f>
        <v/>
      </c>
      <c r="AI690">
        <f t="shared" si="145"/>
        <v>0</v>
      </c>
      <c r="AL690" t="str">
        <f>IFERROR(VLOOKUP(AK690,tbFactorMes,2,FALSE),"")</f>
        <v/>
      </c>
      <c r="AM690">
        <f t="shared" si="146"/>
        <v>0</v>
      </c>
      <c r="AP690" t="str">
        <f>IFERROR(VLOOKUP(AO690,tbFactorMes,2,FALSE),"")</f>
        <v/>
      </c>
      <c r="AQ690">
        <f t="shared" si="147"/>
        <v>0</v>
      </c>
      <c r="AT690" t="str">
        <f>IFERROR(VLOOKUP(AS690,tbFactorMes,2,FALSE),"")</f>
        <v/>
      </c>
      <c r="AU690">
        <f t="shared" si="148"/>
        <v>0</v>
      </c>
      <c r="AX690" t="str">
        <f>IFERROR(VLOOKUP(AW690,tbFactorMes,2,FALSE),"")</f>
        <v/>
      </c>
      <c r="AY690">
        <f t="shared" si="149"/>
        <v>0</v>
      </c>
      <c r="BB690" t="str">
        <f>IFERROR(VLOOKUP(BA690,tbFactorMes,2,FALSE),"")</f>
        <v/>
      </c>
      <c r="BC690">
        <f t="shared" si="150"/>
        <v>0</v>
      </c>
      <c r="BF690" t="str">
        <f>IFERROR(VLOOKUP(BE690,tbFactorMes,2,FALSE),"")</f>
        <v/>
      </c>
      <c r="BG690">
        <f t="shared" si="151"/>
        <v>0</v>
      </c>
      <c r="BH690">
        <f t="shared" si="152"/>
        <v>0</v>
      </c>
      <c r="BI690">
        <f t="shared" si="153"/>
        <v>0</v>
      </c>
    </row>
    <row r="691" spans="11:61" x14ac:dyDescent="0.35">
      <c r="K691" t="str">
        <f>IFERROR(VLOOKUP(F691,tbTurnos,3,FALSE),"")</f>
        <v/>
      </c>
      <c r="N691" t="str">
        <f>IFERROR(VLOOKUP(M691,tbFactorMes,2,FALSE),"")</f>
        <v/>
      </c>
      <c r="O691">
        <f t="shared" si="140"/>
        <v>0</v>
      </c>
      <c r="R691" t="str">
        <f>IFERROR(VLOOKUP(Q691,tbFactorMes,2,FALSE),"")</f>
        <v/>
      </c>
      <c r="S691">
        <f t="shared" si="141"/>
        <v>0</v>
      </c>
      <c r="V691" t="str">
        <f>IFERROR(VLOOKUP(U691,tbFactorMes,2,FALSE),"")</f>
        <v/>
      </c>
      <c r="W691">
        <f t="shared" si="142"/>
        <v>0</v>
      </c>
      <c r="Z691" t="str">
        <f>IFERROR(VLOOKUP(Y691,tbFactorMes,2,FALSE),"")</f>
        <v/>
      </c>
      <c r="AA691">
        <f t="shared" si="143"/>
        <v>0</v>
      </c>
      <c r="AD691" t="str">
        <f>IFERROR(VLOOKUP(AC691,tbFactorMes,2,FALSE),"")</f>
        <v/>
      </c>
      <c r="AE691">
        <f t="shared" si="144"/>
        <v>0</v>
      </c>
      <c r="AH691" t="str">
        <f>IFERROR(VLOOKUP(AG691,tbFactorMes,2,FALSE),"")</f>
        <v/>
      </c>
      <c r="AI691">
        <f t="shared" si="145"/>
        <v>0</v>
      </c>
      <c r="AL691" t="str">
        <f>IFERROR(VLOOKUP(AK691,tbFactorMes,2,FALSE),"")</f>
        <v/>
      </c>
      <c r="AM691">
        <f t="shared" si="146"/>
        <v>0</v>
      </c>
      <c r="AP691" t="str">
        <f>IFERROR(VLOOKUP(AO691,tbFactorMes,2,FALSE),"")</f>
        <v/>
      </c>
      <c r="AQ691">
        <f t="shared" si="147"/>
        <v>0</v>
      </c>
      <c r="AT691" t="str">
        <f>IFERROR(VLOOKUP(AS691,tbFactorMes,2,FALSE),"")</f>
        <v/>
      </c>
      <c r="AU691">
        <f t="shared" si="148"/>
        <v>0</v>
      </c>
      <c r="AX691" t="str">
        <f>IFERROR(VLOOKUP(AW691,tbFactorMes,2,FALSE),"")</f>
        <v/>
      </c>
      <c r="AY691">
        <f t="shared" si="149"/>
        <v>0</v>
      </c>
      <c r="BB691" t="str">
        <f>IFERROR(VLOOKUP(BA691,tbFactorMes,2,FALSE),"")</f>
        <v/>
      </c>
      <c r="BC691">
        <f t="shared" si="150"/>
        <v>0</v>
      </c>
      <c r="BF691" t="str">
        <f>IFERROR(VLOOKUP(BE691,tbFactorMes,2,FALSE),"")</f>
        <v/>
      </c>
      <c r="BG691">
        <f t="shared" si="151"/>
        <v>0</v>
      </c>
      <c r="BH691">
        <f t="shared" si="152"/>
        <v>0</v>
      </c>
      <c r="BI691">
        <f t="shared" si="153"/>
        <v>0</v>
      </c>
    </row>
    <row r="692" spans="11:61" x14ac:dyDescent="0.35">
      <c r="K692" t="str">
        <f>IFERROR(VLOOKUP(F692,tbTurnos,3,FALSE),"")</f>
        <v/>
      </c>
      <c r="N692" t="str">
        <f>IFERROR(VLOOKUP(M692,tbFactorMes,2,FALSE),"")</f>
        <v/>
      </c>
      <c r="O692">
        <f t="shared" si="140"/>
        <v>0</v>
      </c>
      <c r="R692" t="str">
        <f>IFERROR(VLOOKUP(Q692,tbFactorMes,2,FALSE),"")</f>
        <v/>
      </c>
      <c r="S692">
        <f t="shared" si="141"/>
        <v>0</v>
      </c>
      <c r="V692" t="str">
        <f>IFERROR(VLOOKUP(U692,tbFactorMes,2,FALSE),"")</f>
        <v/>
      </c>
      <c r="W692">
        <f t="shared" si="142"/>
        <v>0</v>
      </c>
      <c r="Z692" t="str">
        <f>IFERROR(VLOOKUP(Y692,tbFactorMes,2,FALSE),"")</f>
        <v/>
      </c>
      <c r="AA692">
        <f t="shared" si="143"/>
        <v>0</v>
      </c>
      <c r="AD692" t="str">
        <f>IFERROR(VLOOKUP(AC692,tbFactorMes,2,FALSE),"")</f>
        <v/>
      </c>
      <c r="AE692">
        <f t="shared" si="144"/>
        <v>0</v>
      </c>
      <c r="AH692" t="str">
        <f>IFERROR(VLOOKUP(AG692,tbFactorMes,2,FALSE),"")</f>
        <v/>
      </c>
      <c r="AI692">
        <f t="shared" si="145"/>
        <v>0</v>
      </c>
      <c r="AL692" t="str">
        <f>IFERROR(VLOOKUP(AK692,tbFactorMes,2,FALSE),"")</f>
        <v/>
      </c>
      <c r="AM692">
        <f t="shared" si="146"/>
        <v>0</v>
      </c>
      <c r="AP692" t="str">
        <f>IFERROR(VLOOKUP(AO692,tbFactorMes,2,FALSE),"")</f>
        <v/>
      </c>
      <c r="AQ692">
        <f t="shared" si="147"/>
        <v>0</v>
      </c>
      <c r="AT692" t="str">
        <f>IFERROR(VLOOKUP(AS692,tbFactorMes,2,FALSE),"")</f>
        <v/>
      </c>
      <c r="AU692">
        <f t="shared" si="148"/>
        <v>0</v>
      </c>
      <c r="AX692" t="str">
        <f>IFERROR(VLOOKUP(AW692,tbFactorMes,2,FALSE),"")</f>
        <v/>
      </c>
      <c r="AY692">
        <f t="shared" si="149"/>
        <v>0</v>
      </c>
      <c r="BB692" t="str">
        <f>IFERROR(VLOOKUP(BA692,tbFactorMes,2,FALSE),"")</f>
        <v/>
      </c>
      <c r="BC692">
        <f t="shared" si="150"/>
        <v>0</v>
      </c>
      <c r="BF692" t="str">
        <f>IFERROR(VLOOKUP(BE692,tbFactorMes,2,FALSE),"")</f>
        <v/>
      </c>
      <c r="BG692">
        <f t="shared" si="151"/>
        <v>0</v>
      </c>
      <c r="BH692">
        <f t="shared" si="152"/>
        <v>0</v>
      </c>
      <c r="BI692">
        <f t="shared" si="153"/>
        <v>0</v>
      </c>
    </row>
    <row r="693" spans="11:61" x14ac:dyDescent="0.35">
      <c r="K693" t="str">
        <f>IFERROR(VLOOKUP(F693,tbTurnos,3,FALSE),"")</f>
        <v/>
      </c>
      <c r="N693" t="str">
        <f>IFERROR(VLOOKUP(M693,tbFactorMes,2,FALSE),"")</f>
        <v/>
      </c>
      <c r="O693">
        <f t="shared" si="140"/>
        <v>0</v>
      </c>
      <c r="R693" t="str">
        <f>IFERROR(VLOOKUP(Q693,tbFactorMes,2,FALSE),"")</f>
        <v/>
      </c>
      <c r="S693">
        <f t="shared" si="141"/>
        <v>0</v>
      </c>
      <c r="V693" t="str">
        <f>IFERROR(VLOOKUP(U693,tbFactorMes,2,FALSE),"")</f>
        <v/>
      </c>
      <c r="W693">
        <f t="shared" si="142"/>
        <v>0</v>
      </c>
      <c r="Z693" t="str">
        <f>IFERROR(VLOOKUP(Y693,tbFactorMes,2,FALSE),"")</f>
        <v/>
      </c>
      <c r="AA693">
        <f t="shared" si="143"/>
        <v>0</v>
      </c>
      <c r="AD693" t="str">
        <f>IFERROR(VLOOKUP(AC693,tbFactorMes,2,FALSE),"")</f>
        <v/>
      </c>
      <c r="AE693">
        <f t="shared" si="144"/>
        <v>0</v>
      </c>
      <c r="AH693" t="str">
        <f>IFERROR(VLOOKUP(AG693,tbFactorMes,2,FALSE),"")</f>
        <v/>
      </c>
      <c r="AI693">
        <f t="shared" si="145"/>
        <v>0</v>
      </c>
      <c r="AL693" t="str">
        <f>IFERROR(VLOOKUP(AK693,tbFactorMes,2,FALSE),"")</f>
        <v/>
      </c>
      <c r="AM693">
        <f t="shared" si="146"/>
        <v>0</v>
      </c>
      <c r="AP693" t="str">
        <f>IFERROR(VLOOKUP(AO693,tbFactorMes,2,FALSE),"")</f>
        <v/>
      </c>
      <c r="AQ693">
        <f t="shared" si="147"/>
        <v>0</v>
      </c>
      <c r="AT693" t="str">
        <f>IFERROR(VLOOKUP(AS693,tbFactorMes,2,FALSE),"")</f>
        <v/>
      </c>
      <c r="AU693">
        <f t="shared" si="148"/>
        <v>0</v>
      </c>
      <c r="AX693" t="str">
        <f>IFERROR(VLOOKUP(AW693,tbFactorMes,2,FALSE),"")</f>
        <v/>
      </c>
      <c r="AY693">
        <f t="shared" si="149"/>
        <v>0</v>
      </c>
      <c r="BB693" t="str">
        <f>IFERROR(VLOOKUP(BA693,tbFactorMes,2,FALSE),"")</f>
        <v/>
      </c>
      <c r="BC693">
        <f t="shared" si="150"/>
        <v>0</v>
      </c>
      <c r="BF693" t="str">
        <f>IFERROR(VLOOKUP(BE693,tbFactorMes,2,FALSE),"")</f>
        <v/>
      </c>
      <c r="BG693">
        <f t="shared" si="151"/>
        <v>0</v>
      </c>
      <c r="BH693">
        <f t="shared" si="152"/>
        <v>0</v>
      </c>
      <c r="BI693">
        <f t="shared" si="153"/>
        <v>0</v>
      </c>
    </row>
    <row r="694" spans="11:61" x14ac:dyDescent="0.35">
      <c r="K694" t="str">
        <f>IFERROR(VLOOKUP(F694,tbTurnos,3,FALSE),"")</f>
        <v/>
      </c>
      <c r="N694" t="str">
        <f>IFERROR(VLOOKUP(M694,tbFactorMes,2,FALSE),"")</f>
        <v/>
      </c>
      <c r="O694">
        <f t="shared" si="140"/>
        <v>0</v>
      </c>
      <c r="R694" t="str">
        <f>IFERROR(VLOOKUP(Q694,tbFactorMes,2,FALSE),"")</f>
        <v/>
      </c>
      <c r="S694">
        <f t="shared" si="141"/>
        <v>0</v>
      </c>
      <c r="V694" t="str">
        <f>IFERROR(VLOOKUP(U694,tbFactorMes,2,FALSE),"")</f>
        <v/>
      </c>
      <c r="W694">
        <f t="shared" si="142"/>
        <v>0</v>
      </c>
      <c r="Z694" t="str">
        <f>IFERROR(VLOOKUP(Y694,tbFactorMes,2,FALSE),"")</f>
        <v/>
      </c>
      <c r="AA694">
        <f t="shared" si="143"/>
        <v>0</v>
      </c>
      <c r="AD694" t="str">
        <f>IFERROR(VLOOKUP(AC694,tbFactorMes,2,FALSE),"")</f>
        <v/>
      </c>
      <c r="AE694">
        <f t="shared" si="144"/>
        <v>0</v>
      </c>
      <c r="AH694" t="str">
        <f>IFERROR(VLOOKUP(AG694,tbFactorMes,2,FALSE),"")</f>
        <v/>
      </c>
      <c r="AI694">
        <f t="shared" si="145"/>
        <v>0</v>
      </c>
      <c r="AL694" t="str">
        <f>IFERROR(VLOOKUP(AK694,tbFactorMes,2,FALSE),"")</f>
        <v/>
      </c>
      <c r="AM694">
        <f t="shared" si="146"/>
        <v>0</v>
      </c>
      <c r="AP694" t="str">
        <f>IFERROR(VLOOKUP(AO694,tbFactorMes,2,FALSE),"")</f>
        <v/>
      </c>
      <c r="AQ694">
        <f t="shared" si="147"/>
        <v>0</v>
      </c>
      <c r="AT694" t="str">
        <f>IFERROR(VLOOKUP(AS694,tbFactorMes,2,FALSE),"")</f>
        <v/>
      </c>
      <c r="AU694">
        <f t="shared" si="148"/>
        <v>0</v>
      </c>
      <c r="AX694" t="str">
        <f>IFERROR(VLOOKUP(AW694,tbFactorMes,2,FALSE),"")</f>
        <v/>
      </c>
      <c r="AY694">
        <f t="shared" si="149"/>
        <v>0</v>
      </c>
      <c r="BB694" t="str">
        <f>IFERROR(VLOOKUP(BA694,tbFactorMes,2,FALSE),"")</f>
        <v/>
      </c>
      <c r="BC694">
        <f t="shared" si="150"/>
        <v>0</v>
      </c>
      <c r="BF694" t="str">
        <f>IFERROR(VLOOKUP(BE694,tbFactorMes,2,FALSE),"")</f>
        <v/>
      </c>
      <c r="BG694">
        <f t="shared" si="151"/>
        <v>0</v>
      </c>
      <c r="BH694">
        <f t="shared" si="152"/>
        <v>0</v>
      </c>
      <c r="BI694">
        <f t="shared" si="153"/>
        <v>0</v>
      </c>
    </row>
    <row r="695" spans="11:61" x14ac:dyDescent="0.35">
      <c r="K695" t="str">
        <f>IFERROR(VLOOKUP(F695,tbTurnos,3,FALSE),"")</f>
        <v/>
      </c>
      <c r="N695" t="str">
        <f>IFERROR(VLOOKUP(M695,tbFactorMes,2,FALSE),"")</f>
        <v/>
      </c>
      <c r="O695">
        <f t="shared" si="140"/>
        <v>0</v>
      </c>
      <c r="R695" t="str">
        <f>IFERROR(VLOOKUP(Q695,tbFactorMes,2,FALSE),"")</f>
        <v/>
      </c>
      <c r="S695">
        <f t="shared" si="141"/>
        <v>0</v>
      </c>
      <c r="V695" t="str">
        <f>IFERROR(VLOOKUP(U695,tbFactorMes,2,FALSE),"")</f>
        <v/>
      </c>
      <c r="W695">
        <f t="shared" si="142"/>
        <v>0</v>
      </c>
      <c r="Z695" t="str">
        <f>IFERROR(VLOOKUP(Y695,tbFactorMes,2,FALSE),"")</f>
        <v/>
      </c>
      <c r="AA695">
        <f t="shared" si="143"/>
        <v>0</v>
      </c>
      <c r="AD695" t="str">
        <f>IFERROR(VLOOKUP(AC695,tbFactorMes,2,FALSE),"")</f>
        <v/>
      </c>
      <c r="AE695">
        <f t="shared" si="144"/>
        <v>0</v>
      </c>
      <c r="AH695" t="str">
        <f>IFERROR(VLOOKUP(AG695,tbFactorMes,2,FALSE),"")</f>
        <v/>
      </c>
      <c r="AI695">
        <f t="shared" si="145"/>
        <v>0</v>
      </c>
      <c r="AL695" t="str">
        <f>IFERROR(VLOOKUP(AK695,tbFactorMes,2,FALSE),"")</f>
        <v/>
      </c>
      <c r="AM695">
        <f t="shared" si="146"/>
        <v>0</v>
      </c>
      <c r="AP695" t="str">
        <f>IFERROR(VLOOKUP(AO695,tbFactorMes,2,FALSE),"")</f>
        <v/>
      </c>
      <c r="AQ695">
        <f t="shared" si="147"/>
        <v>0</v>
      </c>
      <c r="AT695" t="str">
        <f>IFERROR(VLOOKUP(AS695,tbFactorMes,2,FALSE),"")</f>
        <v/>
      </c>
      <c r="AU695">
        <f t="shared" si="148"/>
        <v>0</v>
      </c>
      <c r="AX695" t="str">
        <f>IFERROR(VLOOKUP(AW695,tbFactorMes,2,FALSE),"")</f>
        <v/>
      </c>
      <c r="AY695">
        <f t="shared" si="149"/>
        <v>0</v>
      </c>
      <c r="BB695" t="str">
        <f>IFERROR(VLOOKUP(BA695,tbFactorMes,2,FALSE),"")</f>
        <v/>
      </c>
      <c r="BC695">
        <f t="shared" si="150"/>
        <v>0</v>
      </c>
      <c r="BF695" t="str">
        <f>IFERROR(VLOOKUP(BE695,tbFactorMes,2,FALSE),"")</f>
        <v/>
      </c>
      <c r="BG695">
        <f t="shared" si="151"/>
        <v>0</v>
      </c>
      <c r="BH695">
        <f t="shared" si="152"/>
        <v>0</v>
      </c>
      <c r="BI695">
        <f t="shared" si="153"/>
        <v>0</v>
      </c>
    </row>
    <row r="696" spans="11:61" x14ac:dyDescent="0.35">
      <c r="K696" t="str">
        <f>IFERROR(VLOOKUP(F696,tbTurnos,3,FALSE),"")</f>
        <v/>
      </c>
      <c r="N696" t="str">
        <f>IFERROR(VLOOKUP(M696,tbFactorMes,2,FALSE),"")</f>
        <v/>
      </c>
      <c r="O696">
        <f t="shared" si="140"/>
        <v>0</v>
      </c>
      <c r="R696" t="str">
        <f>IFERROR(VLOOKUP(Q696,tbFactorMes,2,FALSE),"")</f>
        <v/>
      </c>
      <c r="S696">
        <f t="shared" si="141"/>
        <v>0</v>
      </c>
      <c r="V696" t="str">
        <f>IFERROR(VLOOKUP(U696,tbFactorMes,2,FALSE),"")</f>
        <v/>
      </c>
      <c r="W696">
        <f t="shared" si="142"/>
        <v>0</v>
      </c>
      <c r="Z696" t="str">
        <f>IFERROR(VLOOKUP(Y696,tbFactorMes,2,FALSE),"")</f>
        <v/>
      </c>
      <c r="AA696">
        <f t="shared" si="143"/>
        <v>0</v>
      </c>
      <c r="AD696" t="str">
        <f>IFERROR(VLOOKUP(AC696,tbFactorMes,2,FALSE),"")</f>
        <v/>
      </c>
      <c r="AE696">
        <f t="shared" si="144"/>
        <v>0</v>
      </c>
      <c r="AH696" t="str">
        <f>IFERROR(VLOOKUP(AG696,tbFactorMes,2,FALSE),"")</f>
        <v/>
      </c>
      <c r="AI696">
        <f t="shared" si="145"/>
        <v>0</v>
      </c>
      <c r="AL696" t="str">
        <f>IFERROR(VLOOKUP(AK696,tbFactorMes,2,FALSE),"")</f>
        <v/>
      </c>
      <c r="AM696">
        <f t="shared" si="146"/>
        <v>0</v>
      </c>
      <c r="AP696" t="str">
        <f>IFERROR(VLOOKUP(AO696,tbFactorMes,2,FALSE),"")</f>
        <v/>
      </c>
      <c r="AQ696">
        <f t="shared" si="147"/>
        <v>0</v>
      </c>
      <c r="AT696" t="str">
        <f>IFERROR(VLOOKUP(AS696,tbFactorMes,2,FALSE),"")</f>
        <v/>
      </c>
      <c r="AU696">
        <f t="shared" si="148"/>
        <v>0</v>
      </c>
      <c r="AX696" t="str">
        <f>IFERROR(VLOOKUP(AW696,tbFactorMes,2,FALSE),"")</f>
        <v/>
      </c>
      <c r="AY696">
        <f t="shared" si="149"/>
        <v>0</v>
      </c>
      <c r="BB696" t="str">
        <f>IFERROR(VLOOKUP(BA696,tbFactorMes,2,FALSE),"")</f>
        <v/>
      </c>
      <c r="BC696">
        <f t="shared" si="150"/>
        <v>0</v>
      </c>
      <c r="BF696" t="str">
        <f>IFERROR(VLOOKUP(BE696,tbFactorMes,2,FALSE),"")</f>
        <v/>
      </c>
      <c r="BG696">
        <f t="shared" si="151"/>
        <v>0</v>
      </c>
      <c r="BH696">
        <f t="shared" si="152"/>
        <v>0</v>
      </c>
      <c r="BI696">
        <f t="shared" si="153"/>
        <v>0</v>
      </c>
    </row>
    <row r="697" spans="11:61" x14ac:dyDescent="0.35">
      <c r="K697" t="str">
        <f>IFERROR(VLOOKUP(F697,tbTurnos,3,FALSE),"")</f>
        <v/>
      </c>
      <c r="N697" t="str">
        <f>IFERROR(VLOOKUP(M697,tbFactorMes,2,FALSE),"")</f>
        <v/>
      </c>
      <c r="O697">
        <f t="shared" si="140"/>
        <v>0</v>
      </c>
      <c r="R697" t="str">
        <f>IFERROR(VLOOKUP(Q697,tbFactorMes,2,FALSE),"")</f>
        <v/>
      </c>
      <c r="S697">
        <f t="shared" si="141"/>
        <v>0</v>
      </c>
      <c r="V697" t="str">
        <f>IFERROR(VLOOKUP(U697,tbFactorMes,2,FALSE),"")</f>
        <v/>
      </c>
      <c r="W697">
        <f t="shared" si="142"/>
        <v>0</v>
      </c>
      <c r="Z697" t="str">
        <f>IFERROR(VLOOKUP(Y697,tbFactorMes,2,FALSE),"")</f>
        <v/>
      </c>
      <c r="AA697">
        <f t="shared" si="143"/>
        <v>0</v>
      </c>
      <c r="AD697" t="str">
        <f>IFERROR(VLOOKUP(AC697,tbFactorMes,2,FALSE),"")</f>
        <v/>
      </c>
      <c r="AE697">
        <f t="shared" si="144"/>
        <v>0</v>
      </c>
      <c r="AH697" t="str">
        <f>IFERROR(VLOOKUP(AG697,tbFactorMes,2,FALSE),"")</f>
        <v/>
      </c>
      <c r="AI697">
        <f t="shared" si="145"/>
        <v>0</v>
      </c>
      <c r="AL697" t="str">
        <f>IFERROR(VLOOKUP(AK697,tbFactorMes,2,FALSE),"")</f>
        <v/>
      </c>
      <c r="AM697">
        <f t="shared" si="146"/>
        <v>0</v>
      </c>
      <c r="AP697" t="str">
        <f>IFERROR(VLOOKUP(AO697,tbFactorMes,2,FALSE),"")</f>
        <v/>
      </c>
      <c r="AQ697">
        <f t="shared" si="147"/>
        <v>0</v>
      </c>
      <c r="AT697" t="str">
        <f>IFERROR(VLOOKUP(AS697,tbFactorMes,2,FALSE),"")</f>
        <v/>
      </c>
      <c r="AU697">
        <f t="shared" si="148"/>
        <v>0</v>
      </c>
      <c r="AX697" t="str">
        <f>IFERROR(VLOOKUP(AW697,tbFactorMes,2,FALSE),"")</f>
        <v/>
      </c>
      <c r="AY697">
        <f t="shared" si="149"/>
        <v>0</v>
      </c>
      <c r="BB697" t="str">
        <f>IFERROR(VLOOKUP(BA697,tbFactorMes,2,FALSE),"")</f>
        <v/>
      </c>
      <c r="BC697">
        <f t="shared" si="150"/>
        <v>0</v>
      </c>
      <c r="BF697" t="str">
        <f>IFERROR(VLOOKUP(BE697,tbFactorMes,2,FALSE),"")</f>
        <v/>
      </c>
      <c r="BG697">
        <f t="shared" si="151"/>
        <v>0</v>
      </c>
      <c r="BH697">
        <f t="shared" si="152"/>
        <v>0</v>
      </c>
      <c r="BI697">
        <f t="shared" si="153"/>
        <v>0</v>
      </c>
    </row>
    <row r="698" spans="11:61" x14ac:dyDescent="0.35">
      <c r="K698" t="str">
        <f>IFERROR(VLOOKUP(F698,tbTurnos,3,FALSE),"")</f>
        <v/>
      </c>
      <c r="N698" t="str">
        <f>IFERROR(VLOOKUP(M698,tbFactorMes,2,FALSE),"")</f>
        <v/>
      </c>
      <c r="O698">
        <f t="shared" si="140"/>
        <v>0</v>
      </c>
      <c r="R698" t="str">
        <f>IFERROR(VLOOKUP(Q698,tbFactorMes,2,FALSE),"")</f>
        <v/>
      </c>
      <c r="S698">
        <f t="shared" si="141"/>
        <v>0</v>
      </c>
      <c r="V698" t="str">
        <f>IFERROR(VLOOKUP(U698,tbFactorMes,2,FALSE),"")</f>
        <v/>
      </c>
      <c r="W698">
        <f t="shared" si="142"/>
        <v>0</v>
      </c>
      <c r="Z698" t="str">
        <f>IFERROR(VLOOKUP(Y698,tbFactorMes,2,FALSE),"")</f>
        <v/>
      </c>
      <c r="AA698">
        <f t="shared" si="143"/>
        <v>0</v>
      </c>
      <c r="AD698" t="str">
        <f>IFERROR(VLOOKUP(AC698,tbFactorMes,2,FALSE),"")</f>
        <v/>
      </c>
      <c r="AE698">
        <f t="shared" si="144"/>
        <v>0</v>
      </c>
      <c r="AH698" t="str">
        <f>IFERROR(VLOOKUP(AG698,tbFactorMes,2,FALSE),"")</f>
        <v/>
      </c>
      <c r="AI698">
        <f t="shared" si="145"/>
        <v>0</v>
      </c>
      <c r="AL698" t="str">
        <f>IFERROR(VLOOKUP(AK698,tbFactorMes,2,FALSE),"")</f>
        <v/>
      </c>
      <c r="AM698">
        <f t="shared" si="146"/>
        <v>0</v>
      </c>
      <c r="AP698" t="str">
        <f>IFERROR(VLOOKUP(AO698,tbFactorMes,2,FALSE),"")</f>
        <v/>
      </c>
      <c r="AQ698">
        <f t="shared" si="147"/>
        <v>0</v>
      </c>
      <c r="AT698" t="str">
        <f>IFERROR(VLOOKUP(AS698,tbFactorMes,2,FALSE),"")</f>
        <v/>
      </c>
      <c r="AU698">
        <f t="shared" si="148"/>
        <v>0</v>
      </c>
      <c r="AX698" t="str">
        <f>IFERROR(VLOOKUP(AW698,tbFactorMes,2,FALSE),"")</f>
        <v/>
      </c>
      <c r="AY698">
        <f t="shared" si="149"/>
        <v>0</v>
      </c>
      <c r="BB698" t="str">
        <f>IFERROR(VLOOKUP(BA698,tbFactorMes,2,FALSE),"")</f>
        <v/>
      </c>
      <c r="BC698">
        <f t="shared" si="150"/>
        <v>0</v>
      </c>
      <c r="BF698" t="str">
        <f>IFERROR(VLOOKUP(BE698,tbFactorMes,2,FALSE),"")</f>
        <v/>
      </c>
      <c r="BG698">
        <f t="shared" si="151"/>
        <v>0</v>
      </c>
      <c r="BH698">
        <f t="shared" si="152"/>
        <v>0</v>
      </c>
      <c r="BI698">
        <f t="shared" si="153"/>
        <v>0</v>
      </c>
    </row>
    <row r="699" spans="11:61" x14ac:dyDescent="0.35">
      <c r="K699" t="str">
        <f>IFERROR(VLOOKUP(F699,tbTurnos,3,FALSE),"")</f>
        <v/>
      </c>
      <c r="N699" t="str">
        <f>IFERROR(VLOOKUP(M699,tbFactorMes,2,FALSE),"")</f>
        <v/>
      </c>
      <c r="O699">
        <f t="shared" si="140"/>
        <v>0</v>
      </c>
      <c r="R699" t="str">
        <f>IFERROR(VLOOKUP(Q699,tbFactorMes,2,FALSE),"")</f>
        <v/>
      </c>
      <c r="S699">
        <f t="shared" si="141"/>
        <v>0</v>
      </c>
      <c r="V699" t="str">
        <f>IFERROR(VLOOKUP(U699,tbFactorMes,2,FALSE),"")</f>
        <v/>
      </c>
      <c r="W699">
        <f t="shared" si="142"/>
        <v>0</v>
      </c>
      <c r="Z699" t="str">
        <f>IFERROR(VLOOKUP(Y699,tbFactorMes,2,FALSE),"")</f>
        <v/>
      </c>
      <c r="AA699">
        <f t="shared" si="143"/>
        <v>0</v>
      </c>
      <c r="AD699" t="str">
        <f>IFERROR(VLOOKUP(AC699,tbFactorMes,2,FALSE),"")</f>
        <v/>
      </c>
      <c r="AE699">
        <f t="shared" si="144"/>
        <v>0</v>
      </c>
      <c r="AH699" t="str">
        <f>IFERROR(VLOOKUP(AG699,tbFactorMes,2,FALSE),"")</f>
        <v/>
      </c>
      <c r="AI699">
        <f t="shared" si="145"/>
        <v>0</v>
      </c>
      <c r="AL699" t="str">
        <f>IFERROR(VLOOKUP(AK699,tbFactorMes,2,FALSE),"")</f>
        <v/>
      </c>
      <c r="AM699">
        <f t="shared" si="146"/>
        <v>0</v>
      </c>
      <c r="AP699" t="str">
        <f>IFERROR(VLOOKUP(AO699,tbFactorMes,2,FALSE),"")</f>
        <v/>
      </c>
      <c r="AQ699">
        <f t="shared" si="147"/>
        <v>0</v>
      </c>
      <c r="AT699" t="str">
        <f>IFERROR(VLOOKUP(AS699,tbFactorMes,2,FALSE),"")</f>
        <v/>
      </c>
      <c r="AU699">
        <f t="shared" si="148"/>
        <v>0</v>
      </c>
      <c r="AX699" t="str">
        <f>IFERROR(VLOOKUP(AW699,tbFactorMes,2,FALSE),"")</f>
        <v/>
      </c>
      <c r="AY699">
        <f t="shared" si="149"/>
        <v>0</v>
      </c>
      <c r="BB699" t="str">
        <f>IFERROR(VLOOKUP(BA699,tbFactorMes,2,FALSE),"")</f>
        <v/>
      </c>
      <c r="BC699">
        <f t="shared" si="150"/>
        <v>0</v>
      </c>
      <c r="BF699" t="str">
        <f>IFERROR(VLOOKUP(BE699,tbFactorMes,2,FALSE),"")</f>
        <v/>
      </c>
      <c r="BG699">
        <f t="shared" si="151"/>
        <v>0</v>
      </c>
      <c r="BH699">
        <f t="shared" si="152"/>
        <v>0</v>
      </c>
      <c r="BI699">
        <f t="shared" si="153"/>
        <v>0</v>
      </c>
    </row>
    <row r="700" spans="11:61" x14ac:dyDescent="0.35">
      <c r="K700" t="str">
        <f>IFERROR(VLOOKUP(F700,tbTurnos,3,FALSE),"")</f>
        <v/>
      </c>
      <c r="N700" t="str">
        <f>IFERROR(VLOOKUP(M700,tbFactorMes,2,FALSE),"")</f>
        <v/>
      </c>
      <c r="O700">
        <f t="shared" si="140"/>
        <v>0</v>
      </c>
      <c r="R700" t="str">
        <f>IFERROR(VLOOKUP(Q700,tbFactorMes,2,FALSE),"")</f>
        <v/>
      </c>
      <c r="S700">
        <f t="shared" si="141"/>
        <v>0</v>
      </c>
      <c r="V700" t="str">
        <f>IFERROR(VLOOKUP(U700,tbFactorMes,2,FALSE),"")</f>
        <v/>
      </c>
      <c r="W700">
        <f t="shared" si="142"/>
        <v>0</v>
      </c>
      <c r="Z700" t="str">
        <f>IFERROR(VLOOKUP(Y700,tbFactorMes,2,FALSE),"")</f>
        <v/>
      </c>
      <c r="AA700">
        <f t="shared" si="143"/>
        <v>0</v>
      </c>
      <c r="AD700" t="str">
        <f>IFERROR(VLOOKUP(AC700,tbFactorMes,2,FALSE),"")</f>
        <v/>
      </c>
      <c r="AE700">
        <f t="shared" si="144"/>
        <v>0</v>
      </c>
      <c r="AH700" t="str">
        <f>IFERROR(VLOOKUP(AG700,tbFactorMes,2,FALSE),"")</f>
        <v/>
      </c>
      <c r="AI700">
        <f t="shared" si="145"/>
        <v>0</v>
      </c>
      <c r="AL700" t="str">
        <f>IFERROR(VLOOKUP(AK700,tbFactorMes,2,FALSE),"")</f>
        <v/>
      </c>
      <c r="AM700">
        <f t="shared" si="146"/>
        <v>0</v>
      </c>
      <c r="AP700" t="str">
        <f>IFERROR(VLOOKUP(AO700,tbFactorMes,2,FALSE),"")</f>
        <v/>
      </c>
      <c r="AQ700">
        <f t="shared" si="147"/>
        <v>0</v>
      </c>
      <c r="AT700" t="str">
        <f>IFERROR(VLOOKUP(AS700,tbFactorMes,2,FALSE),"")</f>
        <v/>
      </c>
      <c r="AU700">
        <f t="shared" si="148"/>
        <v>0</v>
      </c>
      <c r="AX700" t="str">
        <f>IFERROR(VLOOKUP(AW700,tbFactorMes,2,FALSE),"")</f>
        <v/>
      </c>
      <c r="AY700">
        <f t="shared" si="149"/>
        <v>0</v>
      </c>
      <c r="BB700" t="str">
        <f>IFERROR(VLOOKUP(BA700,tbFactorMes,2,FALSE),"")</f>
        <v/>
      </c>
      <c r="BC700">
        <f t="shared" si="150"/>
        <v>0</v>
      </c>
      <c r="BF700" t="str">
        <f>IFERROR(VLOOKUP(BE700,tbFactorMes,2,FALSE),"")</f>
        <v/>
      </c>
      <c r="BG700">
        <f t="shared" si="151"/>
        <v>0</v>
      </c>
      <c r="BH700">
        <f t="shared" si="152"/>
        <v>0</v>
      </c>
      <c r="BI700">
        <f t="shared" si="153"/>
        <v>0</v>
      </c>
    </row>
    <row r="701" spans="11:61" x14ac:dyDescent="0.35">
      <c r="K701" t="str">
        <f>IFERROR(VLOOKUP(F701,tbTurnos,3,FALSE),"")</f>
        <v/>
      </c>
      <c r="N701" t="str">
        <f>IFERROR(VLOOKUP(M701,tbFactorMes,2,FALSE),"")</f>
        <v/>
      </c>
      <c r="O701">
        <f t="shared" si="140"/>
        <v>0</v>
      </c>
      <c r="R701" t="str">
        <f>IFERROR(VLOOKUP(Q701,tbFactorMes,2,FALSE),"")</f>
        <v/>
      </c>
      <c r="S701">
        <f t="shared" si="141"/>
        <v>0</v>
      </c>
      <c r="V701" t="str">
        <f>IFERROR(VLOOKUP(U701,tbFactorMes,2,FALSE),"")</f>
        <v/>
      </c>
      <c r="W701">
        <f t="shared" si="142"/>
        <v>0</v>
      </c>
      <c r="Z701" t="str">
        <f>IFERROR(VLOOKUP(Y701,tbFactorMes,2,FALSE),"")</f>
        <v/>
      </c>
      <c r="AA701">
        <f t="shared" si="143"/>
        <v>0</v>
      </c>
      <c r="AD701" t="str">
        <f>IFERROR(VLOOKUP(AC701,tbFactorMes,2,FALSE),"")</f>
        <v/>
      </c>
      <c r="AE701">
        <f t="shared" si="144"/>
        <v>0</v>
      </c>
      <c r="AH701" t="str">
        <f>IFERROR(VLOOKUP(AG701,tbFactorMes,2,FALSE),"")</f>
        <v/>
      </c>
      <c r="AI701">
        <f t="shared" si="145"/>
        <v>0</v>
      </c>
      <c r="AL701" t="str">
        <f>IFERROR(VLOOKUP(AK701,tbFactorMes,2,FALSE),"")</f>
        <v/>
      </c>
      <c r="AM701">
        <f t="shared" si="146"/>
        <v>0</v>
      </c>
      <c r="AP701" t="str">
        <f>IFERROR(VLOOKUP(AO701,tbFactorMes,2,FALSE),"")</f>
        <v/>
      </c>
      <c r="AQ701">
        <f t="shared" si="147"/>
        <v>0</v>
      </c>
      <c r="AT701" t="str">
        <f>IFERROR(VLOOKUP(AS701,tbFactorMes,2,FALSE),"")</f>
        <v/>
      </c>
      <c r="AU701">
        <f t="shared" si="148"/>
        <v>0</v>
      </c>
      <c r="AX701" t="str">
        <f>IFERROR(VLOOKUP(AW701,tbFactorMes,2,FALSE),"")</f>
        <v/>
      </c>
      <c r="AY701">
        <f t="shared" si="149"/>
        <v>0</v>
      </c>
      <c r="BB701" t="str">
        <f>IFERROR(VLOOKUP(BA701,tbFactorMes,2,FALSE),"")</f>
        <v/>
      </c>
      <c r="BC701">
        <f t="shared" si="150"/>
        <v>0</v>
      </c>
      <c r="BF701" t="str">
        <f>IFERROR(VLOOKUP(BE701,tbFactorMes,2,FALSE),"")</f>
        <v/>
      </c>
      <c r="BG701">
        <f t="shared" si="151"/>
        <v>0</v>
      </c>
      <c r="BH701">
        <f t="shared" si="152"/>
        <v>0</v>
      </c>
      <c r="BI701">
        <f t="shared" si="153"/>
        <v>0</v>
      </c>
    </row>
    <row r="702" spans="11:61" x14ac:dyDescent="0.35">
      <c r="K702" t="str">
        <f>IFERROR(VLOOKUP(F702,tbTurnos,3,FALSE),"")</f>
        <v/>
      </c>
      <c r="N702" t="str">
        <f>IFERROR(VLOOKUP(M702,tbFactorMes,2,FALSE),"")</f>
        <v/>
      </c>
      <c r="O702">
        <f t="shared" si="140"/>
        <v>0</v>
      </c>
      <c r="R702" t="str">
        <f>IFERROR(VLOOKUP(Q702,tbFactorMes,2,FALSE),"")</f>
        <v/>
      </c>
      <c r="S702">
        <f t="shared" si="141"/>
        <v>0</v>
      </c>
      <c r="V702" t="str">
        <f>IFERROR(VLOOKUP(U702,tbFactorMes,2,FALSE),"")</f>
        <v/>
      </c>
      <c r="W702">
        <f t="shared" si="142"/>
        <v>0</v>
      </c>
      <c r="Z702" t="str">
        <f>IFERROR(VLOOKUP(Y702,tbFactorMes,2,FALSE),"")</f>
        <v/>
      </c>
      <c r="AA702">
        <f t="shared" si="143"/>
        <v>0</v>
      </c>
      <c r="AD702" t="str">
        <f>IFERROR(VLOOKUP(AC702,tbFactorMes,2,FALSE),"")</f>
        <v/>
      </c>
      <c r="AE702">
        <f t="shared" si="144"/>
        <v>0</v>
      </c>
      <c r="AH702" t="str">
        <f>IFERROR(VLOOKUP(AG702,tbFactorMes,2,FALSE),"")</f>
        <v/>
      </c>
      <c r="AI702">
        <f t="shared" si="145"/>
        <v>0</v>
      </c>
      <c r="AL702" t="str">
        <f>IFERROR(VLOOKUP(AK702,tbFactorMes,2,FALSE),"")</f>
        <v/>
      </c>
      <c r="AM702">
        <f t="shared" si="146"/>
        <v>0</v>
      </c>
      <c r="AP702" t="str">
        <f>IFERROR(VLOOKUP(AO702,tbFactorMes,2,FALSE),"")</f>
        <v/>
      </c>
      <c r="AQ702">
        <f t="shared" si="147"/>
        <v>0</v>
      </c>
      <c r="AT702" t="str">
        <f>IFERROR(VLOOKUP(AS702,tbFactorMes,2,FALSE),"")</f>
        <v/>
      </c>
      <c r="AU702">
        <f t="shared" si="148"/>
        <v>0</v>
      </c>
      <c r="AX702" t="str">
        <f>IFERROR(VLOOKUP(AW702,tbFactorMes,2,FALSE),"")</f>
        <v/>
      </c>
      <c r="AY702">
        <f t="shared" si="149"/>
        <v>0</v>
      </c>
      <c r="BB702" t="str">
        <f>IFERROR(VLOOKUP(BA702,tbFactorMes,2,FALSE),"")</f>
        <v/>
      </c>
      <c r="BC702">
        <f t="shared" si="150"/>
        <v>0</v>
      </c>
      <c r="BF702" t="str">
        <f>IFERROR(VLOOKUP(BE702,tbFactorMes,2,FALSE),"")</f>
        <v/>
      </c>
      <c r="BG702">
        <f t="shared" si="151"/>
        <v>0</v>
      </c>
      <c r="BH702">
        <f t="shared" si="152"/>
        <v>0</v>
      </c>
      <c r="BI702">
        <f t="shared" si="153"/>
        <v>0</v>
      </c>
    </row>
    <row r="703" spans="11:61" x14ac:dyDescent="0.35">
      <c r="K703" t="str">
        <f>IFERROR(VLOOKUP(F703,tbTurnos,3,FALSE),"")</f>
        <v/>
      </c>
      <c r="N703" t="str">
        <f>IFERROR(VLOOKUP(M703,tbFactorMes,2,FALSE),"")</f>
        <v/>
      </c>
      <c r="O703">
        <f t="shared" si="140"/>
        <v>0</v>
      </c>
      <c r="R703" t="str">
        <f>IFERROR(VLOOKUP(Q703,tbFactorMes,2,FALSE),"")</f>
        <v/>
      </c>
      <c r="S703">
        <f t="shared" si="141"/>
        <v>0</v>
      </c>
      <c r="V703" t="str">
        <f>IFERROR(VLOOKUP(U703,tbFactorMes,2,FALSE),"")</f>
        <v/>
      </c>
      <c r="W703">
        <f t="shared" si="142"/>
        <v>0</v>
      </c>
      <c r="Z703" t="str">
        <f>IFERROR(VLOOKUP(Y703,tbFactorMes,2,FALSE),"")</f>
        <v/>
      </c>
      <c r="AA703">
        <f t="shared" si="143"/>
        <v>0</v>
      </c>
      <c r="AD703" t="str">
        <f>IFERROR(VLOOKUP(AC703,tbFactorMes,2,FALSE),"")</f>
        <v/>
      </c>
      <c r="AE703">
        <f t="shared" si="144"/>
        <v>0</v>
      </c>
      <c r="AH703" t="str">
        <f>IFERROR(VLOOKUP(AG703,tbFactorMes,2,FALSE),"")</f>
        <v/>
      </c>
      <c r="AI703">
        <f t="shared" si="145"/>
        <v>0</v>
      </c>
      <c r="AL703" t="str">
        <f>IFERROR(VLOOKUP(AK703,tbFactorMes,2,FALSE),"")</f>
        <v/>
      </c>
      <c r="AM703">
        <f t="shared" si="146"/>
        <v>0</v>
      </c>
      <c r="AP703" t="str">
        <f>IFERROR(VLOOKUP(AO703,tbFactorMes,2,FALSE),"")</f>
        <v/>
      </c>
      <c r="AQ703">
        <f t="shared" si="147"/>
        <v>0</v>
      </c>
      <c r="AT703" t="str">
        <f>IFERROR(VLOOKUP(AS703,tbFactorMes,2,FALSE),"")</f>
        <v/>
      </c>
      <c r="AU703">
        <f t="shared" si="148"/>
        <v>0</v>
      </c>
      <c r="AX703" t="str">
        <f>IFERROR(VLOOKUP(AW703,tbFactorMes,2,FALSE),"")</f>
        <v/>
      </c>
      <c r="AY703">
        <f t="shared" si="149"/>
        <v>0</v>
      </c>
      <c r="BB703" t="str">
        <f>IFERROR(VLOOKUP(BA703,tbFactorMes,2,FALSE),"")</f>
        <v/>
      </c>
      <c r="BC703">
        <f t="shared" si="150"/>
        <v>0</v>
      </c>
      <c r="BF703" t="str">
        <f>IFERROR(VLOOKUP(BE703,tbFactorMes,2,FALSE),"")</f>
        <v/>
      </c>
      <c r="BG703">
        <f t="shared" si="151"/>
        <v>0</v>
      </c>
      <c r="BH703">
        <f t="shared" si="152"/>
        <v>0</v>
      </c>
      <c r="BI703">
        <f t="shared" si="153"/>
        <v>0</v>
      </c>
    </row>
    <row r="704" spans="11:61" x14ac:dyDescent="0.35">
      <c r="K704" t="str">
        <f>IFERROR(VLOOKUP(F704,tbTurnos,3,FALSE),"")</f>
        <v/>
      </c>
      <c r="N704" t="str">
        <f>IFERROR(VLOOKUP(M704,tbFactorMes,2,FALSE),"")</f>
        <v/>
      </c>
      <c r="O704">
        <f t="shared" si="140"/>
        <v>0</v>
      </c>
      <c r="R704" t="str">
        <f>IFERROR(VLOOKUP(Q704,tbFactorMes,2,FALSE),"")</f>
        <v/>
      </c>
      <c r="S704">
        <f t="shared" si="141"/>
        <v>0</v>
      </c>
      <c r="V704" t="str">
        <f>IFERROR(VLOOKUP(U704,tbFactorMes,2,FALSE),"")</f>
        <v/>
      </c>
      <c r="W704">
        <f t="shared" si="142"/>
        <v>0</v>
      </c>
      <c r="Z704" t="str">
        <f>IFERROR(VLOOKUP(Y704,tbFactorMes,2,FALSE),"")</f>
        <v/>
      </c>
      <c r="AA704">
        <f t="shared" si="143"/>
        <v>0</v>
      </c>
      <c r="AD704" t="str">
        <f>IFERROR(VLOOKUP(AC704,tbFactorMes,2,FALSE),"")</f>
        <v/>
      </c>
      <c r="AE704">
        <f t="shared" si="144"/>
        <v>0</v>
      </c>
      <c r="AH704" t="str">
        <f>IFERROR(VLOOKUP(AG704,tbFactorMes,2,FALSE),"")</f>
        <v/>
      </c>
      <c r="AI704">
        <f t="shared" si="145"/>
        <v>0</v>
      </c>
      <c r="AL704" t="str">
        <f>IFERROR(VLOOKUP(AK704,tbFactorMes,2,FALSE),"")</f>
        <v/>
      </c>
      <c r="AM704">
        <f t="shared" si="146"/>
        <v>0</v>
      </c>
      <c r="AP704" t="str">
        <f>IFERROR(VLOOKUP(AO704,tbFactorMes,2,FALSE),"")</f>
        <v/>
      </c>
      <c r="AQ704">
        <f t="shared" si="147"/>
        <v>0</v>
      </c>
      <c r="AT704" t="str">
        <f>IFERROR(VLOOKUP(AS704,tbFactorMes,2,FALSE),"")</f>
        <v/>
      </c>
      <c r="AU704">
        <f t="shared" si="148"/>
        <v>0</v>
      </c>
      <c r="AX704" t="str">
        <f>IFERROR(VLOOKUP(AW704,tbFactorMes,2,FALSE),"")</f>
        <v/>
      </c>
      <c r="AY704">
        <f t="shared" si="149"/>
        <v>0</v>
      </c>
      <c r="BB704" t="str">
        <f>IFERROR(VLOOKUP(BA704,tbFactorMes,2,FALSE),"")</f>
        <v/>
      </c>
      <c r="BC704">
        <f t="shared" si="150"/>
        <v>0</v>
      </c>
      <c r="BF704" t="str">
        <f>IFERROR(VLOOKUP(BE704,tbFactorMes,2,FALSE),"")</f>
        <v/>
      </c>
      <c r="BG704">
        <f t="shared" si="151"/>
        <v>0</v>
      </c>
      <c r="BH704">
        <f t="shared" si="152"/>
        <v>0</v>
      </c>
      <c r="BI704">
        <f t="shared" si="153"/>
        <v>0</v>
      </c>
    </row>
    <row r="705" spans="11:61" x14ac:dyDescent="0.35">
      <c r="K705" t="str">
        <f>IFERROR(VLOOKUP(F705,tbTurnos,3,FALSE),"")</f>
        <v/>
      </c>
      <c r="N705" t="str">
        <f>IFERROR(VLOOKUP(M705,tbFactorMes,2,FALSE),"")</f>
        <v/>
      </c>
      <c r="O705">
        <f t="shared" si="140"/>
        <v>0</v>
      </c>
      <c r="R705" t="str">
        <f>IFERROR(VLOOKUP(Q705,tbFactorMes,2,FALSE),"")</f>
        <v/>
      </c>
      <c r="S705">
        <f t="shared" si="141"/>
        <v>0</v>
      </c>
      <c r="V705" t="str">
        <f>IFERROR(VLOOKUP(U705,tbFactorMes,2,FALSE),"")</f>
        <v/>
      </c>
      <c r="W705">
        <f t="shared" si="142"/>
        <v>0</v>
      </c>
      <c r="Z705" t="str">
        <f>IFERROR(VLOOKUP(Y705,tbFactorMes,2,FALSE),"")</f>
        <v/>
      </c>
      <c r="AA705">
        <f t="shared" si="143"/>
        <v>0</v>
      </c>
      <c r="AD705" t="str">
        <f>IFERROR(VLOOKUP(AC705,tbFactorMes,2,FALSE),"")</f>
        <v/>
      </c>
      <c r="AE705">
        <f t="shared" si="144"/>
        <v>0</v>
      </c>
      <c r="AH705" t="str">
        <f>IFERROR(VLOOKUP(AG705,tbFactorMes,2,FALSE),"")</f>
        <v/>
      </c>
      <c r="AI705">
        <f t="shared" si="145"/>
        <v>0</v>
      </c>
      <c r="AL705" t="str">
        <f>IFERROR(VLOOKUP(AK705,tbFactorMes,2,FALSE),"")</f>
        <v/>
      </c>
      <c r="AM705">
        <f t="shared" si="146"/>
        <v>0</v>
      </c>
      <c r="AP705" t="str">
        <f>IFERROR(VLOOKUP(AO705,tbFactorMes,2,FALSE),"")</f>
        <v/>
      </c>
      <c r="AQ705">
        <f t="shared" si="147"/>
        <v>0</v>
      </c>
      <c r="AT705" t="str">
        <f>IFERROR(VLOOKUP(AS705,tbFactorMes,2,FALSE),"")</f>
        <v/>
      </c>
      <c r="AU705">
        <f t="shared" si="148"/>
        <v>0</v>
      </c>
      <c r="AX705" t="str">
        <f>IFERROR(VLOOKUP(AW705,tbFactorMes,2,FALSE),"")</f>
        <v/>
      </c>
      <c r="AY705">
        <f t="shared" si="149"/>
        <v>0</v>
      </c>
      <c r="BB705" t="str">
        <f>IFERROR(VLOOKUP(BA705,tbFactorMes,2,FALSE),"")</f>
        <v/>
      </c>
      <c r="BC705">
        <f t="shared" si="150"/>
        <v>0</v>
      </c>
      <c r="BF705" t="str">
        <f>IFERROR(VLOOKUP(BE705,tbFactorMes,2,FALSE),"")</f>
        <v/>
      </c>
      <c r="BG705">
        <f t="shared" si="151"/>
        <v>0</v>
      </c>
      <c r="BH705">
        <f t="shared" si="152"/>
        <v>0</v>
      </c>
      <c r="BI705">
        <f t="shared" si="153"/>
        <v>0</v>
      </c>
    </row>
    <row r="706" spans="11:61" x14ac:dyDescent="0.35">
      <c r="K706" t="str">
        <f>IFERROR(VLOOKUP(F706,tbTurnos,3,FALSE),"")</f>
        <v/>
      </c>
      <c r="N706" t="str">
        <f>IFERROR(VLOOKUP(M706,tbFactorMes,2,FALSE),"")</f>
        <v/>
      </c>
      <c r="O706">
        <f t="shared" ref="O706:O769" si="154">IFERROR((L706*$K706)/N706,0)*$J706</f>
        <v>0</v>
      </c>
      <c r="R706" t="str">
        <f>IFERROR(VLOOKUP(Q706,tbFactorMes,2,FALSE),"")</f>
        <v/>
      </c>
      <c r="S706">
        <f t="shared" ref="S706:S769" si="155">IFERROR((P706*$K706)/R706,0)*$J706</f>
        <v>0</v>
      </c>
      <c r="V706" t="str">
        <f>IFERROR(VLOOKUP(U706,tbFactorMes,2,FALSE),"")</f>
        <v/>
      </c>
      <c r="W706">
        <f t="shared" ref="W706:W769" si="156">IFERROR((T706*$K706)/V706,0)*$J706</f>
        <v>0</v>
      </c>
      <c r="Z706" t="str">
        <f>IFERROR(VLOOKUP(Y706,tbFactorMes,2,FALSE),"")</f>
        <v/>
      </c>
      <c r="AA706">
        <f t="shared" ref="AA706:AA769" si="157">IFERROR((X706*$K706)/Z706,0)*$J706</f>
        <v>0</v>
      </c>
      <c r="AD706" t="str">
        <f>IFERROR(VLOOKUP(AC706,tbFactorMes,2,FALSE),"")</f>
        <v/>
      </c>
      <c r="AE706">
        <f t="shared" ref="AE706:AE769" si="158">IFERROR((AB706*$K706)/AD706,0)*$J706</f>
        <v>0</v>
      </c>
      <c r="AH706" t="str">
        <f>IFERROR(VLOOKUP(AG706,tbFactorMes,2,FALSE),"")</f>
        <v/>
      </c>
      <c r="AI706">
        <f t="shared" ref="AI706:AI769" si="159">IFERROR((AF706*$K706)/AH706,0)*$J706</f>
        <v>0</v>
      </c>
      <c r="AL706" t="str">
        <f>IFERROR(VLOOKUP(AK706,tbFactorMes,2,FALSE),"")</f>
        <v/>
      </c>
      <c r="AM706">
        <f t="shared" ref="AM706:AM769" si="160">IFERROR((AJ706*$K706)/AL706,0)*$J706</f>
        <v>0</v>
      </c>
      <c r="AP706" t="str">
        <f>IFERROR(VLOOKUP(AO706,tbFactorMes,2,FALSE),"")</f>
        <v/>
      </c>
      <c r="AQ706">
        <f t="shared" ref="AQ706:AQ769" si="161">IFERROR((AN706*$K706)/AP706,0)*$J706</f>
        <v>0</v>
      </c>
      <c r="AT706" t="str">
        <f>IFERROR(VLOOKUP(AS706,tbFactorMes,2,FALSE),"")</f>
        <v/>
      </c>
      <c r="AU706">
        <f t="shared" ref="AU706:AU769" si="162">IFERROR((AR706*$K706)/AT706,0)*$J706</f>
        <v>0</v>
      </c>
      <c r="AX706" t="str">
        <f>IFERROR(VLOOKUP(AW706,tbFactorMes,2,FALSE),"")</f>
        <v/>
      </c>
      <c r="AY706">
        <f t="shared" ref="AY706:AY769" si="163">IFERROR((AV706*$K706)/AX706,0)*$J706</f>
        <v>0</v>
      </c>
      <c r="BB706" t="str">
        <f>IFERROR(VLOOKUP(BA706,tbFactorMes,2,FALSE),"")</f>
        <v/>
      </c>
      <c r="BC706">
        <f t="shared" ref="BC706:BC769" si="164">IFERROR((AZ706*$K706)/BB706,0)*$J706</f>
        <v>0</v>
      </c>
      <c r="BF706" t="str">
        <f>IFERROR(VLOOKUP(BE706,tbFactorMes,2,FALSE),"")</f>
        <v/>
      </c>
      <c r="BG706">
        <f t="shared" ref="BG706:BG769" si="165">IFERROR((BD706*$K706)/BF706,0)*$J706</f>
        <v>0</v>
      </c>
      <c r="BH706">
        <f t="shared" ref="BH706:BH769" si="166">IFERROR(SUM(O706,S706,W706,AA706,AE706,AI706,AM706,AQ706,AU706,AY706,BC706,BG706),0)</f>
        <v>0</v>
      </c>
      <c r="BI706">
        <f t="shared" ref="BI706:BI769" si="167">IFERROR(BH706*(1-$I706),0)</f>
        <v>0</v>
      </c>
    </row>
    <row r="707" spans="11:61" x14ac:dyDescent="0.35">
      <c r="K707" t="str">
        <f>IFERROR(VLOOKUP(F707,tbTurnos,3,FALSE),"")</f>
        <v/>
      </c>
      <c r="N707" t="str">
        <f>IFERROR(VLOOKUP(M707,tbFactorMes,2,FALSE),"")</f>
        <v/>
      </c>
      <c r="O707">
        <f t="shared" si="154"/>
        <v>0</v>
      </c>
      <c r="R707" t="str">
        <f>IFERROR(VLOOKUP(Q707,tbFactorMes,2,FALSE),"")</f>
        <v/>
      </c>
      <c r="S707">
        <f t="shared" si="155"/>
        <v>0</v>
      </c>
      <c r="V707" t="str">
        <f>IFERROR(VLOOKUP(U707,tbFactorMes,2,FALSE),"")</f>
        <v/>
      </c>
      <c r="W707">
        <f t="shared" si="156"/>
        <v>0</v>
      </c>
      <c r="Z707" t="str">
        <f>IFERROR(VLOOKUP(Y707,tbFactorMes,2,FALSE),"")</f>
        <v/>
      </c>
      <c r="AA707">
        <f t="shared" si="157"/>
        <v>0</v>
      </c>
      <c r="AD707" t="str">
        <f>IFERROR(VLOOKUP(AC707,tbFactorMes,2,FALSE),"")</f>
        <v/>
      </c>
      <c r="AE707">
        <f t="shared" si="158"/>
        <v>0</v>
      </c>
      <c r="AH707" t="str">
        <f>IFERROR(VLOOKUP(AG707,tbFactorMes,2,FALSE),"")</f>
        <v/>
      </c>
      <c r="AI707">
        <f t="shared" si="159"/>
        <v>0</v>
      </c>
      <c r="AL707" t="str">
        <f>IFERROR(VLOOKUP(AK707,tbFactorMes,2,FALSE),"")</f>
        <v/>
      </c>
      <c r="AM707">
        <f t="shared" si="160"/>
        <v>0</v>
      </c>
      <c r="AP707" t="str">
        <f>IFERROR(VLOOKUP(AO707,tbFactorMes,2,FALSE),"")</f>
        <v/>
      </c>
      <c r="AQ707">
        <f t="shared" si="161"/>
        <v>0</v>
      </c>
      <c r="AT707" t="str">
        <f>IFERROR(VLOOKUP(AS707,tbFactorMes,2,FALSE),"")</f>
        <v/>
      </c>
      <c r="AU707">
        <f t="shared" si="162"/>
        <v>0</v>
      </c>
      <c r="AX707" t="str">
        <f>IFERROR(VLOOKUP(AW707,tbFactorMes,2,FALSE),"")</f>
        <v/>
      </c>
      <c r="AY707">
        <f t="shared" si="163"/>
        <v>0</v>
      </c>
      <c r="BB707" t="str">
        <f>IFERROR(VLOOKUP(BA707,tbFactorMes,2,FALSE),"")</f>
        <v/>
      </c>
      <c r="BC707">
        <f t="shared" si="164"/>
        <v>0</v>
      </c>
      <c r="BF707" t="str">
        <f>IFERROR(VLOOKUP(BE707,tbFactorMes,2,FALSE),"")</f>
        <v/>
      </c>
      <c r="BG707">
        <f t="shared" si="165"/>
        <v>0</v>
      </c>
      <c r="BH707">
        <f t="shared" si="166"/>
        <v>0</v>
      </c>
      <c r="BI707">
        <f t="shared" si="167"/>
        <v>0</v>
      </c>
    </row>
    <row r="708" spans="11:61" x14ac:dyDescent="0.35">
      <c r="K708" t="str">
        <f>IFERROR(VLOOKUP(F708,tbTurnos,3,FALSE),"")</f>
        <v/>
      </c>
      <c r="N708" t="str">
        <f>IFERROR(VLOOKUP(M708,tbFactorMes,2,FALSE),"")</f>
        <v/>
      </c>
      <c r="O708">
        <f t="shared" si="154"/>
        <v>0</v>
      </c>
      <c r="R708" t="str">
        <f>IFERROR(VLOOKUP(Q708,tbFactorMes,2,FALSE),"")</f>
        <v/>
      </c>
      <c r="S708">
        <f t="shared" si="155"/>
        <v>0</v>
      </c>
      <c r="V708" t="str">
        <f>IFERROR(VLOOKUP(U708,tbFactorMes,2,FALSE),"")</f>
        <v/>
      </c>
      <c r="W708">
        <f t="shared" si="156"/>
        <v>0</v>
      </c>
      <c r="Z708" t="str">
        <f>IFERROR(VLOOKUP(Y708,tbFactorMes,2,FALSE),"")</f>
        <v/>
      </c>
      <c r="AA708">
        <f t="shared" si="157"/>
        <v>0</v>
      </c>
      <c r="AD708" t="str">
        <f>IFERROR(VLOOKUP(AC708,tbFactorMes,2,FALSE),"")</f>
        <v/>
      </c>
      <c r="AE708">
        <f t="shared" si="158"/>
        <v>0</v>
      </c>
      <c r="AH708" t="str">
        <f>IFERROR(VLOOKUP(AG708,tbFactorMes,2,FALSE),"")</f>
        <v/>
      </c>
      <c r="AI708">
        <f t="shared" si="159"/>
        <v>0</v>
      </c>
      <c r="AL708" t="str">
        <f>IFERROR(VLOOKUP(AK708,tbFactorMes,2,FALSE),"")</f>
        <v/>
      </c>
      <c r="AM708">
        <f t="shared" si="160"/>
        <v>0</v>
      </c>
      <c r="AP708" t="str">
        <f>IFERROR(VLOOKUP(AO708,tbFactorMes,2,FALSE),"")</f>
        <v/>
      </c>
      <c r="AQ708">
        <f t="shared" si="161"/>
        <v>0</v>
      </c>
      <c r="AT708" t="str">
        <f>IFERROR(VLOOKUP(AS708,tbFactorMes,2,FALSE),"")</f>
        <v/>
      </c>
      <c r="AU708">
        <f t="shared" si="162"/>
        <v>0</v>
      </c>
      <c r="AX708" t="str">
        <f>IFERROR(VLOOKUP(AW708,tbFactorMes,2,FALSE),"")</f>
        <v/>
      </c>
      <c r="AY708">
        <f t="shared" si="163"/>
        <v>0</v>
      </c>
      <c r="BB708" t="str">
        <f>IFERROR(VLOOKUP(BA708,tbFactorMes,2,FALSE),"")</f>
        <v/>
      </c>
      <c r="BC708">
        <f t="shared" si="164"/>
        <v>0</v>
      </c>
      <c r="BF708" t="str">
        <f>IFERROR(VLOOKUP(BE708,tbFactorMes,2,FALSE),"")</f>
        <v/>
      </c>
      <c r="BG708">
        <f t="shared" si="165"/>
        <v>0</v>
      </c>
      <c r="BH708">
        <f t="shared" si="166"/>
        <v>0</v>
      </c>
      <c r="BI708">
        <f t="shared" si="167"/>
        <v>0</v>
      </c>
    </row>
    <row r="709" spans="11:61" x14ac:dyDescent="0.35">
      <c r="K709" t="str">
        <f>IFERROR(VLOOKUP(F709,tbTurnos,3,FALSE),"")</f>
        <v/>
      </c>
      <c r="N709" t="str">
        <f>IFERROR(VLOOKUP(M709,tbFactorMes,2,FALSE),"")</f>
        <v/>
      </c>
      <c r="O709">
        <f t="shared" si="154"/>
        <v>0</v>
      </c>
      <c r="R709" t="str">
        <f>IFERROR(VLOOKUP(Q709,tbFactorMes,2,FALSE),"")</f>
        <v/>
      </c>
      <c r="S709">
        <f t="shared" si="155"/>
        <v>0</v>
      </c>
      <c r="V709" t="str">
        <f>IFERROR(VLOOKUP(U709,tbFactorMes,2,FALSE),"")</f>
        <v/>
      </c>
      <c r="W709">
        <f t="shared" si="156"/>
        <v>0</v>
      </c>
      <c r="Z709" t="str">
        <f>IFERROR(VLOOKUP(Y709,tbFactorMes,2,FALSE),"")</f>
        <v/>
      </c>
      <c r="AA709">
        <f t="shared" si="157"/>
        <v>0</v>
      </c>
      <c r="AD709" t="str">
        <f>IFERROR(VLOOKUP(AC709,tbFactorMes,2,FALSE),"")</f>
        <v/>
      </c>
      <c r="AE709">
        <f t="shared" si="158"/>
        <v>0</v>
      </c>
      <c r="AH709" t="str">
        <f>IFERROR(VLOOKUP(AG709,tbFactorMes,2,FALSE),"")</f>
        <v/>
      </c>
      <c r="AI709">
        <f t="shared" si="159"/>
        <v>0</v>
      </c>
      <c r="AL709" t="str">
        <f>IFERROR(VLOOKUP(AK709,tbFactorMes,2,FALSE),"")</f>
        <v/>
      </c>
      <c r="AM709">
        <f t="shared" si="160"/>
        <v>0</v>
      </c>
      <c r="AP709" t="str">
        <f>IFERROR(VLOOKUP(AO709,tbFactorMes,2,FALSE),"")</f>
        <v/>
      </c>
      <c r="AQ709">
        <f t="shared" si="161"/>
        <v>0</v>
      </c>
      <c r="AT709" t="str">
        <f>IFERROR(VLOOKUP(AS709,tbFactorMes,2,FALSE),"")</f>
        <v/>
      </c>
      <c r="AU709">
        <f t="shared" si="162"/>
        <v>0</v>
      </c>
      <c r="AX709" t="str">
        <f>IFERROR(VLOOKUP(AW709,tbFactorMes,2,FALSE),"")</f>
        <v/>
      </c>
      <c r="AY709">
        <f t="shared" si="163"/>
        <v>0</v>
      </c>
      <c r="BB709" t="str">
        <f>IFERROR(VLOOKUP(BA709,tbFactorMes,2,FALSE),"")</f>
        <v/>
      </c>
      <c r="BC709">
        <f t="shared" si="164"/>
        <v>0</v>
      </c>
      <c r="BF709" t="str">
        <f>IFERROR(VLOOKUP(BE709,tbFactorMes,2,FALSE),"")</f>
        <v/>
      </c>
      <c r="BG709">
        <f t="shared" si="165"/>
        <v>0</v>
      </c>
      <c r="BH709">
        <f t="shared" si="166"/>
        <v>0</v>
      </c>
      <c r="BI709">
        <f t="shared" si="167"/>
        <v>0</v>
      </c>
    </row>
    <row r="710" spans="11:61" x14ac:dyDescent="0.35">
      <c r="K710" t="str">
        <f>IFERROR(VLOOKUP(F710,tbTurnos,3,FALSE),"")</f>
        <v/>
      </c>
      <c r="N710" t="str">
        <f>IFERROR(VLOOKUP(M710,tbFactorMes,2,FALSE),"")</f>
        <v/>
      </c>
      <c r="O710">
        <f t="shared" si="154"/>
        <v>0</v>
      </c>
      <c r="R710" t="str">
        <f>IFERROR(VLOOKUP(Q710,tbFactorMes,2,FALSE),"")</f>
        <v/>
      </c>
      <c r="S710">
        <f t="shared" si="155"/>
        <v>0</v>
      </c>
      <c r="V710" t="str">
        <f>IFERROR(VLOOKUP(U710,tbFactorMes,2,FALSE),"")</f>
        <v/>
      </c>
      <c r="W710">
        <f t="shared" si="156"/>
        <v>0</v>
      </c>
      <c r="Z710" t="str">
        <f>IFERROR(VLOOKUP(Y710,tbFactorMes,2,FALSE),"")</f>
        <v/>
      </c>
      <c r="AA710">
        <f t="shared" si="157"/>
        <v>0</v>
      </c>
      <c r="AD710" t="str">
        <f>IFERROR(VLOOKUP(AC710,tbFactorMes,2,FALSE),"")</f>
        <v/>
      </c>
      <c r="AE710">
        <f t="shared" si="158"/>
        <v>0</v>
      </c>
      <c r="AH710" t="str">
        <f>IFERROR(VLOOKUP(AG710,tbFactorMes,2,FALSE),"")</f>
        <v/>
      </c>
      <c r="AI710">
        <f t="shared" si="159"/>
        <v>0</v>
      </c>
      <c r="AL710" t="str">
        <f>IFERROR(VLOOKUP(AK710,tbFactorMes,2,FALSE),"")</f>
        <v/>
      </c>
      <c r="AM710">
        <f t="shared" si="160"/>
        <v>0</v>
      </c>
      <c r="AP710" t="str">
        <f>IFERROR(VLOOKUP(AO710,tbFactorMes,2,FALSE),"")</f>
        <v/>
      </c>
      <c r="AQ710">
        <f t="shared" si="161"/>
        <v>0</v>
      </c>
      <c r="AT710" t="str">
        <f>IFERROR(VLOOKUP(AS710,tbFactorMes,2,FALSE),"")</f>
        <v/>
      </c>
      <c r="AU710">
        <f t="shared" si="162"/>
        <v>0</v>
      </c>
      <c r="AX710" t="str">
        <f>IFERROR(VLOOKUP(AW710,tbFactorMes,2,FALSE),"")</f>
        <v/>
      </c>
      <c r="AY710">
        <f t="shared" si="163"/>
        <v>0</v>
      </c>
      <c r="BB710" t="str">
        <f>IFERROR(VLOOKUP(BA710,tbFactorMes,2,FALSE),"")</f>
        <v/>
      </c>
      <c r="BC710">
        <f t="shared" si="164"/>
        <v>0</v>
      </c>
      <c r="BF710" t="str">
        <f>IFERROR(VLOOKUP(BE710,tbFactorMes,2,FALSE),"")</f>
        <v/>
      </c>
      <c r="BG710">
        <f t="shared" si="165"/>
        <v>0</v>
      </c>
      <c r="BH710">
        <f t="shared" si="166"/>
        <v>0</v>
      </c>
      <c r="BI710">
        <f t="shared" si="167"/>
        <v>0</v>
      </c>
    </row>
    <row r="711" spans="11:61" x14ac:dyDescent="0.35">
      <c r="K711" t="str">
        <f>IFERROR(VLOOKUP(F711,tbTurnos,3,FALSE),"")</f>
        <v/>
      </c>
      <c r="N711" t="str">
        <f>IFERROR(VLOOKUP(M711,tbFactorMes,2,FALSE),"")</f>
        <v/>
      </c>
      <c r="O711">
        <f t="shared" si="154"/>
        <v>0</v>
      </c>
      <c r="R711" t="str">
        <f>IFERROR(VLOOKUP(Q711,tbFactorMes,2,FALSE),"")</f>
        <v/>
      </c>
      <c r="S711">
        <f t="shared" si="155"/>
        <v>0</v>
      </c>
      <c r="V711" t="str">
        <f>IFERROR(VLOOKUP(U711,tbFactorMes,2,FALSE),"")</f>
        <v/>
      </c>
      <c r="W711">
        <f t="shared" si="156"/>
        <v>0</v>
      </c>
      <c r="Z711" t="str">
        <f>IFERROR(VLOOKUP(Y711,tbFactorMes,2,FALSE),"")</f>
        <v/>
      </c>
      <c r="AA711">
        <f t="shared" si="157"/>
        <v>0</v>
      </c>
      <c r="AD711" t="str">
        <f>IFERROR(VLOOKUP(AC711,tbFactorMes,2,FALSE),"")</f>
        <v/>
      </c>
      <c r="AE711">
        <f t="shared" si="158"/>
        <v>0</v>
      </c>
      <c r="AH711" t="str">
        <f>IFERROR(VLOOKUP(AG711,tbFactorMes,2,FALSE),"")</f>
        <v/>
      </c>
      <c r="AI711">
        <f t="shared" si="159"/>
        <v>0</v>
      </c>
      <c r="AL711" t="str">
        <f>IFERROR(VLOOKUP(AK711,tbFactorMes,2,FALSE),"")</f>
        <v/>
      </c>
      <c r="AM711">
        <f t="shared" si="160"/>
        <v>0</v>
      </c>
      <c r="AP711" t="str">
        <f>IFERROR(VLOOKUP(AO711,tbFactorMes,2,FALSE),"")</f>
        <v/>
      </c>
      <c r="AQ711">
        <f t="shared" si="161"/>
        <v>0</v>
      </c>
      <c r="AT711" t="str">
        <f>IFERROR(VLOOKUP(AS711,tbFactorMes,2,FALSE),"")</f>
        <v/>
      </c>
      <c r="AU711">
        <f t="shared" si="162"/>
        <v>0</v>
      </c>
      <c r="AX711" t="str">
        <f>IFERROR(VLOOKUP(AW711,tbFactorMes,2,FALSE),"")</f>
        <v/>
      </c>
      <c r="AY711">
        <f t="shared" si="163"/>
        <v>0</v>
      </c>
      <c r="BB711" t="str">
        <f>IFERROR(VLOOKUP(BA711,tbFactorMes,2,FALSE),"")</f>
        <v/>
      </c>
      <c r="BC711">
        <f t="shared" si="164"/>
        <v>0</v>
      </c>
      <c r="BF711" t="str">
        <f>IFERROR(VLOOKUP(BE711,tbFactorMes,2,FALSE),"")</f>
        <v/>
      </c>
      <c r="BG711">
        <f t="shared" si="165"/>
        <v>0</v>
      </c>
      <c r="BH711">
        <f t="shared" si="166"/>
        <v>0</v>
      </c>
      <c r="BI711">
        <f t="shared" si="167"/>
        <v>0</v>
      </c>
    </row>
    <row r="712" spans="11:61" x14ac:dyDescent="0.35">
      <c r="K712" t="str">
        <f>IFERROR(VLOOKUP(F712,tbTurnos,3,FALSE),"")</f>
        <v/>
      </c>
      <c r="N712" t="str">
        <f>IFERROR(VLOOKUP(M712,tbFactorMes,2,FALSE),"")</f>
        <v/>
      </c>
      <c r="O712">
        <f t="shared" si="154"/>
        <v>0</v>
      </c>
      <c r="R712" t="str">
        <f>IFERROR(VLOOKUP(Q712,tbFactorMes,2,FALSE),"")</f>
        <v/>
      </c>
      <c r="S712">
        <f t="shared" si="155"/>
        <v>0</v>
      </c>
      <c r="V712" t="str">
        <f>IFERROR(VLOOKUP(U712,tbFactorMes,2,FALSE),"")</f>
        <v/>
      </c>
      <c r="W712">
        <f t="shared" si="156"/>
        <v>0</v>
      </c>
      <c r="Z712" t="str">
        <f>IFERROR(VLOOKUP(Y712,tbFactorMes,2,FALSE),"")</f>
        <v/>
      </c>
      <c r="AA712">
        <f t="shared" si="157"/>
        <v>0</v>
      </c>
      <c r="AD712" t="str">
        <f>IFERROR(VLOOKUP(AC712,tbFactorMes,2,FALSE),"")</f>
        <v/>
      </c>
      <c r="AE712">
        <f t="shared" si="158"/>
        <v>0</v>
      </c>
      <c r="AH712" t="str">
        <f>IFERROR(VLOOKUP(AG712,tbFactorMes,2,FALSE),"")</f>
        <v/>
      </c>
      <c r="AI712">
        <f t="shared" si="159"/>
        <v>0</v>
      </c>
      <c r="AL712" t="str">
        <f>IFERROR(VLOOKUP(AK712,tbFactorMes,2,FALSE),"")</f>
        <v/>
      </c>
      <c r="AM712">
        <f t="shared" si="160"/>
        <v>0</v>
      </c>
      <c r="AP712" t="str">
        <f>IFERROR(VLOOKUP(AO712,tbFactorMes,2,FALSE),"")</f>
        <v/>
      </c>
      <c r="AQ712">
        <f t="shared" si="161"/>
        <v>0</v>
      </c>
      <c r="AT712" t="str">
        <f>IFERROR(VLOOKUP(AS712,tbFactorMes,2,FALSE),"")</f>
        <v/>
      </c>
      <c r="AU712">
        <f t="shared" si="162"/>
        <v>0</v>
      </c>
      <c r="AX712" t="str">
        <f>IFERROR(VLOOKUP(AW712,tbFactorMes,2,FALSE),"")</f>
        <v/>
      </c>
      <c r="AY712">
        <f t="shared" si="163"/>
        <v>0</v>
      </c>
      <c r="BB712" t="str">
        <f>IFERROR(VLOOKUP(BA712,tbFactorMes,2,FALSE),"")</f>
        <v/>
      </c>
      <c r="BC712">
        <f t="shared" si="164"/>
        <v>0</v>
      </c>
      <c r="BF712" t="str">
        <f>IFERROR(VLOOKUP(BE712,tbFactorMes,2,FALSE),"")</f>
        <v/>
      </c>
      <c r="BG712">
        <f t="shared" si="165"/>
        <v>0</v>
      </c>
      <c r="BH712">
        <f t="shared" si="166"/>
        <v>0</v>
      </c>
      <c r="BI712">
        <f t="shared" si="167"/>
        <v>0</v>
      </c>
    </row>
    <row r="713" spans="11:61" x14ac:dyDescent="0.35">
      <c r="K713" t="str">
        <f>IFERROR(VLOOKUP(F713,tbTurnos,3,FALSE),"")</f>
        <v/>
      </c>
      <c r="N713" t="str">
        <f>IFERROR(VLOOKUP(M713,tbFactorMes,2,FALSE),"")</f>
        <v/>
      </c>
      <c r="O713">
        <f t="shared" si="154"/>
        <v>0</v>
      </c>
      <c r="R713" t="str">
        <f>IFERROR(VLOOKUP(Q713,tbFactorMes,2,FALSE),"")</f>
        <v/>
      </c>
      <c r="S713">
        <f t="shared" si="155"/>
        <v>0</v>
      </c>
      <c r="V713" t="str">
        <f>IFERROR(VLOOKUP(U713,tbFactorMes,2,FALSE),"")</f>
        <v/>
      </c>
      <c r="W713">
        <f t="shared" si="156"/>
        <v>0</v>
      </c>
      <c r="Z713" t="str">
        <f>IFERROR(VLOOKUP(Y713,tbFactorMes,2,FALSE),"")</f>
        <v/>
      </c>
      <c r="AA713">
        <f t="shared" si="157"/>
        <v>0</v>
      </c>
      <c r="AD713" t="str">
        <f>IFERROR(VLOOKUP(AC713,tbFactorMes,2,FALSE),"")</f>
        <v/>
      </c>
      <c r="AE713">
        <f t="shared" si="158"/>
        <v>0</v>
      </c>
      <c r="AH713" t="str">
        <f>IFERROR(VLOOKUP(AG713,tbFactorMes,2,FALSE),"")</f>
        <v/>
      </c>
      <c r="AI713">
        <f t="shared" si="159"/>
        <v>0</v>
      </c>
      <c r="AL713" t="str">
        <f>IFERROR(VLOOKUP(AK713,tbFactorMes,2,FALSE),"")</f>
        <v/>
      </c>
      <c r="AM713">
        <f t="shared" si="160"/>
        <v>0</v>
      </c>
      <c r="AP713" t="str">
        <f>IFERROR(VLOOKUP(AO713,tbFactorMes,2,FALSE),"")</f>
        <v/>
      </c>
      <c r="AQ713">
        <f t="shared" si="161"/>
        <v>0</v>
      </c>
      <c r="AT713" t="str">
        <f>IFERROR(VLOOKUP(AS713,tbFactorMes,2,FALSE),"")</f>
        <v/>
      </c>
      <c r="AU713">
        <f t="shared" si="162"/>
        <v>0</v>
      </c>
      <c r="AX713" t="str">
        <f>IFERROR(VLOOKUP(AW713,tbFactorMes,2,FALSE),"")</f>
        <v/>
      </c>
      <c r="AY713">
        <f t="shared" si="163"/>
        <v>0</v>
      </c>
      <c r="BB713" t="str">
        <f>IFERROR(VLOOKUP(BA713,tbFactorMes,2,FALSE),"")</f>
        <v/>
      </c>
      <c r="BC713">
        <f t="shared" si="164"/>
        <v>0</v>
      </c>
      <c r="BF713" t="str">
        <f>IFERROR(VLOOKUP(BE713,tbFactorMes,2,FALSE),"")</f>
        <v/>
      </c>
      <c r="BG713">
        <f t="shared" si="165"/>
        <v>0</v>
      </c>
      <c r="BH713">
        <f t="shared" si="166"/>
        <v>0</v>
      </c>
      <c r="BI713">
        <f t="shared" si="167"/>
        <v>0</v>
      </c>
    </row>
    <row r="714" spans="11:61" x14ac:dyDescent="0.35">
      <c r="K714" t="str">
        <f>IFERROR(VLOOKUP(F714,tbTurnos,3,FALSE),"")</f>
        <v/>
      </c>
      <c r="N714" t="str">
        <f>IFERROR(VLOOKUP(M714,tbFactorMes,2,FALSE),"")</f>
        <v/>
      </c>
      <c r="O714">
        <f t="shared" si="154"/>
        <v>0</v>
      </c>
      <c r="R714" t="str">
        <f>IFERROR(VLOOKUP(Q714,tbFactorMes,2,FALSE),"")</f>
        <v/>
      </c>
      <c r="S714">
        <f t="shared" si="155"/>
        <v>0</v>
      </c>
      <c r="V714" t="str">
        <f>IFERROR(VLOOKUP(U714,tbFactorMes,2,FALSE),"")</f>
        <v/>
      </c>
      <c r="W714">
        <f t="shared" si="156"/>
        <v>0</v>
      </c>
      <c r="Z714" t="str">
        <f>IFERROR(VLOOKUP(Y714,tbFactorMes,2,FALSE),"")</f>
        <v/>
      </c>
      <c r="AA714">
        <f t="shared" si="157"/>
        <v>0</v>
      </c>
      <c r="AD714" t="str">
        <f>IFERROR(VLOOKUP(AC714,tbFactorMes,2,FALSE),"")</f>
        <v/>
      </c>
      <c r="AE714">
        <f t="shared" si="158"/>
        <v>0</v>
      </c>
      <c r="AH714" t="str">
        <f>IFERROR(VLOOKUP(AG714,tbFactorMes,2,FALSE),"")</f>
        <v/>
      </c>
      <c r="AI714">
        <f t="shared" si="159"/>
        <v>0</v>
      </c>
      <c r="AL714" t="str">
        <f>IFERROR(VLOOKUP(AK714,tbFactorMes,2,FALSE),"")</f>
        <v/>
      </c>
      <c r="AM714">
        <f t="shared" si="160"/>
        <v>0</v>
      </c>
      <c r="AP714" t="str">
        <f>IFERROR(VLOOKUP(AO714,tbFactorMes,2,FALSE),"")</f>
        <v/>
      </c>
      <c r="AQ714">
        <f t="shared" si="161"/>
        <v>0</v>
      </c>
      <c r="AT714" t="str">
        <f>IFERROR(VLOOKUP(AS714,tbFactorMes,2,FALSE),"")</f>
        <v/>
      </c>
      <c r="AU714">
        <f t="shared" si="162"/>
        <v>0</v>
      </c>
      <c r="AX714" t="str">
        <f>IFERROR(VLOOKUP(AW714,tbFactorMes,2,FALSE),"")</f>
        <v/>
      </c>
      <c r="AY714">
        <f t="shared" si="163"/>
        <v>0</v>
      </c>
      <c r="BB714" t="str">
        <f>IFERROR(VLOOKUP(BA714,tbFactorMes,2,FALSE),"")</f>
        <v/>
      </c>
      <c r="BC714">
        <f t="shared" si="164"/>
        <v>0</v>
      </c>
      <c r="BF714" t="str">
        <f>IFERROR(VLOOKUP(BE714,tbFactorMes,2,FALSE),"")</f>
        <v/>
      </c>
      <c r="BG714">
        <f t="shared" si="165"/>
        <v>0</v>
      </c>
      <c r="BH714">
        <f t="shared" si="166"/>
        <v>0</v>
      </c>
      <c r="BI714">
        <f t="shared" si="167"/>
        <v>0</v>
      </c>
    </row>
    <row r="715" spans="11:61" x14ac:dyDescent="0.35">
      <c r="K715" t="str">
        <f>IFERROR(VLOOKUP(F715,tbTurnos,3,FALSE),"")</f>
        <v/>
      </c>
      <c r="N715" t="str">
        <f>IFERROR(VLOOKUP(M715,tbFactorMes,2,FALSE),"")</f>
        <v/>
      </c>
      <c r="O715">
        <f t="shared" si="154"/>
        <v>0</v>
      </c>
      <c r="R715" t="str">
        <f>IFERROR(VLOOKUP(Q715,tbFactorMes,2,FALSE),"")</f>
        <v/>
      </c>
      <c r="S715">
        <f t="shared" si="155"/>
        <v>0</v>
      </c>
      <c r="V715" t="str">
        <f>IFERROR(VLOOKUP(U715,tbFactorMes,2,FALSE),"")</f>
        <v/>
      </c>
      <c r="W715">
        <f t="shared" si="156"/>
        <v>0</v>
      </c>
      <c r="Z715" t="str">
        <f>IFERROR(VLOOKUP(Y715,tbFactorMes,2,FALSE),"")</f>
        <v/>
      </c>
      <c r="AA715">
        <f t="shared" si="157"/>
        <v>0</v>
      </c>
      <c r="AD715" t="str">
        <f>IFERROR(VLOOKUP(AC715,tbFactorMes,2,FALSE),"")</f>
        <v/>
      </c>
      <c r="AE715">
        <f t="shared" si="158"/>
        <v>0</v>
      </c>
      <c r="AH715" t="str">
        <f>IFERROR(VLOOKUP(AG715,tbFactorMes,2,FALSE),"")</f>
        <v/>
      </c>
      <c r="AI715">
        <f t="shared" si="159"/>
        <v>0</v>
      </c>
      <c r="AL715" t="str">
        <f>IFERROR(VLOOKUP(AK715,tbFactorMes,2,FALSE),"")</f>
        <v/>
      </c>
      <c r="AM715">
        <f t="shared" si="160"/>
        <v>0</v>
      </c>
      <c r="AP715" t="str">
        <f>IFERROR(VLOOKUP(AO715,tbFactorMes,2,FALSE),"")</f>
        <v/>
      </c>
      <c r="AQ715">
        <f t="shared" si="161"/>
        <v>0</v>
      </c>
      <c r="AT715" t="str">
        <f>IFERROR(VLOOKUP(AS715,tbFactorMes,2,FALSE),"")</f>
        <v/>
      </c>
      <c r="AU715">
        <f t="shared" si="162"/>
        <v>0</v>
      </c>
      <c r="AX715" t="str">
        <f>IFERROR(VLOOKUP(AW715,tbFactorMes,2,FALSE),"")</f>
        <v/>
      </c>
      <c r="AY715">
        <f t="shared" si="163"/>
        <v>0</v>
      </c>
      <c r="BB715" t="str">
        <f>IFERROR(VLOOKUP(BA715,tbFactorMes,2,FALSE),"")</f>
        <v/>
      </c>
      <c r="BC715">
        <f t="shared" si="164"/>
        <v>0</v>
      </c>
      <c r="BF715" t="str">
        <f>IFERROR(VLOOKUP(BE715,tbFactorMes,2,FALSE),"")</f>
        <v/>
      </c>
      <c r="BG715">
        <f t="shared" si="165"/>
        <v>0</v>
      </c>
      <c r="BH715">
        <f t="shared" si="166"/>
        <v>0</v>
      </c>
      <c r="BI715">
        <f t="shared" si="167"/>
        <v>0</v>
      </c>
    </row>
    <row r="716" spans="11:61" x14ac:dyDescent="0.35">
      <c r="K716" t="str">
        <f>IFERROR(VLOOKUP(F716,tbTurnos,3,FALSE),"")</f>
        <v/>
      </c>
      <c r="N716" t="str">
        <f>IFERROR(VLOOKUP(M716,tbFactorMes,2,FALSE),"")</f>
        <v/>
      </c>
      <c r="O716">
        <f t="shared" si="154"/>
        <v>0</v>
      </c>
      <c r="R716" t="str">
        <f>IFERROR(VLOOKUP(Q716,tbFactorMes,2,FALSE),"")</f>
        <v/>
      </c>
      <c r="S716">
        <f t="shared" si="155"/>
        <v>0</v>
      </c>
      <c r="V716" t="str">
        <f>IFERROR(VLOOKUP(U716,tbFactorMes,2,FALSE),"")</f>
        <v/>
      </c>
      <c r="W716">
        <f t="shared" si="156"/>
        <v>0</v>
      </c>
      <c r="Z716" t="str">
        <f>IFERROR(VLOOKUP(Y716,tbFactorMes,2,FALSE),"")</f>
        <v/>
      </c>
      <c r="AA716">
        <f t="shared" si="157"/>
        <v>0</v>
      </c>
      <c r="AD716" t="str">
        <f>IFERROR(VLOOKUP(AC716,tbFactorMes,2,FALSE),"")</f>
        <v/>
      </c>
      <c r="AE716">
        <f t="shared" si="158"/>
        <v>0</v>
      </c>
      <c r="AH716" t="str">
        <f>IFERROR(VLOOKUP(AG716,tbFactorMes,2,FALSE),"")</f>
        <v/>
      </c>
      <c r="AI716">
        <f t="shared" si="159"/>
        <v>0</v>
      </c>
      <c r="AL716" t="str">
        <f>IFERROR(VLOOKUP(AK716,tbFactorMes,2,FALSE),"")</f>
        <v/>
      </c>
      <c r="AM716">
        <f t="shared" si="160"/>
        <v>0</v>
      </c>
      <c r="AP716" t="str">
        <f>IFERROR(VLOOKUP(AO716,tbFactorMes,2,FALSE),"")</f>
        <v/>
      </c>
      <c r="AQ716">
        <f t="shared" si="161"/>
        <v>0</v>
      </c>
      <c r="AT716" t="str">
        <f>IFERROR(VLOOKUP(AS716,tbFactorMes,2,FALSE),"")</f>
        <v/>
      </c>
      <c r="AU716">
        <f t="shared" si="162"/>
        <v>0</v>
      </c>
      <c r="AX716" t="str">
        <f>IFERROR(VLOOKUP(AW716,tbFactorMes,2,FALSE),"")</f>
        <v/>
      </c>
      <c r="AY716">
        <f t="shared" si="163"/>
        <v>0</v>
      </c>
      <c r="BB716" t="str">
        <f>IFERROR(VLOOKUP(BA716,tbFactorMes,2,FALSE),"")</f>
        <v/>
      </c>
      <c r="BC716">
        <f t="shared" si="164"/>
        <v>0</v>
      </c>
      <c r="BF716" t="str">
        <f>IFERROR(VLOOKUP(BE716,tbFactorMes,2,FALSE),"")</f>
        <v/>
      </c>
      <c r="BG716">
        <f t="shared" si="165"/>
        <v>0</v>
      </c>
      <c r="BH716">
        <f t="shared" si="166"/>
        <v>0</v>
      </c>
      <c r="BI716">
        <f t="shared" si="167"/>
        <v>0</v>
      </c>
    </row>
    <row r="717" spans="11:61" x14ac:dyDescent="0.35">
      <c r="K717" t="str">
        <f>IFERROR(VLOOKUP(F717,tbTurnos,3,FALSE),"")</f>
        <v/>
      </c>
      <c r="N717" t="str">
        <f>IFERROR(VLOOKUP(M717,tbFactorMes,2,FALSE),"")</f>
        <v/>
      </c>
      <c r="O717">
        <f t="shared" si="154"/>
        <v>0</v>
      </c>
      <c r="R717" t="str">
        <f>IFERROR(VLOOKUP(Q717,tbFactorMes,2,FALSE),"")</f>
        <v/>
      </c>
      <c r="S717">
        <f t="shared" si="155"/>
        <v>0</v>
      </c>
      <c r="V717" t="str">
        <f>IFERROR(VLOOKUP(U717,tbFactorMes,2,FALSE),"")</f>
        <v/>
      </c>
      <c r="W717">
        <f t="shared" si="156"/>
        <v>0</v>
      </c>
      <c r="Z717" t="str">
        <f>IFERROR(VLOOKUP(Y717,tbFactorMes,2,FALSE),"")</f>
        <v/>
      </c>
      <c r="AA717">
        <f t="shared" si="157"/>
        <v>0</v>
      </c>
      <c r="AD717" t="str">
        <f>IFERROR(VLOOKUP(AC717,tbFactorMes,2,FALSE),"")</f>
        <v/>
      </c>
      <c r="AE717">
        <f t="shared" si="158"/>
        <v>0</v>
      </c>
      <c r="AH717" t="str">
        <f>IFERROR(VLOOKUP(AG717,tbFactorMes,2,FALSE),"")</f>
        <v/>
      </c>
      <c r="AI717">
        <f t="shared" si="159"/>
        <v>0</v>
      </c>
      <c r="AL717" t="str">
        <f>IFERROR(VLOOKUP(AK717,tbFactorMes,2,FALSE),"")</f>
        <v/>
      </c>
      <c r="AM717">
        <f t="shared" si="160"/>
        <v>0</v>
      </c>
      <c r="AP717" t="str">
        <f>IFERROR(VLOOKUP(AO717,tbFactorMes,2,FALSE),"")</f>
        <v/>
      </c>
      <c r="AQ717">
        <f t="shared" si="161"/>
        <v>0</v>
      </c>
      <c r="AT717" t="str">
        <f>IFERROR(VLOOKUP(AS717,tbFactorMes,2,FALSE),"")</f>
        <v/>
      </c>
      <c r="AU717">
        <f t="shared" si="162"/>
        <v>0</v>
      </c>
      <c r="AX717" t="str">
        <f>IFERROR(VLOOKUP(AW717,tbFactorMes,2,FALSE),"")</f>
        <v/>
      </c>
      <c r="AY717">
        <f t="shared" si="163"/>
        <v>0</v>
      </c>
      <c r="BB717" t="str">
        <f>IFERROR(VLOOKUP(BA717,tbFactorMes,2,FALSE),"")</f>
        <v/>
      </c>
      <c r="BC717">
        <f t="shared" si="164"/>
        <v>0</v>
      </c>
      <c r="BF717" t="str">
        <f>IFERROR(VLOOKUP(BE717,tbFactorMes,2,FALSE),"")</f>
        <v/>
      </c>
      <c r="BG717">
        <f t="shared" si="165"/>
        <v>0</v>
      </c>
      <c r="BH717">
        <f t="shared" si="166"/>
        <v>0</v>
      </c>
      <c r="BI717">
        <f t="shared" si="167"/>
        <v>0</v>
      </c>
    </row>
    <row r="718" spans="11:61" x14ac:dyDescent="0.35">
      <c r="K718" t="str">
        <f>IFERROR(VLOOKUP(F718,tbTurnos,3,FALSE),"")</f>
        <v/>
      </c>
      <c r="N718" t="str">
        <f>IFERROR(VLOOKUP(M718,tbFactorMes,2,FALSE),"")</f>
        <v/>
      </c>
      <c r="O718">
        <f t="shared" si="154"/>
        <v>0</v>
      </c>
      <c r="R718" t="str">
        <f>IFERROR(VLOOKUP(Q718,tbFactorMes,2,FALSE),"")</f>
        <v/>
      </c>
      <c r="S718">
        <f t="shared" si="155"/>
        <v>0</v>
      </c>
      <c r="V718" t="str">
        <f>IFERROR(VLOOKUP(U718,tbFactorMes,2,FALSE),"")</f>
        <v/>
      </c>
      <c r="W718">
        <f t="shared" si="156"/>
        <v>0</v>
      </c>
      <c r="Z718" t="str">
        <f>IFERROR(VLOOKUP(Y718,tbFactorMes,2,FALSE),"")</f>
        <v/>
      </c>
      <c r="AA718">
        <f t="shared" si="157"/>
        <v>0</v>
      </c>
      <c r="AD718" t="str">
        <f>IFERROR(VLOOKUP(AC718,tbFactorMes,2,FALSE),"")</f>
        <v/>
      </c>
      <c r="AE718">
        <f t="shared" si="158"/>
        <v>0</v>
      </c>
      <c r="AH718" t="str">
        <f>IFERROR(VLOOKUP(AG718,tbFactorMes,2,FALSE),"")</f>
        <v/>
      </c>
      <c r="AI718">
        <f t="shared" si="159"/>
        <v>0</v>
      </c>
      <c r="AL718" t="str">
        <f>IFERROR(VLOOKUP(AK718,tbFactorMes,2,FALSE),"")</f>
        <v/>
      </c>
      <c r="AM718">
        <f t="shared" si="160"/>
        <v>0</v>
      </c>
      <c r="AP718" t="str">
        <f>IFERROR(VLOOKUP(AO718,tbFactorMes,2,FALSE),"")</f>
        <v/>
      </c>
      <c r="AQ718">
        <f t="shared" si="161"/>
        <v>0</v>
      </c>
      <c r="AT718" t="str">
        <f>IFERROR(VLOOKUP(AS718,tbFactorMes,2,FALSE),"")</f>
        <v/>
      </c>
      <c r="AU718">
        <f t="shared" si="162"/>
        <v>0</v>
      </c>
      <c r="AX718" t="str">
        <f>IFERROR(VLOOKUP(AW718,tbFactorMes,2,FALSE),"")</f>
        <v/>
      </c>
      <c r="AY718">
        <f t="shared" si="163"/>
        <v>0</v>
      </c>
      <c r="BB718" t="str">
        <f>IFERROR(VLOOKUP(BA718,tbFactorMes,2,FALSE),"")</f>
        <v/>
      </c>
      <c r="BC718">
        <f t="shared" si="164"/>
        <v>0</v>
      </c>
      <c r="BF718" t="str">
        <f>IFERROR(VLOOKUP(BE718,tbFactorMes,2,FALSE),"")</f>
        <v/>
      </c>
      <c r="BG718">
        <f t="shared" si="165"/>
        <v>0</v>
      </c>
      <c r="BH718">
        <f t="shared" si="166"/>
        <v>0</v>
      </c>
      <c r="BI718">
        <f t="shared" si="167"/>
        <v>0</v>
      </c>
    </row>
    <row r="719" spans="11:61" x14ac:dyDescent="0.35">
      <c r="K719" t="str">
        <f>IFERROR(VLOOKUP(F719,tbTurnos,3,FALSE),"")</f>
        <v/>
      </c>
      <c r="N719" t="str">
        <f>IFERROR(VLOOKUP(M719,tbFactorMes,2,FALSE),"")</f>
        <v/>
      </c>
      <c r="O719">
        <f t="shared" si="154"/>
        <v>0</v>
      </c>
      <c r="R719" t="str">
        <f>IFERROR(VLOOKUP(Q719,tbFactorMes,2,FALSE),"")</f>
        <v/>
      </c>
      <c r="S719">
        <f t="shared" si="155"/>
        <v>0</v>
      </c>
      <c r="V719" t="str">
        <f>IFERROR(VLOOKUP(U719,tbFactorMes,2,FALSE),"")</f>
        <v/>
      </c>
      <c r="W719">
        <f t="shared" si="156"/>
        <v>0</v>
      </c>
      <c r="Z719" t="str">
        <f>IFERROR(VLOOKUP(Y719,tbFactorMes,2,FALSE),"")</f>
        <v/>
      </c>
      <c r="AA719">
        <f t="shared" si="157"/>
        <v>0</v>
      </c>
      <c r="AD719" t="str">
        <f>IFERROR(VLOOKUP(AC719,tbFactorMes,2,FALSE),"")</f>
        <v/>
      </c>
      <c r="AE719">
        <f t="shared" si="158"/>
        <v>0</v>
      </c>
      <c r="AH719" t="str">
        <f>IFERROR(VLOOKUP(AG719,tbFactorMes,2,FALSE),"")</f>
        <v/>
      </c>
      <c r="AI719">
        <f t="shared" si="159"/>
        <v>0</v>
      </c>
      <c r="AL719" t="str">
        <f>IFERROR(VLOOKUP(AK719,tbFactorMes,2,FALSE),"")</f>
        <v/>
      </c>
      <c r="AM719">
        <f t="shared" si="160"/>
        <v>0</v>
      </c>
      <c r="AP719" t="str">
        <f>IFERROR(VLOOKUP(AO719,tbFactorMes,2,FALSE),"")</f>
        <v/>
      </c>
      <c r="AQ719">
        <f t="shared" si="161"/>
        <v>0</v>
      </c>
      <c r="AT719" t="str">
        <f>IFERROR(VLOOKUP(AS719,tbFactorMes,2,FALSE),"")</f>
        <v/>
      </c>
      <c r="AU719">
        <f t="shared" si="162"/>
        <v>0</v>
      </c>
      <c r="AX719" t="str">
        <f>IFERROR(VLOOKUP(AW719,tbFactorMes,2,FALSE),"")</f>
        <v/>
      </c>
      <c r="AY719">
        <f t="shared" si="163"/>
        <v>0</v>
      </c>
      <c r="BB719" t="str">
        <f>IFERROR(VLOOKUP(BA719,tbFactorMes,2,FALSE),"")</f>
        <v/>
      </c>
      <c r="BC719">
        <f t="shared" si="164"/>
        <v>0</v>
      </c>
      <c r="BF719" t="str">
        <f>IFERROR(VLOOKUP(BE719,tbFactorMes,2,FALSE),"")</f>
        <v/>
      </c>
      <c r="BG719">
        <f t="shared" si="165"/>
        <v>0</v>
      </c>
      <c r="BH719">
        <f t="shared" si="166"/>
        <v>0</v>
      </c>
      <c r="BI719">
        <f t="shared" si="167"/>
        <v>0</v>
      </c>
    </row>
    <row r="720" spans="11:61" x14ac:dyDescent="0.35">
      <c r="K720" t="str">
        <f>IFERROR(VLOOKUP(F720,tbTurnos,3,FALSE),"")</f>
        <v/>
      </c>
      <c r="N720" t="str">
        <f>IFERROR(VLOOKUP(M720,tbFactorMes,2,FALSE),"")</f>
        <v/>
      </c>
      <c r="O720">
        <f t="shared" si="154"/>
        <v>0</v>
      </c>
      <c r="R720" t="str">
        <f>IFERROR(VLOOKUP(Q720,tbFactorMes,2,FALSE),"")</f>
        <v/>
      </c>
      <c r="S720">
        <f t="shared" si="155"/>
        <v>0</v>
      </c>
      <c r="V720" t="str">
        <f>IFERROR(VLOOKUP(U720,tbFactorMes,2,FALSE),"")</f>
        <v/>
      </c>
      <c r="W720">
        <f t="shared" si="156"/>
        <v>0</v>
      </c>
      <c r="Z720" t="str">
        <f>IFERROR(VLOOKUP(Y720,tbFactorMes,2,FALSE),"")</f>
        <v/>
      </c>
      <c r="AA720">
        <f t="shared" si="157"/>
        <v>0</v>
      </c>
      <c r="AD720" t="str">
        <f>IFERROR(VLOOKUP(AC720,tbFactorMes,2,FALSE),"")</f>
        <v/>
      </c>
      <c r="AE720">
        <f t="shared" si="158"/>
        <v>0</v>
      </c>
      <c r="AH720" t="str">
        <f>IFERROR(VLOOKUP(AG720,tbFactorMes,2,FALSE),"")</f>
        <v/>
      </c>
      <c r="AI720">
        <f t="shared" si="159"/>
        <v>0</v>
      </c>
      <c r="AL720" t="str">
        <f>IFERROR(VLOOKUP(AK720,tbFactorMes,2,FALSE),"")</f>
        <v/>
      </c>
      <c r="AM720">
        <f t="shared" si="160"/>
        <v>0</v>
      </c>
      <c r="AP720" t="str">
        <f>IFERROR(VLOOKUP(AO720,tbFactorMes,2,FALSE),"")</f>
        <v/>
      </c>
      <c r="AQ720">
        <f t="shared" si="161"/>
        <v>0</v>
      </c>
      <c r="AT720" t="str">
        <f>IFERROR(VLOOKUP(AS720,tbFactorMes,2,FALSE),"")</f>
        <v/>
      </c>
      <c r="AU720">
        <f t="shared" si="162"/>
        <v>0</v>
      </c>
      <c r="AX720" t="str">
        <f>IFERROR(VLOOKUP(AW720,tbFactorMes,2,FALSE),"")</f>
        <v/>
      </c>
      <c r="AY720">
        <f t="shared" si="163"/>
        <v>0</v>
      </c>
      <c r="BB720" t="str">
        <f>IFERROR(VLOOKUP(BA720,tbFactorMes,2,FALSE),"")</f>
        <v/>
      </c>
      <c r="BC720">
        <f t="shared" si="164"/>
        <v>0</v>
      </c>
      <c r="BF720" t="str">
        <f>IFERROR(VLOOKUP(BE720,tbFactorMes,2,FALSE),"")</f>
        <v/>
      </c>
      <c r="BG720">
        <f t="shared" si="165"/>
        <v>0</v>
      </c>
      <c r="BH720">
        <f t="shared" si="166"/>
        <v>0</v>
      </c>
      <c r="BI720">
        <f t="shared" si="167"/>
        <v>0</v>
      </c>
    </row>
    <row r="721" spans="11:61" x14ac:dyDescent="0.35">
      <c r="K721" t="str">
        <f>IFERROR(VLOOKUP(F721,tbTurnos,3,FALSE),"")</f>
        <v/>
      </c>
      <c r="N721" t="str">
        <f>IFERROR(VLOOKUP(M721,tbFactorMes,2,FALSE),"")</f>
        <v/>
      </c>
      <c r="O721">
        <f t="shared" si="154"/>
        <v>0</v>
      </c>
      <c r="R721" t="str">
        <f>IFERROR(VLOOKUP(Q721,tbFactorMes,2,FALSE),"")</f>
        <v/>
      </c>
      <c r="S721">
        <f t="shared" si="155"/>
        <v>0</v>
      </c>
      <c r="V721" t="str">
        <f>IFERROR(VLOOKUP(U721,tbFactorMes,2,FALSE),"")</f>
        <v/>
      </c>
      <c r="W721">
        <f t="shared" si="156"/>
        <v>0</v>
      </c>
      <c r="Z721" t="str">
        <f>IFERROR(VLOOKUP(Y721,tbFactorMes,2,FALSE),"")</f>
        <v/>
      </c>
      <c r="AA721">
        <f t="shared" si="157"/>
        <v>0</v>
      </c>
      <c r="AD721" t="str">
        <f>IFERROR(VLOOKUP(AC721,tbFactorMes,2,FALSE),"")</f>
        <v/>
      </c>
      <c r="AE721">
        <f t="shared" si="158"/>
        <v>0</v>
      </c>
      <c r="AH721" t="str">
        <f>IFERROR(VLOOKUP(AG721,tbFactorMes,2,FALSE),"")</f>
        <v/>
      </c>
      <c r="AI721">
        <f t="shared" si="159"/>
        <v>0</v>
      </c>
      <c r="AL721" t="str">
        <f>IFERROR(VLOOKUP(AK721,tbFactorMes,2,FALSE),"")</f>
        <v/>
      </c>
      <c r="AM721">
        <f t="shared" si="160"/>
        <v>0</v>
      </c>
      <c r="AP721" t="str">
        <f>IFERROR(VLOOKUP(AO721,tbFactorMes,2,FALSE),"")</f>
        <v/>
      </c>
      <c r="AQ721">
        <f t="shared" si="161"/>
        <v>0</v>
      </c>
      <c r="AT721" t="str">
        <f>IFERROR(VLOOKUP(AS721,tbFactorMes,2,FALSE),"")</f>
        <v/>
      </c>
      <c r="AU721">
        <f t="shared" si="162"/>
        <v>0</v>
      </c>
      <c r="AX721" t="str">
        <f>IFERROR(VLOOKUP(AW721,tbFactorMes,2,FALSE),"")</f>
        <v/>
      </c>
      <c r="AY721">
        <f t="shared" si="163"/>
        <v>0</v>
      </c>
      <c r="BB721" t="str">
        <f>IFERROR(VLOOKUP(BA721,tbFactorMes,2,FALSE),"")</f>
        <v/>
      </c>
      <c r="BC721">
        <f t="shared" si="164"/>
        <v>0</v>
      </c>
      <c r="BF721" t="str">
        <f>IFERROR(VLOOKUP(BE721,tbFactorMes,2,FALSE),"")</f>
        <v/>
      </c>
      <c r="BG721">
        <f t="shared" si="165"/>
        <v>0</v>
      </c>
      <c r="BH721">
        <f t="shared" si="166"/>
        <v>0</v>
      </c>
      <c r="BI721">
        <f t="shared" si="167"/>
        <v>0</v>
      </c>
    </row>
    <row r="722" spans="11:61" x14ac:dyDescent="0.35">
      <c r="K722" t="str">
        <f>IFERROR(VLOOKUP(F722,tbTurnos,3,FALSE),"")</f>
        <v/>
      </c>
      <c r="N722" t="str">
        <f>IFERROR(VLOOKUP(M722,tbFactorMes,2,FALSE),"")</f>
        <v/>
      </c>
      <c r="O722">
        <f t="shared" si="154"/>
        <v>0</v>
      </c>
      <c r="R722" t="str">
        <f>IFERROR(VLOOKUP(Q722,tbFactorMes,2,FALSE),"")</f>
        <v/>
      </c>
      <c r="S722">
        <f t="shared" si="155"/>
        <v>0</v>
      </c>
      <c r="V722" t="str">
        <f>IFERROR(VLOOKUP(U722,tbFactorMes,2,FALSE),"")</f>
        <v/>
      </c>
      <c r="W722">
        <f t="shared" si="156"/>
        <v>0</v>
      </c>
      <c r="Z722" t="str">
        <f>IFERROR(VLOOKUP(Y722,tbFactorMes,2,FALSE),"")</f>
        <v/>
      </c>
      <c r="AA722">
        <f t="shared" si="157"/>
        <v>0</v>
      </c>
      <c r="AD722" t="str">
        <f>IFERROR(VLOOKUP(AC722,tbFactorMes,2,FALSE),"")</f>
        <v/>
      </c>
      <c r="AE722">
        <f t="shared" si="158"/>
        <v>0</v>
      </c>
      <c r="AH722" t="str">
        <f>IFERROR(VLOOKUP(AG722,tbFactorMes,2,FALSE),"")</f>
        <v/>
      </c>
      <c r="AI722">
        <f t="shared" si="159"/>
        <v>0</v>
      </c>
      <c r="AL722" t="str">
        <f>IFERROR(VLOOKUP(AK722,tbFactorMes,2,FALSE),"")</f>
        <v/>
      </c>
      <c r="AM722">
        <f t="shared" si="160"/>
        <v>0</v>
      </c>
      <c r="AP722" t="str">
        <f>IFERROR(VLOOKUP(AO722,tbFactorMes,2,FALSE),"")</f>
        <v/>
      </c>
      <c r="AQ722">
        <f t="shared" si="161"/>
        <v>0</v>
      </c>
      <c r="AT722" t="str">
        <f>IFERROR(VLOOKUP(AS722,tbFactorMes,2,FALSE),"")</f>
        <v/>
      </c>
      <c r="AU722">
        <f t="shared" si="162"/>
        <v>0</v>
      </c>
      <c r="AX722" t="str">
        <f>IFERROR(VLOOKUP(AW722,tbFactorMes,2,FALSE),"")</f>
        <v/>
      </c>
      <c r="AY722">
        <f t="shared" si="163"/>
        <v>0</v>
      </c>
      <c r="BB722" t="str">
        <f>IFERROR(VLOOKUP(BA722,tbFactorMes,2,FALSE),"")</f>
        <v/>
      </c>
      <c r="BC722">
        <f t="shared" si="164"/>
        <v>0</v>
      </c>
      <c r="BF722" t="str">
        <f>IFERROR(VLOOKUP(BE722,tbFactorMes,2,FALSE),"")</f>
        <v/>
      </c>
      <c r="BG722">
        <f t="shared" si="165"/>
        <v>0</v>
      </c>
      <c r="BH722">
        <f t="shared" si="166"/>
        <v>0</v>
      </c>
      <c r="BI722">
        <f t="shared" si="167"/>
        <v>0</v>
      </c>
    </row>
    <row r="723" spans="11:61" x14ac:dyDescent="0.35">
      <c r="K723" t="str">
        <f>IFERROR(VLOOKUP(F723,tbTurnos,3,FALSE),"")</f>
        <v/>
      </c>
      <c r="N723" t="str">
        <f>IFERROR(VLOOKUP(M723,tbFactorMes,2,FALSE),"")</f>
        <v/>
      </c>
      <c r="O723">
        <f t="shared" si="154"/>
        <v>0</v>
      </c>
      <c r="R723" t="str">
        <f>IFERROR(VLOOKUP(Q723,tbFactorMes,2,FALSE),"")</f>
        <v/>
      </c>
      <c r="S723">
        <f t="shared" si="155"/>
        <v>0</v>
      </c>
      <c r="V723" t="str">
        <f>IFERROR(VLOOKUP(U723,tbFactorMes,2,FALSE),"")</f>
        <v/>
      </c>
      <c r="W723">
        <f t="shared" si="156"/>
        <v>0</v>
      </c>
      <c r="Z723" t="str">
        <f>IFERROR(VLOOKUP(Y723,tbFactorMes,2,FALSE),"")</f>
        <v/>
      </c>
      <c r="AA723">
        <f t="shared" si="157"/>
        <v>0</v>
      </c>
      <c r="AD723" t="str">
        <f>IFERROR(VLOOKUP(AC723,tbFactorMes,2,FALSE),"")</f>
        <v/>
      </c>
      <c r="AE723">
        <f t="shared" si="158"/>
        <v>0</v>
      </c>
      <c r="AH723" t="str">
        <f>IFERROR(VLOOKUP(AG723,tbFactorMes,2,FALSE),"")</f>
        <v/>
      </c>
      <c r="AI723">
        <f t="shared" si="159"/>
        <v>0</v>
      </c>
      <c r="AL723" t="str">
        <f>IFERROR(VLOOKUP(AK723,tbFactorMes,2,FALSE),"")</f>
        <v/>
      </c>
      <c r="AM723">
        <f t="shared" si="160"/>
        <v>0</v>
      </c>
      <c r="AP723" t="str">
        <f>IFERROR(VLOOKUP(AO723,tbFactorMes,2,FALSE),"")</f>
        <v/>
      </c>
      <c r="AQ723">
        <f t="shared" si="161"/>
        <v>0</v>
      </c>
      <c r="AT723" t="str">
        <f>IFERROR(VLOOKUP(AS723,tbFactorMes,2,FALSE),"")</f>
        <v/>
      </c>
      <c r="AU723">
        <f t="shared" si="162"/>
        <v>0</v>
      </c>
      <c r="AX723" t="str">
        <f>IFERROR(VLOOKUP(AW723,tbFactorMes,2,FALSE),"")</f>
        <v/>
      </c>
      <c r="AY723">
        <f t="shared" si="163"/>
        <v>0</v>
      </c>
      <c r="BB723" t="str">
        <f>IFERROR(VLOOKUP(BA723,tbFactorMes,2,FALSE),"")</f>
        <v/>
      </c>
      <c r="BC723">
        <f t="shared" si="164"/>
        <v>0</v>
      </c>
      <c r="BF723" t="str">
        <f>IFERROR(VLOOKUP(BE723,tbFactorMes,2,FALSE),"")</f>
        <v/>
      </c>
      <c r="BG723">
        <f t="shared" si="165"/>
        <v>0</v>
      </c>
      <c r="BH723">
        <f t="shared" si="166"/>
        <v>0</v>
      </c>
      <c r="BI723">
        <f t="shared" si="167"/>
        <v>0</v>
      </c>
    </row>
    <row r="724" spans="11:61" x14ac:dyDescent="0.35">
      <c r="K724" t="str">
        <f>IFERROR(VLOOKUP(F724,tbTurnos,3,FALSE),"")</f>
        <v/>
      </c>
      <c r="N724" t="str">
        <f>IFERROR(VLOOKUP(M724,tbFactorMes,2,FALSE),"")</f>
        <v/>
      </c>
      <c r="O724">
        <f t="shared" si="154"/>
        <v>0</v>
      </c>
      <c r="R724" t="str">
        <f>IFERROR(VLOOKUP(Q724,tbFactorMes,2,FALSE),"")</f>
        <v/>
      </c>
      <c r="S724">
        <f t="shared" si="155"/>
        <v>0</v>
      </c>
      <c r="V724" t="str">
        <f>IFERROR(VLOOKUP(U724,tbFactorMes,2,FALSE),"")</f>
        <v/>
      </c>
      <c r="W724">
        <f t="shared" si="156"/>
        <v>0</v>
      </c>
      <c r="Z724" t="str">
        <f>IFERROR(VLOOKUP(Y724,tbFactorMes,2,FALSE),"")</f>
        <v/>
      </c>
      <c r="AA724">
        <f t="shared" si="157"/>
        <v>0</v>
      </c>
      <c r="AD724" t="str">
        <f>IFERROR(VLOOKUP(AC724,tbFactorMes,2,FALSE),"")</f>
        <v/>
      </c>
      <c r="AE724">
        <f t="shared" si="158"/>
        <v>0</v>
      </c>
      <c r="AH724" t="str">
        <f>IFERROR(VLOOKUP(AG724,tbFactorMes,2,FALSE),"")</f>
        <v/>
      </c>
      <c r="AI724">
        <f t="shared" si="159"/>
        <v>0</v>
      </c>
      <c r="AL724" t="str">
        <f>IFERROR(VLOOKUP(AK724,tbFactorMes,2,FALSE),"")</f>
        <v/>
      </c>
      <c r="AM724">
        <f t="shared" si="160"/>
        <v>0</v>
      </c>
      <c r="AP724" t="str">
        <f>IFERROR(VLOOKUP(AO724,tbFactorMes,2,FALSE),"")</f>
        <v/>
      </c>
      <c r="AQ724">
        <f t="shared" si="161"/>
        <v>0</v>
      </c>
      <c r="AT724" t="str">
        <f>IFERROR(VLOOKUP(AS724,tbFactorMes,2,FALSE),"")</f>
        <v/>
      </c>
      <c r="AU724">
        <f t="shared" si="162"/>
        <v>0</v>
      </c>
      <c r="AX724" t="str">
        <f>IFERROR(VLOOKUP(AW724,tbFactorMes,2,FALSE),"")</f>
        <v/>
      </c>
      <c r="AY724">
        <f t="shared" si="163"/>
        <v>0</v>
      </c>
      <c r="BB724" t="str">
        <f>IFERROR(VLOOKUP(BA724,tbFactorMes,2,FALSE),"")</f>
        <v/>
      </c>
      <c r="BC724">
        <f t="shared" si="164"/>
        <v>0</v>
      </c>
      <c r="BF724" t="str">
        <f>IFERROR(VLOOKUP(BE724,tbFactorMes,2,FALSE),"")</f>
        <v/>
      </c>
      <c r="BG724">
        <f t="shared" si="165"/>
        <v>0</v>
      </c>
      <c r="BH724">
        <f t="shared" si="166"/>
        <v>0</v>
      </c>
      <c r="BI724">
        <f t="shared" si="167"/>
        <v>0</v>
      </c>
    </row>
    <row r="725" spans="11:61" x14ac:dyDescent="0.35">
      <c r="K725" t="str">
        <f>IFERROR(VLOOKUP(F725,tbTurnos,3,FALSE),"")</f>
        <v/>
      </c>
      <c r="N725" t="str">
        <f>IFERROR(VLOOKUP(M725,tbFactorMes,2,FALSE),"")</f>
        <v/>
      </c>
      <c r="O725">
        <f t="shared" si="154"/>
        <v>0</v>
      </c>
      <c r="R725" t="str">
        <f>IFERROR(VLOOKUP(Q725,tbFactorMes,2,FALSE),"")</f>
        <v/>
      </c>
      <c r="S725">
        <f t="shared" si="155"/>
        <v>0</v>
      </c>
      <c r="V725" t="str">
        <f>IFERROR(VLOOKUP(U725,tbFactorMes,2,FALSE),"")</f>
        <v/>
      </c>
      <c r="W725">
        <f t="shared" si="156"/>
        <v>0</v>
      </c>
      <c r="Z725" t="str">
        <f>IFERROR(VLOOKUP(Y725,tbFactorMes,2,FALSE),"")</f>
        <v/>
      </c>
      <c r="AA725">
        <f t="shared" si="157"/>
        <v>0</v>
      </c>
      <c r="AD725" t="str">
        <f>IFERROR(VLOOKUP(AC725,tbFactorMes,2,FALSE),"")</f>
        <v/>
      </c>
      <c r="AE725">
        <f t="shared" si="158"/>
        <v>0</v>
      </c>
      <c r="AH725" t="str">
        <f>IFERROR(VLOOKUP(AG725,tbFactorMes,2,FALSE),"")</f>
        <v/>
      </c>
      <c r="AI725">
        <f t="shared" si="159"/>
        <v>0</v>
      </c>
      <c r="AL725" t="str">
        <f>IFERROR(VLOOKUP(AK725,tbFactorMes,2,FALSE),"")</f>
        <v/>
      </c>
      <c r="AM725">
        <f t="shared" si="160"/>
        <v>0</v>
      </c>
      <c r="AP725" t="str">
        <f>IFERROR(VLOOKUP(AO725,tbFactorMes,2,FALSE),"")</f>
        <v/>
      </c>
      <c r="AQ725">
        <f t="shared" si="161"/>
        <v>0</v>
      </c>
      <c r="AT725" t="str">
        <f>IFERROR(VLOOKUP(AS725,tbFactorMes,2,FALSE),"")</f>
        <v/>
      </c>
      <c r="AU725">
        <f t="shared" si="162"/>
        <v>0</v>
      </c>
      <c r="AX725" t="str">
        <f>IFERROR(VLOOKUP(AW725,tbFactorMes,2,FALSE),"")</f>
        <v/>
      </c>
      <c r="AY725">
        <f t="shared" si="163"/>
        <v>0</v>
      </c>
      <c r="BB725" t="str">
        <f>IFERROR(VLOOKUP(BA725,tbFactorMes,2,FALSE),"")</f>
        <v/>
      </c>
      <c r="BC725">
        <f t="shared" si="164"/>
        <v>0</v>
      </c>
      <c r="BF725" t="str">
        <f>IFERROR(VLOOKUP(BE725,tbFactorMes,2,FALSE),"")</f>
        <v/>
      </c>
      <c r="BG725">
        <f t="shared" si="165"/>
        <v>0</v>
      </c>
      <c r="BH725">
        <f t="shared" si="166"/>
        <v>0</v>
      </c>
      <c r="BI725">
        <f t="shared" si="167"/>
        <v>0</v>
      </c>
    </row>
    <row r="726" spans="11:61" x14ac:dyDescent="0.35">
      <c r="K726" t="str">
        <f>IFERROR(VLOOKUP(F726,tbTurnos,3,FALSE),"")</f>
        <v/>
      </c>
      <c r="N726" t="str">
        <f>IFERROR(VLOOKUP(M726,tbFactorMes,2,FALSE),"")</f>
        <v/>
      </c>
      <c r="O726">
        <f t="shared" si="154"/>
        <v>0</v>
      </c>
      <c r="R726" t="str">
        <f>IFERROR(VLOOKUP(Q726,tbFactorMes,2,FALSE),"")</f>
        <v/>
      </c>
      <c r="S726">
        <f t="shared" si="155"/>
        <v>0</v>
      </c>
      <c r="V726" t="str">
        <f>IFERROR(VLOOKUP(U726,tbFactorMes,2,FALSE),"")</f>
        <v/>
      </c>
      <c r="W726">
        <f t="shared" si="156"/>
        <v>0</v>
      </c>
      <c r="Z726" t="str">
        <f>IFERROR(VLOOKUP(Y726,tbFactorMes,2,FALSE),"")</f>
        <v/>
      </c>
      <c r="AA726">
        <f t="shared" si="157"/>
        <v>0</v>
      </c>
      <c r="AD726" t="str">
        <f>IFERROR(VLOOKUP(AC726,tbFactorMes,2,FALSE),"")</f>
        <v/>
      </c>
      <c r="AE726">
        <f t="shared" si="158"/>
        <v>0</v>
      </c>
      <c r="AH726" t="str">
        <f>IFERROR(VLOOKUP(AG726,tbFactorMes,2,FALSE),"")</f>
        <v/>
      </c>
      <c r="AI726">
        <f t="shared" si="159"/>
        <v>0</v>
      </c>
      <c r="AL726" t="str">
        <f>IFERROR(VLOOKUP(AK726,tbFactorMes,2,FALSE),"")</f>
        <v/>
      </c>
      <c r="AM726">
        <f t="shared" si="160"/>
        <v>0</v>
      </c>
      <c r="AP726" t="str">
        <f>IFERROR(VLOOKUP(AO726,tbFactorMes,2,FALSE),"")</f>
        <v/>
      </c>
      <c r="AQ726">
        <f t="shared" si="161"/>
        <v>0</v>
      </c>
      <c r="AT726" t="str">
        <f>IFERROR(VLOOKUP(AS726,tbFactorMes,2,FALSE),"")</f>
        <v/>
      </c>
      <c r="AU726">
        <f t="shared" si="162"/>
        <v>0</v>
      </c>
      <c r="AX726" t="str">
        <f>IFERROR(VLOOKUP(AW726,tbFactorMes,2,FALSE),"")</f>
        <v/>
      </c>
      <c r="AY726">
        <f t="shared" si="163"/>
        <v>0</v>
      </c>
      <c r="BB726" t="str">
        <f>IFERROR(VLOOKUP(BA726,tbFactorMes,2,FALSE),"")</f>
        <v/>
      </c>
      <c r="BC726">
        <f t="shared" si="164"/>
        <v>0</v>
      </c>
      <c r="BF726" t="str">
        <f>IFERROR(VLOOKUP(BE726,tbFactorMes,2,FALSE),"")</f>
        <v/>
      </c>
      <c r="BG726">
        <f t="shared" si="165"/>
        <v>0</v>
      </c>
      <c r="BH726">
        <f t="shared" si="166"/>
        <v>0</v>
      </c>
      <c r="BI726">
        <f t="shared" si="167"/>
        <v>0</v>
      </c>
    </row>
    <row r="727" spans="11:61" x14ac:dyDescent="0.35">
      <c r="K727" t="str">
        <f>IFERROR(VLOOKUP(F727,tbTurnos,3,FALSE),"")</f>
        <v/>
      </c>
      <c r="N727" t="str">
        <f>IFERROR(VLOOKUP(M727,tbFactorMes,2,FALSE),"")</f>
        <v/>
      </c>
      <c r="O727">
        <f t="shared" si="154"/>
        <v>0</v>
      </c>
      <c r="R727" t="str">
        <f>IFERROR(VLOOKUP(Q727,tbFactorMes,2,FALSE),"")</f>
        <v/>
      </c>
      <c r="S727">
        <f t="shared" si="155"/>
        <v>0</v>
      </c>
      <c r="V727" t="str">
        <f>IFERROR(VLOOKUP(U727,tbFactorMes,2,FALSE),"")</f>
        <v/>
      </c>
      <c r="W727">
        <f t="shared" si="156"/>
        <v>0</v>
      </c>
      <c r="Z727" t="str">
        <f>IFERROR(VLOOKUP(Y727,tbFactorMes,2,FALSE),"")</f>
        <v/>
      </c>
      <c r="AA727">
        <f t="shared" si="157"/>
        <v>0</v>
      </c>
      <c r="AD727" t="str">
        <f>IFERROR(VLOOKUP(AC727,tbFactorMes,2,FALSE),"")</f>
        <v/>
      </c>
      <c r="AE727">
        <f t="shared" si="158"/>
        <v>0</v>
      </c>
      <c r="AH727" t="str">
        <f>IFERROR(VLOOKUP(AG727,tbFactorMes,2,FALSE),"")</f>
        <v/>
      </c>
      <c r="AI727">
        <f t="shared" si="159"/>
        <v>0</v>
      </c>
      <c r="AL727" t="str">
        <f>IFERROR(VLOOKUP(AK727,tbFactorMes,2,FALSE),"")</f>
        <v/>
      </c>
      <c r="AM727">
        <f t="shared" si="160"/>
        <v>0</v>
      </c>
      <c r="AP727" t="str">
        <f>IFERROR(VLOOKUP(AO727,tbFactorMes,2,FALSE),"")</f>
        <v/>
      </c>
      <c r="AQ727">
        <f t="shared" si="161"/>
        <v>0</v>
      </c>
      <c r="AT727" t="str">
        <f>IFERROR(VLOOKUP(AS727,tbFactorMes,2,FALSE),"")</f>
        <v/>
      </c>
      <c r="AU727">
        <f t="shared" si="162"/>
        <v>0</v>
      </c>
      <c r="AX727" t="str">
        <f>IFERROR(VLOOKUP(AW727,tbFactorMes,2,FALSE),"")</f>
        <v/>
      </c>
      <c r="AY727">
        <f t="shared" si="163"/>
        <v>0</v>
      </c>
      <c r="BB727" t="str">
        <f>IFERROR(VLOOKUP(BA727,tbFactorMes,2,FALSE),"")</f>
        <v/>
      </c>
      <c r="BC727">
        <f t="shared" si="164"/>
        <v>0</v>
      </c>
      <c r="BF727" t="str">
        <f>IFERROR(VLOOKUP(BE727,tbFactorMes,2,FALSE),"")</f>
        <v/>
      </c>
      <c r="BG727">
        <f t="shared" si="165"/>
        <v>0</v>
      </c>
      <c r="BH727">
        <f t="shared" si="166"/>
        <v>0</v>
      </c>
      <c r="BI727">
        <f t="shared" si="167"/>
        <v>0</v>
      </c>
    </row>
    <row r="728" spans="11:61" x14ac:dyDescent="0.35">
      <c r="K728" t="str">
        <f>IFERROR(VLOOKUP(F728,tbTurnos,3,FALSE),"")</f>
        <v/>
      </c>
      <c r="N728" t="str">
        <f>IFERROR(VLOOKUP(M728,tbFactorMes,2,FALSE),"")</f>
        <v/>
      </c>
      <c r="O728">
        <f t="shared" si="154"/>
        <v>0</v>
      </c>
      <c r="R728" t="str">
        <f>IFERROR(VLOOKUP(Q728,tbFactorMes,2,FALSE),"")</f>
        <v/>
      </c>
      <c r="S728">
        <f t="shared" si="155"/>
        <v>0</v>
      </c>
      <c r="V728" t="str">
        <f>IFERROR(VLOOKUP(U728,tbFactorMes,2,FALSE),"")</f>
        <v/>
      </c>
      <c r="W728">
        <f t="shared" si="156"/>
        <v>0</v>
      </c>
      <c r="Z728" t="str">
        <f>IFERROR(VLOOKUP(Y728,tbFactorMes,2,FALSE),"")</f>
        <v/>
      </c>
      <c r="AA728">
        <f t="shared" si="157"/>
        <v>0</v>
      </c>
      <c r="AD728" t="str">
        <f>IFERROR(VLOOKUP(AC728,tbFactorMes,2,FALSE),"")</f>
        <v/>
      </c>
      <c r="AE728">
        <f t="shared" si="158"/>
        <v>0</v>
      </c>
      <c r="AH728" t="str">
        <f>IFERROR(VLOOKUP(AG728,tbFactorMes,2,FALSE),"")</f>
        <v/>
      </c>
      <c r="AI728">
        <f t="shared" si="159"/>
        <v>0</v>
      </c>
      <c r="AL728" t="str">
        <f>IFERROR(VLOOKUP(AK728,tbFactorMes,2,FALSE),"")</f>
        <v/>
      </c>
      <c r="AM728">
        <f t="shared" si="160"/>
        <v>0</v>
      </c>
      <c r="AP728" t="str">
        <f>IFERROR(VLOOKUP(AO728,tbFactorMes,2,FALSE),"")</f>
        <v/>
      </c>
      <c r="AQ728">
        <f t="shared" si="161"/>
        <v>0</v>
      </c>
      <c r="AT728" t="str">
        <f>IFERROR(VLOOKUP(AS728,tbFactorMes,2,FALSE),"")</f>
        <v/>
      </c>
      <c r="AU728">
        <f t="shared" si="162"/>
        <v>0</v>
      </c>
      <c r="AX728" t="str">
        <f>IFERROR(VLOOKUP(AW728,tbFactorMes,2,FALSE),"")</f>
        <v/>
      </c>
      <c r="AY728">
        <f t="shared" si="163"/>
        <v>0</v>
      </c>
      <c r="BB728" t="str">
        <f>IFERROR(VLOOKUP(BA728,tbFactorMes,2,FALSE),"")</f>
        <v/>
      </c>
      <c r="BC728">
        <f t="shared" si="164"/>
        <v>0</v>
      </c>
      <c r="BF728" t="str">
        <f>IFERROR(VLOOKUP(BE728,tbFactorMes,2,FALSE),"")</f>
        <v/>
      </c>
      <c r="BG728">
        <f t="shared" si="165"/>
        <v>0</v>
      </c>
      <c r="BH728">
        <f t="shared" si="166"/>
        <v>0</v>
      </c>
      <c r="BI728">
        <f t="shared" si="167"/>
        <v>0</v>
      </c>
    </row>
    <row r="729" spans="11:61" x14ac:dyDescent="0.35">
      <c r="K729" t="str">
        <f>IFERROR(VLOOKUP(F729,tbTurnos,3,FALSE),"")</f>
        <v/>
      </c>
      <c r="N729" t="str">
        <f>IFERROR(VLOOKUP(M729,tbFactorMes,2,FALSE),"")</f>
        <v/>
      </c>
      <c r="O729">
        <f t="shared" si="154"/>
        <v>0</v>
      </c>
      <c r="R729" t="str">
        <f>IFERROR(VLOOKUP(Q729,tbFactorMes,2,FALSE),"")</f>
        <v/>
      </c>
      <c r="S729">
        <f t="shared" si="155"/>
        <v>0</v>
      </c>
      <c r="V729" t="str">
        <f>IFERROR(VLOOKUP(U729,tbFactorMes,2,FALSE),"")</f>
        <v/>
      </c>
      <c r="W729">
        <f t="shared" si="156"/>
        <v>0</v>
      </c>
      <c r="Z729" t="str">
        <f>IFERROR(VLOOKUP(Y729,tbFactorMes,2,FALSE),"")</f>
        <v/>
      </c>
      <c r="AA729">
        <f t="shared" si="157"/>
        <v>0</v>
      </c>
      <c r="AD729" t="str">
        <f>IFERROR(VLOOKUP(AC729,tbFactorMes,2,FALSE),"")</f>
        <v/>
      </c>
      <c r="AE729">
        <f t="shared" si="158"/>
        <v>0</v>
      </c>
      <c r="AH729" t="str">
        <f>IFERROR(VLOOKUP(AG729,tbFactorMes,2,FALSE),"")</f>
        <v/>
      </c>
      <c r="AI729">
        <f t="shared" si="159"/>
        <v>0</v>
      </c>
      <c r="AL729" t="str">
        <f>IFERROR(VLOOKUP(AK729,tbFactorMes,2,FALSE),"")</f>
        <v/>
      </c>
      <c r="AM729">
        <f t="shared" si="160"/>
        <v>0</v>
      </c>
      <c r="AP729" t="str">
        <f>IFERROR(VLOOKUP(AO729,tbFactorMes,2,FALSE),"")</f>
        <v/>
      </c>
      <c r="AQ729">
        <f t="shared" si="161"/>
        <v>0</v>
      </c>
      <c r="AT729" t="str">
        <f>IFERROR(VLOOKUP(AS729,tbFactorMes,2,FALSE),"")</f>
        <v/>
      </c>
      <c r="AU729">
        <f t="shared" si="162"/>
        <v>0</v>
      </c>
      <c r="AX729" t="str">
        <f>IFERROR(VLOOKUP(AW729,tbFactorMes,2,FALSE),"")</f>
        <v/>
      </c>
      <c r="AY729">
        <f t="shared" si="163"/>
        <v>0</v>
      </c>
      <c r="BB729" t="str">
        <f>IFERROR(VLOOKUP(BA729,tbFactorMes,2,FALSE),"")</f>
        <v/>
      </c>
      <c r="BC729">
        <f t="shared" si="164"/>
        <v>0</v>
      </c>
      <c r="BF729" t="str">
        <f>IFERROR(VLOOKUP(BE729,tbFactorMes,2,FALSE),"")</f>
        <v/>
      </c>
      <c r="BG729">
        <f t="shared" si="165"/>
        <v>0</v>
      </c>
      <c r="BH729">
        <f t="shared" si="166"/>
        <v>0</v>
      </c>
      <c r="BI729">
        <f t="shared" si="167"/>
        <v>0</v>
      </c>
    </row>
    <row r="730" spans="11:61" x14ac:dyDescent="0.35">
      <c r="K730" t="str">
        <f>IFERROR(VLOOKUP(F730,tbTurnos,3,FALSE),"")</f>
        <v/>
      </c>
      <c r="N730" t="str">
        <f>IFERROR(VLOOKUP(M730,tbFactorMes,2,FALSE),"")</f>
        <v/>
      </c>
      <c r="O730">
        <f t="shared" si="154"/>
        <v>0</v>
      </c>
      <c r="R730" t="str">
        <f>IFERROR(VLOOKUP(Q730,tbFactorMes,2,FALSE),"")</f>
        <v/>
      </c>
      <c r="S730">
        <f t="shared" si="155"/>
        <v>0</v>
      </c>
      <c r="V730" t="str">
        <f>IFERROR(VLOOKUP(U730,tbFactorMes,2,FALSE),"")</f>
        <v/>
      </c>
      <c r="W730">
        <f t="shared" si="156"/>
        <v>0</v>
      </c>
      <c r="Z730" t="str">
        <f>IFERROR(VLOOKUP(Y730,tbFactorMes,2,FALSE),"")</f>
        <v/>
      </c>
      <c r="AA730">
        <f t="shared" si="157"/>
        <v>0</v>
      </c>
      <c r="AD730" t="str">
        <f>IFERROR(VLOOKUP(AC730,tbFactorMes,2,FALSE),"")</f>
        <v/>
      </c>
      <c r="AE730">
        <f t="shared" si="158"/>
        <v>0</v>
      </c>
      <c r="AH730" t="str">
        <f>IFERROR(VLOOKUP(AG730,tbFactorMes,2,FALSE),"")</f>
        <v/>
      </c>
      <c r="AI730">
        <f t="shared" si="159"/>
        <v>0</v>
      </c>
      <c r="AL730" t="str">
        <f>IFERROR(VLOOKUP(AK730,tbFactorMes,2,FALSE),"")</f>
        <v/>
      </c>
      <c r="AM730">
        <f t="shared" si="160"/>
        <v>0</v>
      </c>
      <c r="AP730" t="str">
        <f>IFERROR(VLOOKUP(AO730,tbFactorMes,2,FALSE),"")</f>
        <v/>
      </c>
      <c r="AQ730">
        <f t="shared" si="161"/>
        <v>0</v>
      </c>
      <c r="AT730" t="str">
        <f>IFERROR(VLOOKUP(AS730,tbFactorMes,2,FALSE),"")</f>
        <v/>
      </c>
      <c r="AU730">
        <f t="shared" si="162"/>
        <v>0</v>
      </c>
      <c r="AX730" t="str">
        <f>IFERROR(VLOOKUP(AW730,tbFactorMes,2,FALSE),"")</f>
        <v/>
      </c>
      <c r="AY730">
        <f t="shared" si="163"/>
        <v>0</v>
      </c>
      <c r="BB730" t="str">
        <f>IFERROR(VLOOKUP(BA730,tbFactorMes,2,FALSE),"")</f>
        <v/>
      </c>
      <c r="BC730">
        <f t="shared" si="164"/>
        <v>0</v>
      </c>
      <c r="BF730" t="str">
        <f>IFERROR(VLOOKUP(BE730,tbFactorMes,2,FALSE),"")</f>
        <v/>
      </c>
      <c r="BG730">
        <f t="shared" si="165"/>
        <v>0</v>
      </c>
      <c r="BH730">
        <f t="shared" si="166"/>
        <v>0</v>
      </c>
      <c r="BI730">
        <f t="shared" si="167"/>
        <v>0</v>
      </c>
    </row>
    <row r="731" spans="11:61" x14ac:dyDescent="0.35">
      <c r="K731" t="str">
        <f>IFERROR(VLOOKUP(F731,tbTurnos,3,FALSE),"")</f>
        <v/>
      </c>
      <c r="N731" t="str">
        <f>IFERROR(VLOOKUP(M731,tbFactorMes,2,FALSE),"")</f>
        <v/>
      </c>
      <c r="O731">
        <f t="shared" si="154"/>
        <v>0</v>
      </c>
      <c r="R731" t="str">
        <f>IFERROR(VLOOKUP(Q731,tbFactorMes,2,FALSE),"")</f>
        <v/>
      </c>
      <c r="S731">
        <f t="shared" si="155"/>
        <v>0</v>
      </c>
      <c r="V731" t="str">
        <f>IFERROR(VLOOKUP(U731,tbFactorMes,2,FALSE),"")</f>
        <v/>
      </c>
      <c r="W731">
        <f t="shared" si="156"/>
        <v>0</v>
      </c>
      <c r="Z731" t="str">
        <f>IFERROR(VLOOKUP(Y731,tbFactorMes,2,FALSE),"")</f>
        <v/>
      </c>
      <c r="AA731">
        <f t="shared" si="157"/>
        <v>0</v>
      </c>
      <c r="AD731" t="str">
        <f>IFERROR(VLOOKUP(AC731,tbFactorMes,2,FALSE),"")</f>
        <v/>
      </c>
      <c r="AE731">
        <f t="shared" si="158"/>
        <v>0</v>
      </c>
      <c r="AH731" t="str">
        <f>IFERROR(VLOOKUP(AG731,tbFactorMes,2,FALSE),"")</f>
        <v/>
      </c>
      <c r="AI731">
        <f t="shared" si="159"/>
        <v>0</v>
      </c>
      <c r="AL731" t="str">
        <f>IFERROR(VLOOKUP(AK731,tbFactorMes,2,FALSE),"")</f>
        <v/>
      </c>
      <c r="AM731">
        <f t="shared" si="160"/>
        <v>0</v>
      </c>
      <c r="AP731" t="str">
        <f>IFERROR(VLOOKUP(AO731,tbFactorMes,2,FALSE),"")</f>
        <v/>
      </c>
      <c r="AQ731">
        <f t="shared" si="161"/>
        <v>0</v>
      </c>
      <c r="AT731" t="str">
        <f>IFERROR(VLOOKUP(AS731,tbFactorMes,2,FALSE),"")</f>
        <v/>
      </c>
      <c r="AU731">
        <f t="shared" si="162"/>
        <v>0</v>
      </c>
      <c r="AX731" t="str">
        <f>IFERROR(VLOOKUP(AW731,tbFactorMes,2,FALSE),"")</f>
        <v/>
      </c>
      <c r="AY731">
        <f t="shared" si="163"/>
        <v>0</v>
      </c>
      <c r="BB731" t="str">
        <f>IFERROR(VLOOKUP(BA731,tbFactorMes,2,FALSE),"")</f>
        <v/>
      </c>
      <c r="BC731">
        <f t="shared" si="164"/>
        <v>0</v>
      </c>
      <c r="BF731" t="str">
        <f>IFERROR(VLOOKUP(BE731,tbFactorMes,2,FALSE),"")</f>
        <v/>
      </c>
      <c r="BG731">
        <f t="shared" si="165"/>
        <v>0</v>
      </c>
      <c r="BH731">
        <f t="shared" si="166"/>
        <v>0</v>
      </c>
      <c r="BI731">
        <f t="shared" si="167"/>
        <v>0</v>
      </c>
    </row>
    <row r="732" spans="11:61" x14ac:dyDescent="0.35">
      <c r="K732" t="str">
        <f>IFERROR(VLOOKUP(F732,tbTurnos,3,FALSE),"")</f>
        <v/>
      </c>
      <c r="N732" t="str">
        <f>IFERROR(VLOOKUP(M732,tbFactorMes,2,FALSE),"")</f>
        <v/>
      </c>
      <c r="O732">
        <f t="shared" si="154"/>
        <v>0</v>
      </c>
      <c r="R732" t="str">
        <f>IFERROR(VLOOKUP(Q732,tbFactorMes,2,FALSE),"")</f>
        <v/>
      </c>
      <c r="S732">
        <f t="shared" si="155"/>
        <v>0</v>
      </c>
      <c r="V732" t="str">
        <f>IFERROR(VLOOKUP(U732,tbFactorMes,2,FALSE),"")</f>
        <v/>
      </c>
      <c r="W732">
        <f t="shared" si="156"/>
        <v>0</v>
      </c>
      <c r="Z732" t="str">
        <f>IFERROR(VLOOKUP(Y732,tbFactorMes,2,FALSE),"")</f>
        <v/>
      </c>
      <c r="AA732">
        <f t="shared" si="157"/>
        <v>0</v>
      </c>
      <c r="AD732" t="str">
        <f>IFERROR(VLOOKUP(AC732,tbFactorMes,2,FALSE),"")</f>
        <v/>
      </c>
      <c r="AE732">
        <f t="shared" si="158"/>
        <v>0</v>
      </c>
      <c r="AH732" t="str">
        <f>IFERROR(VLOOKUP(AG732,tbFactorMes,2,FALSE),"")</f>
        <v/>
      </c>
      <c r="AI732">
        <f t="shared" si="159"/>
        <v>0</v>
      </c>
      <c r="AL732" t="str">
        <f>IFERROR(VLOOKUP(AK732,tbFactorMes,2,FALSE),"")</f>
        <v/>
      </c>
      <c r="AM732">
        <f t="shared" si="160"/>
        <v>0</v>
      </c>
      <c r="AP732" t="str">
        <f>IFERROR(VLOOKUP(AO732,tbFactorMes,2,FALSE),"")</f>
        <v/>
      </c>
      <c r="AQ732">
        <f t="shared" si="161"/>
        <v>0</v>
      </c>
      <c r="AT732" t="str">
        <f>IFERROR(VLOOKUP(AS732,tbFactorMes,2,FALSE),"")</f>
        <v/>
      </c>
      <c r="AU732">
        <f t="shared" si="162"/>
        <v>0</v>
      </c>
      <c r="AX732" t="str">
        <f>IFERROR(VLOOKUP(AW732,tbFactorMes,2,FALSE),"")</f>
        <v/>
      </c>
      <c r="AY732">
        <f t="shared" si="163"/>
        <v>0</v>
      </c>
      <c r="BB732" t="str">
        <f>IFERROR(VLOOKUP(BA732,tbFactorMes,2,FALSE),"")</f>
        <v/>
      </c>
      <c r="BC732">
        <f t="shared" si="164"/>
        <v>0</v>
      </c>
      <c r="BF732" t="str">
        <f>IFERROR(VLOOKUP(BE732,tbFactorMes,2,FALSE),"")</f>
        <v/>
      </c>
      <c r="BG732">
        <f t="shared" si="165"/>
        <v>0</v>
      </c>
      <c r="BH732">
        <f t="shared" si="166"/>
        <v>0</v>
      </c>
      <c r="BI732">
        <f t="shared" si="167"/>
        <v>0</v>
      </c>
    </row>
    <row r="733" spans="11:61" x14ac:dyDescent="0.35">
      <c r="K733" t="str">
        <f>IFERROR(VLOOKUP(F733,tbTurnos,3,FALSE),"")</f>
        <v/>
      </c>
      <c r="N733" t="str">
        <f>IFERROR(VLOOKUP(M733,tbFactorMes,2,FALSE),"")</f>
        <v/>
      </c>
      <c r="O733">
        <f t="shared" si="154"/>
        <v>0</v>
      </c>
      <c r="R733" t="str">
        <f>IFERROR(VLOOKUP(Q733,tbFactorMes,2,FALSE),"")</f>
        <v/>
      </c>
      <c r="S733">
        <f t="shared" si="155"/>
        <v>0</v>
      </c>
      <c r="V733" t="str">
        <f>IFERROR(VLOOKUP(U733,tbFactorMes,2,FALSE),"")</f>
        <v/>
      </c>
      <c r="W733">
        <f t="shared" si="156"/>
        <v>0</v>
      </c>
      <c r="Z733" t="str">
        <f>IFERROR(VLOOKUP(Y733,tbFactorMes,2,FALSE),"")</f>
        <v/>
      </c>
      <c r="AA733">
        <f t="shared" si="157"/>
        <v>0</v>
      </c>
      <c r="AD733" t="str">
        <f>IFERROR(VLOOKUP(AC733,tbFactorMes,2,FALSE),"")</f>
        <v/>
      </c>
      <c r="AE733">
        <f t="shared" si="158"/>
        <v>0</v>
      </c>
      <c r="AH733" t="str">
        <f>IFERROR(VLOOKUP(AG733,tbFactorMes,2,FALSE),"")</f>
        <v/>
      </c>
      <c r="AI733">
        <f t="shared" si="159"/>
        <v>0</v>
      </c>
      <c r="AL733" t="str">
        <f>IFERROR(VLOOKUP(AK733,tbFactorMes,2,FALSE),"")</f>
        <v/>
      </c>
      <c r="AM733">
        <f t="shared" si="160"/>
        <v>0</v>
      </c>
      <c r="AP733" t="str">
        <f>IFERROR(VLOOKUP(AO733,tbFactorMes,2,FALSE),"")</f>
        <v/>
      </c>
      <c r="AQ733">
        <f t="shared" si="161"/>
        <v>0</v>
      </c>
      <c r="AT733" t="str">
        <f>IFERROR(VLOOKUP(AS733,tbFactorMes,2,FALSE),"")</f>
        <v/>
      </c>
      <c r="AU733">
        <f t="shared" si="162"/>
        <v>0</v>
      </c>
      <c r="AX733" t="str">
        <f>IFERROR(VLOOKUP(AW733,tbFactorMes,2,FALSE),"")</f>
        <v/>
      </c>
      <c r="AY733">
        <f t="shared" si="163"/>
        <v>0</v>
      </c>
      <c r="BB733" t="str">
        <f>IFERROR(VLOOKUP(BA733,tbFactorMes,2,FALSE),"")</f>
        <v/>
      </c>
      <c r="BC733">
        <f t="shared" si="164"/>
        <v>0</v>
      </c>
      <c r="BF733" t="str">
        <f>IFERROR(VLOOKUP(BE733,tbFactorMes,2,FALSE),"")</f>
        <v/>
      </c>
      <c r="BG733">
        <f t="shared" si="165"/>
        <v>0</v>
      </c>
      <c r="BH733">
        <f t="shared" si="166"/>
        <v>0</v>
      </c>
      <c r="BI733">
        <f t="shared" si="167"/>
        <v>0</v>
      </c>
    </row>
    <row r="734" spans="11:61" x14ac:dyDescent="0.35">
      <c r="K734" t="str">
        <f>IFERROR(VLOOKUP(F734,tbTurnos,3,FALSE),"")</f>
        <v/>
      </c>
      <c r="N734" t="str">
        <f>IFERROR(VLOOKUP(M734,tbFactorMes,2,FALSE),"")</f>
        <v/>
      </c>
      <c r="O734">
        <f t="shared" si="154"/>
        <v>0</v>
      </c>
      <c r="R734" t="str">
        <f>IFERROR(VLOOKUP(Q734,tbFactorMes,2,FALSE),"")</f>
        <v/>
      </c>
      <c r="S734">
        <f t="shared" si="155"/>
        <v>0</v>
      </c>
      <c r="V734" t="str">
        <f>IFERROR(VLOOKUP(U734,tbFactorMes,2,FALSE),"")</f>
        <v/>
      </c>
      <c r="W734">
        <f t="shared" si="156"/>
        <v>0</v>
      </c>
      <c r="Z734" t="str">
        <f>IFERROR(VLOOKUP(Y734,tbFactorMes,2,FALSE),"")</f>
        <v/>
      </c>
      <c r="AA734">
        <f t="shared" si="157"/>
        <v>0</v>
      </c>
      <c r="AD734" t="str">
        <f>IFERROR(VLOOKUP(AC734,tbFactorMes,2,FALSE),"")</f>
        <v/>
      </c>
      <c r="AE734">
        <f t="shared" si="158"/>
        <v>0</v>
      </c>
      <c r="AH734" t="str">
        <f>IFERROR(VLOOKUP(AG734,tbFactorMes,2,FALSE),"")</f>
        <v/>
      </c>
      <c r="AI734">
        <f t="shared" si="159"/>
        <v>0</v>
      </c>
      <c r="AL734" t="str">
        <f>IFERROR(VLOOKUP(AK734,tbFactorMes,2,FALSE),"")</f>
        <v/>
      </c>
      <c r="AM734">
        <f t="shared" si="160"/>
        <v>0</v>
      </c>
      <c r="AP734" t="str">
        <f>IFERROR(VLOOKUP(AO734,tbFactorMes,2,FALSE),"")</f>
        <v/>
      </c>
      <c r="AQ734">
        <f t="shared" si="161"/>
        <v>0</v>
      </c>
      <c r="AT734" t="str">
        <f>IFERROR(VLOOKUP(AS734,tbFactorMes,2,FALSE),"")</f>
        <v/>
      </c>
      <c r="AU734">
        <f t="shared" si="162"/>
        <v>0</v>
      </c>
      <c r="AX734" t="str">
        <f>IFERROR(VLOOKUP(AW734,tbFactorMes,2,FALSE),"")</f>
        <v/>
      </c>
      <c r="AY734">
        <f t="shared" si="163"/>
        <v>0</v>
      </c>
      <c r="BB734" t="str">
        <f>IFERROR(VLOOKUP(BA734,tbFactorMes,2,FALSE),"")</f>
        <v/>
      </c>
      <c r="BC734">
        <f t="shared" si="164"/>
        <v>0</v>
      </c>
      <c r="BF734" t="str">
        <f>IFERROR(VLOOKUP(BE734,tbFactorMes,2,FALSE),"")</f>
        <v/>
      </c>
      <c r="BG734">
        <f t="shared" si="165"/>
        <v>0</v>
      </c>
      <c r="BH734">
        <f t="shared" si="166"/>
        <v>0</v>
      </c>
      <c r="BI734">
        <f t="shared" si="167"/>
        <v>0</v>
      </c>
    </row>
    <row r="735" spans="11:61" x14ac:dyDescent="0.35">
      <c r="K735" t="str">
        <f>IFERROR(VLOOKUP(F735,tbTurnos,3,FALSE),"")</f>
        <v/>
      </c>
      <c r="N735" t="str">
        <f>IFERROR(VLOOKUP(M735,tbFactorMes,2,FALSE),"")</f>
        <v/>
      </c>
      <c r="O735">
        <f t="shared" si="154"/>
        <v>0</v>
      </c>
      <c r="R735" t="str">
        <f>IFERROR(VLOOKUP(Q735,tbFactorMes,2,FALSE),"")</f>
        <v/>
      </c>
      <c r="S735">
        <f t="shared" si="155"/>
        <v>0</v>
      </c>
      <c r="V735" t="str">
        <f>IFERROR(VLOOKUP(U735,tbFactorMes,2,FALSE),"")</f>
        <v/>
      </c>
      <c r="W735">
        <f t="shared" si="156"/>
        <v>0</v>
      </c>
      <c r="Z735" t="str">
        <f>IFERROR(VLOOKUP(Y735,tbFactorMes,2,FALSE),"")</f>
        <v/>
      </c>
      <c r="AA735">
        <f t="shared" si="157"/>
        <v>0</v>
      </c>
      <c r="AD735" t="str">
        <f>IFERROR(VLOOKUP(AC735,tbFactorMes,2,FALSE),"")</f>
        <v/>
      </c>
      <c r="AE735">
        <f t="shared" si="158"/>
        <v>0</v>
      </c>
      <c r="AH735" t="str">
        <f>IFERROR(VLOOKUP(AG735,tbFactorMes,2,FALSE),"")</f>
        <v/>
      </c>
      <c r="AI735">
        <f t="shared" si="159"/>
        <v>0</v>
      </c>
      <c r="AL735" t="str">
        <f>IFERROR(VLOOKUP(AK735,tbFactorMes,2,FALSE),"")</f>
        <v/>
      </c>
      <c r="AM735">
        <f t="shared" si="160"/>
        <v>0</v>
      </c>
      <c r="AP735" t="str">
        <f>IFERROR(VLOOKUP(AO735,tbFactorMes,2,FALSE),"")</f>
        <v/>
      </c>
      <c r="AQ735">
        <f t="shared" si="161"/>
        <v>0</v>
      </c>
      <c r="AT735" t="str">
        <f>IFERROR(VLOOKUP(AS735,tbFactorMes,2,FALSE),"")</f>
        <v/>
      </c>
      <c r="AU735">
        <f t="shared" si="162"/>
        <v>0</v>
      </c>
      <c r="AX735" t="str">
        <f>IFERROR(VLOOKUP(AW735,tbFactorMes,2,FALSE),"")</f>
        <v/>
      </c>
      <c r="AY735">
        <f t="shared" si="163"/>
        <v>0</v>
      </c>
      <c r="BB735" t="str">
        <f>IFERROR(VLOOKUP(BA735,tbFactorMes,2,FALSE),"")</f>
        <v/>
      </c>
      <c r="BC735">
        <f t="shared" si="164"/>
        <v>0</v>
      </c>
      <c r="BF735" t="str">
        <f>IFERROR(VLOOKUP(BE735,tbFactorMes,2,FALSE),"")</f>
        <v/>
      </c>
      <c r="BG735">
        <f t="shared" si="165"/>
        <v>0</v>
      </c>
      <c r="BH735">
        <f t="shared" si="166"/>
        <v>0</v>
      </c>
      <c r="BI735">
        <f t="shared" si="167"/>
        <v>0</v>
      </c>
    </row>
    <row r="736" spans="11:61" x14ac:dyDescent="0.35">
      <c r="K736" t="str">
        <f>IFERROR(VLOOKUP(F736,tbTurnos,3,FALSE),"")</f>
        <v/>
      </c>
      <c r="N736" t="str">
        <f>IFERROR(VLOOKUP(M736,tbFactorMes,2,FALSE),"")</f>
        <v/>
      </c>
      <c r="O736">
        <f t="shared" si="154"/>
        <v>0</v>
      </c>
      <c r="R736" t="str">
        <f>IFERROR(VLOOKUP(Q736,tbFactorMes,2,FALSE),"")</f>
        <v/>
      </c>
      <c r="S736">
        <f t="shared" si="155"/>
        <v>0</v>
      </c>
      <c r="V736" t="str">
        <f>IFERROR(VLOOKUP(U736,tbFactorMes,2,FALSE),"")</f>
        <v/>
      </c>
      <c r="W736">
        <f t="shared" si="156"/>
        <v>0</v>
      </c>
      <c r="Z736" t="str">
        <f>IFERROR(VLOOKUP(Y736,tbFactorMes,2,FALSE),"")</f>
        <v/>
      </c>
      <c r="AA736">
        <f t="shared" si="157"/>
        <v>0</v>
      </c>
      <c r="AD736" t="str">
        <f>IFERROR(VLOOKUP(AC736,tbFactorMes,2,FALSE),"")</f>
        <v/>
      </c>
      <c r="AE736">
        <f t="shared" si="158"/>
        <v>0</v>
      </c>
      <c r="AH736" t="str">
        <f>IFERROR(VLOOKUP(AG736,tbFactorMes,2,FALSE),"")</f>
        <v/>
      </c>
      <c r="AI736">
        <f t="shared" si="159"/>
        <v>0</v>
      </c>
      <c r="AL736" t="str">
        <f>IFERROR(VLOOKUP(AK736,tbFactorMes,2,FALSE),"")</f>
        <v/>
      </c>
      <c r="AM736">
        <f t="shared" si="160"/>
        <v>0</v>
      </c>
      <c r="AP736" t="str">
        <f>IFERROR(VLOOKUP(AO736,tbFactorMes,2,FALSE),"")</f>
        <v/>
      </c>
      <c r="AQ736">
        <f t="shared" si="161"/>
        <v>0</v>
      </c>
      <c r="AT736" t="str">
        <f>IFERROR(VLOOKUP(AS736,tbFactorMes,2,FALSE),"")</f>
        <v/>
      </c>
      <c r="AU736">
        <f t="shared" si="162"/>
        <v>0</v>
      </c>
      <c r="AX736" t="str">
        <f>IFERROR(VLOOKUP(AW736,tbFactorMes,2,FALSE),"")</f>
        <v/>
      </c>
      <c r="AY736">
        <f t="shared" si="163"/>
        <v>0</v>
      </c>
      <c r="BB736" t="str">
        <f>IFERROR(VLOOKUP(BA736,tbFactorMes,2,FALSE),"")</f>
        <v/>
      </c>
      <c r="BC736">
        <f t="shared" si="164"/>
        <v>0</v>
      </c>
      <c r="BF736" t="str">
        <f>IFERROR(VLOOKUP(BE736,tbFactorMes,2,FALSE),"")</f>
        <v/>
      </c>
      <c r="BG736">
        <f t="shared" si="165"/>
        <v>0</v>
      </c>
      <c r="BH736">
        <f t="shared" si="166"/>
        <v>0</v>
      </c>
      <c r="BI736">
        <f t="shared" si="167"/>
        <v>0</v>
      </c>
    </row>
    <row r="737" spans="11:61" x14ac:dyDescent="0.35">
      <c r="K737" t="str">
        <f>IFERROR(VLOOKUP(F737,tbTurnos,3,FALSE),"")</f>
        <v/>
      </c>
      <c r="N737" t="str">
        <f>IFERROR(VLOOKUP(M737,tbFactorMes,2,FALSE),"")</f>
        <v/>
      </c>
      <c r="O737">
        <f t="shared" si="154"/>
        <v>0</v>
      </c>
      <c r="R737" t="str">
        <f>IFERROR(VLOOKUP(Q737,tbFactorMes,2,FALSE),"")</f>
        <v/>
      </c>
      <c r="S737">
        <f t="shared" si="155"/>
        <v>0</v>
      </c>
      <c r="V737" t="str">
        <f>IFERROR(VLOOKUP(U737,tbFactorMes,2,FALSE),"")</f>
        <v/>
      </c>
      <c r="W737">
        <f t="shared" si="156"/>
        <v>0</v>
      </c>
      <c r="Z737" t="str">
        <f>IFERROR(VLOOKUP(Y737,tbFactorMes,2,FALSE),"")</f>
        <v/>
      </c>
      <c r="AA737">
        <f t="shared" si="157"/>
        <v>0</v>
      </c>
      <c r="AD737" t="str">
        <f>IFERROR(VLOOKUP(AC737,tbFactorMes,2,FALSE),"")</f>
        <v/>
      </c>
      <c r="AE737">
        <f t="shared" si="158"/>
        <v>0</v>
      </c>
      <c r="AH737" t="str">
        <f>IFERROR(VLOOKUP(AG737,tbFactorMes,2,FALSE),"")</f>
        <v/>
      </c>
      <c r="AI737">
        <f t="shared" si="159"/>
        <v>0</v>
      </c>
      <c r="AL737" t="str">
        <f>IFERROR(VLOOKUP(AK737,tbFactorMes,2,FALSE),"")</f>
        <v/>
      </c>
      <c r="AM737">
        <f t="shared" si="160"/>
        <v>0</v>
      </c>
      <c r="AP737" t="str">
        <f>IFERROR(VLOOKUP(AO737,tbFactorMes,2,FALSE),"")</f>
        <v/>
      </c>
      <c r="AQ737">
        <f t="shared" si="161"/>
        <v>0</v>
      </c>
      <c r="AT737" t="str">
        <f>IFERROR(VLOOKUP(AS737,tbFactorMes,2,FALSE),"")</f>
        <v/>
      </c>
      <c r="AU737">
        <f t="shared" si="162"/>
        <v>0</v>
      </c>
      <c r="AX737" t="str">
        <f>IFERROR(VLOOKUP(AW737,tbFactorMes,2,FALSE),"")</f>
        <v/>
      </c>
      <c r="AY737">
        <f t="shared" si="163"/>
        <v>0</v>
      </c>
      <c r="BB737" t="str">
        <f>IFERROR(VLOOKUP(BA737,tbFactorMes,2,FALSE),"")</f>
        <v/>
      </c>
      <c r="BC737">
        <f t="shared" si="164"/>
        <v>0</v>
      </c>
      <c r="BF737" t="str">
        <f>IFERROR(VLOOKUP(BE737,tbFactorMes,2,FALSE),"")</f>
        <v/>
      </c>
      <c r="BG737">
        <f t="shared" si="165"/>
        <v>0</v>
      </c>
      <c r="BH737">
        <f t="shared" si="166"/>
        <v>0</v>
      </c>
      <c r="BI737">
        <f t="shared" si="167"/>
        <v>0</v>
      </c>
    </row>
    <row r="738" spans="11:61" x14ac:dyDescent="0.35">
      <c r="K738" t="str">
        <f>IFERROR(VLOOKUP(F738,tbTurnos,3,FALSE),"")</f>
        <v/>
      </c>
      <c r="N738" t="str">
        <f>IFERROR(VLOOKUP(M738,tbFactorMes,2,FALSE),"")</f>
        <v/>
      </c>
      <c r="O738">
        <f t="shared" si="154"/>
        <v>0</v>
      </c>
      <c r="R738" t="str">
        <f>IFERROR(VLOOKUP(Q738,tbFactorMes,2,FALSE),"")</f>
        <v/>
      </c>
      <c r="S738">
        <f t="shared" si="155"/>
        <v>0</v>
      </c>
      <c r="V738" t="str">
        <f>IFERROR(VLOOKUP(U738,tbFactorMes,2,FALSE),"")</f>
        <v/>
      </c>
      <c r="W738">
        <f t="shared" si="156"/>
        <v>0</v>
      </c>
      <c r="Z738" t="str">
        <f>IFERROR(VLOOKUP(Y738,tbFactorMes,2,FALSE),"")</f>
        <v/>
      </c>
      <c r="AA738">
        <f t="shared" si="157"/>
        <v>0</v>
      </c>
      <c r="AD738" t="str">
        <f>IFERROR(VLOOKUP(AC738,tbFactorMes,2,FALSE),"")</f>
        <v/>
      </c>
      <c r="AE738">
        <f t="shared" si="158"/>
        <v>0</v>
      </c>
      <c r="AH738" t="str">
        <f>IFERROR(VLOOKUP(AG738,tbFactorMes,2,FALSE),"")</f>
        <v/>
      </c>
      <c r="AI738">
        <f t="shared" si="159"/>
        <v>0</v>
      </c>
      <c r="AL738" t="str">
        <f>IFERROR(VLOOKUP(AK738,tbFactorMes,2,FALSE),"")</f>
        <v/>
      </c>
      <c r="AM738">
        <f t="shared" si="160"/>
        <v>0</v>
      </c>
      <c r="AP738" t="str">
        <f>IFERROR(VLOOKUP(AO738,tbFactorMes,2,FALSE),"")</f>
        <v/>
      </c>
      <c r="AQ738">
        <f t="shared" si="161"/>
        <v>0</v>
      </c>
      <c r="AT738" t="str">
        <f>IFERROR(VLOOKUP(AS738,tbFactorMes,2,FALSE),"")</f>
        <v/>
      </c>
      <c r="AU738">
        <f t="shared" si="162"/>
        <v>0</v>
      </c>
      <c r="AX738" t="str">
        <f>IFERROR(VLOOKUP(AW738,tbFactorMes,2,FALSE),"")</f>
        <v/>
      </c>
      <c r="AY738">
        <f t="shared" si="163"/>
        <v>0</v>
      </c>
      <c r="BB738" t="str">
        <f>IFERROR(VLOOKUP(BA738,tbFactorMes,2,FALSE),"")</f>
        <v/>
      </c>
      <c r="BC738">
        <f t="shared" si="164"/>
        <v>0</v>
      </c>
      <c r="BF738" t="str">
        <f>IFERROR(VLOOKUP(BE738,tbFactorMes,2,FALSE),"")</f>
        <v/>
      </c>
      <c r="BG738">
        <f t="shared" si="165"/>
        <v>0</v>
      </c>
      <c r="BH738">
        <f t="shared" si="166"/>
        <v>0</v>
      </c>
      <c r="BI738">
        <f t="shared" si="167"/>
        <v>0</v>
      </c>
    </row>
    <row r="739" spans="11:61" x14ac:dyDescent="0.35">
      <c r="K739" t="str">
        <f>IFERROR(VLOOKUP(F739,tbTurnos,3,FALSE),"")</f>
        <v/>
      </c>
      <c r="N739" t="str">
        <f>IFERROR(VLOOKUP(M739,tbFactorMes,2,FALSE),"")</f>
        <v/>
      </c>
      <c r="O739">
        <f t="shared" si="154"/>
        <v>0</v>
      </c>
      <c r="R739" t="str">
        <f>IFERROR(VLOOKUP(Q739,tbFactorMes,2,FALSE),"")</f>
        <v/>
      </c>
      <c r="S739">
        <f t="shared" si="155"/>
        <v>0</v>
      </c>
      <c r="V739" t="str">
        <f>IFERROR(VLOOKUP(U739,tbFactorMes,2,FALSE),"")</f>
        <v/>
      </c>
      <c r="W739">
        <f t="shared" si="156"/>
        <v>0</v>
      </c>
      <c r="Z739" t="str">
        <f>IFERROR(VLOOKUP(Y739,tbFactorMes,2,FALSE),"")</f>
        <v/>
      </c>
      <c r="AA739">
        <f t="shared" si="157"/>
        <v>0</v>
      </c>
      <c r="AD739" t="str">
        <f>IFERROR(VLOOKUP(AC739,tbFactorMes,2,FALSE),"")</f>
        <v/>
      </c>
      <c r="AE739">
        <f t="shared" si="158"/>
        <v>0</v>
      </c>
      <c r="AH739" t="str">
        <f>IFERROR(VLOOKUP(AG739,tbFactorMes,2,FALSE),"")</f>
        <v/>
      </c>
      <c r="AI739">
        <f t="shared" si="159"/>
        <v>0</v>
      </c>
      <c r="AL739" t="str">
        <f>IFERROR(VLOOKUP(AK739,tbFactorMes,2,FALSE),"")</f>
        <v/>
      </c>
      <c r="AM739">
        <f t="shared" si="160"/>
        <v>0</v>
      </c>
      <c r="AP739" t="str">
        <f>IFERROR(VLOOKUP(AO739,tbFactorMes,2,FALSE),"")</f>
        <v/>
      </c>
      <c r="AQ739">
        <f t="shared" si="161"/>
        <v>0</v>
      </c>
      <c r="AT739" t="str">
        <f>IFERROR(VLOOKUP(AS739,tbFactorMes,2,FALSE),"")</f>
        <v/>
      </c>
      <c r="AU739">
        <f t="shared" si="162"/>
        <v>0</v>
      </c>
      <c r="AX739" t="str">
        <f>IFERROR(VLOOKUP(AW739,tbFactorMes,2,FALSE),"")</f>
        <v/>
      </c>
      <c r="AY739">
        <f t="shared" si="163"/>
        <v>0</v>
      </c>
      <c r="BB739" t="str">
        <f>IFERROR(VLOOKUP(BA739,tbFactorMes,2,FALSE),"")</f>
        <v/>
      </c>
      <c r="BC739">
        <f t="shared" si="164"/>
        <v>0</v>
      </c>
      <c r="BF739" t="str">
        <f>IFERROR(VLOOKUP(BE739,tbFactorMes,2,FALSE),"")</f>
        <v/>
      </c>
      <c r="BG739">
        <f t="shared" si="165"/>
        <v>0</v>
      </c>
      <c r="BH739">
        <f t="shared" si="166"/>
        <v>0</v>
      </c>
      <c r="BI739">
        <f t="shared" si="167"/>
        <v>0</v>
      </c>
    </row>
    <row r="740" spans="11:61" x14ac:dyDescent="0.35">
      <c r="K740" t="str">
        <f>IFERROR(VLOOKUP(F740,tbTurnos,3,FALSE),"")</f>
        <v/>
      </c>
      <c r="N740" t="str">
        <f>IFERROR(VLOOKUP(M740,tbFactorMes,2,FALSE),"")</f>
        <v/>
      </c>
      <c r="O740">
        <f t="shared" si="154"/>
        <v>0</v>
      </c>
      <c r="R740" t="str">
        <f>IFERROR(VLOOKUP(Q740,tbFactorMes,2,FALSE),"")</f>
        <v/>
      </c>
      <c r="S740">
        <f t="shared" si="155"/>
        <v>0</v>
      </c>
      <c r="V740" t="str">
        <f>IFERROR(VLOOKUP(U740,tbFactorMes,2,FALSE),"")</f>
        <v/>
      </c>
      <c r="W740">
        <f t="shared" si="156"/>
        <v>0</v>
      </c>
      <c r="Z740" t="str">
        <f>IFERROR(VLOOKUP(Y740,tbFactorMes,2,FALSE),"")</f>
        <v/>
      </c>
      <c r="AA740">
        <f t="shared" si="157"/>
        <v>0</v>
      </c>
      <c r="AD740" t="str">
        <f>IFERROR(VLOOKUP(AC740,tbFactorMes,2,FALSE),"")</f>
        <v/>
      </c>
      <c r="AE740">
        <f t="shared" si="158"/>
        <v>0</v>
      </c>
      <c r="AH740" t="str">
        <f>IFERROR(VLOOKUP(AG740,tbFactorMes,2,FALSE),"")</f>
        <v/>
      </c>
      <c r="AI740">
        <f t="shared" si="159"/>
        <v>0</v>
      </c>
      <c r="AL740" t="str">
        <f>IFERROR(VLOOKUP(AK740,tbFactorMes,2,FALSE),"")</f>
        <v/>
      </c>
      <c r="AM740">
        <f t="shared" si="160"/>
        <v>0</v>
      </c>
      <c r="AP740" t="str">
        <f>IFERROR(VLOOKUP(AO740,tbFactorMes,2,FALSE),"")</f>
        <v/>
      </c>
      <c r="AQ740">
        <f t="shared" si="161"/>
        <v>0</v>
      </c>
      <c r="AT740" t="str">
        <f>IFERROR(VLOOKUP(AS740,tbFactorMes,2,FALSE),"")</f>
        <v/>
      </c>
      <c r="AU740">
        <f t="shared" si="162"/>
        <v>0</v>
      </c>
      <c r="AX740" t="str">
        <f>IFERROR(VLOOKUP(AW740,tbFactorMes,2,FALSE),"")</f>
        <v/>
      </c>
      <c r="AY740">
        <f t="shared" si="163"/>
        <v>0</v>
      </c>
      <c r="BB740" t="str">
        <f>IFERROR(VLOOKUP(BA740,tbFactorMes,2,FALSE),"")</f>
        <v/>
      </c>
      <c r="BC740">
        <f t="shared" si="164"/>
        <v>0</v>
      </c>
      <c r="BF740" t="str">
        <f>IFERROR(VLOOKUP(BE740,tbFactorMes,2,FALSE),"")</f>
        <v/>
      </c>
      <c r="BG740">
        <f t="shared" si="165"/>
        <v>0</v>
      </c>
      <c r="BH740">
        <f t="shared" si="166"/>
        <v>0</v>
      </c>
      <c r="BI740">
        <f t="shared" si="167"/>
        <v>0</v>
      </c>
    </row>
    <row r="741" spans="11:61" x14ac:dyDescent="0.35">
      <c r="K741" t="str">
        <f>IFERROR(VLOOKUP(F741,tbTurnos,3,FALSE),"")</f>
        <v/>
      </c>
      <c r="N741" t="str">
        <f>IFERROR(VLOOKUP(M741,tbFactorMes,2,FALSE),"")</f>
        <v/>
      </c>
      <c r="O741">
        <f t="shared" si="154"/>
        <v>0</v>
      </c>
      <c r="R741" t="str">
        <f>IFERROR(VLOOKUP(Q741,tbFactorMes,2,FALSE),"")</f>
        <v/>
      </c>
      <c r="S741">
        <f t="shared" si="155"/>
        <v>0</v>
      </c>
      <c r="V741" t="str">
        <f>IFERROR(VLOOKUP(U741,tbFactorMes,2,FALSE),"")</f>
        <v/>
      </c>
      <c r="W741">
        <f t="shared" si="156"/>
        <v>0</v>
      </c>
      <c r="Z741" t="str">
        <f>IFERROR(VLOOKUP(Y741,tbFactorMes,2,FALSE),"")</f>
        <v/>
      </c>
      <c r="AA741">
        <f t="shared" si="157"/>
        <v>0</v>
      </c>
      <c r="AD741" t="str">
        <f>IFERROR(VLOOKUP(AC741,tbFactorMes,2,FALSE),"")</f>
        <v/>
      </c>
      <c r="AE741">
        <f t="shared" si="158"/>
        <v>0</v>
      </c>
      <c r="AH741" t="str">
        <f>IFERROR(VLOOKUP(AG741,tbFactorMes,2,FALSE),"")</f>
        <v/>
      </c>
      <c r="AI741">
        <f t="shared" si="159"/>
        <v>0</v>
      </c>
      <c r="AL741" t="str">
        <f>IFERROR(VLOOKUP(AK741,tbFactorMes,2,FALSE),"")</f>
        <v/>
      </c>
      <c r="AM741">
        <f t="shared" si="160"/>
        <v>0</v>
      </c>
      <c r="AP741" t="str">
        <f>IFERROR(VLOOKUP(AO741,tbFactorMes,2,FALSE),"")</f>
        <v/>
      </c>
      <c r="AQ741">
        <f t="shared" si="161"/>
        <v>0</v>
      </c>
      <c r="AT741" t="str">
        <f>IFERROR(VLOOKUP(AS741,tbFactorMes,2,FALSE),"")</f>
        <v/>
      </c>
      <c r="AU741">
        <f t="shared" si="162"/>
        <v>0</v>
      </c>
      <c r="AX741" t="str">
        <f>IFERROR(VLOOKUP(AW741,tbFactorMes,2,FALSE),"")</f>
        <v/>
      </c>
      <c r="AY741">
        <f t="shared" si="163"/>
        <v>0</v>
      </c>
      <c r="BB741" t="str">
        <f>IFERROR(VLOOKUP(BA741,tbFactorMes,2,FALSE),"")</f>
        <v/>
      </c>
      <c r="BC741">
        <f t="shared" si="164"/>
        <v>0</v>
      </c>
      <c r="BF741" t="str">
        <f>IFERROR(VLOOKUP(BE741,tbFactorMes,2,FALSE),"")</f>
        <v/>
      </c>
      <c r="BG741">
        <f t="shared" si="165"/>
        <v>0</v>
      </c>
      <c r="BH741">
        <f t="shared" si="166"/>
        <v>0</v>
      </c>
      <c r="BI741">
        <f t="shared" si="167"/>
        <v>0</v>
      </c>
    </row>
    <row r="742" spans="11:61" x14ac:dyDescent="0.35">
      <c r="K742" t="str">
        <f>IFERROR(VLOOKUP(F742,tbTurnos,3,FALSE),"")</f>
        <v/>
      </c>
      <c r="N742" t="str">
        <f>IFERROR(VLOOKUP(M742,tbFactorMes,2,FALSE),"")</f>
        <v/>
      </c>
      <c r="O742">
        <f t="shared" si="154"/>
        <v>0</v>
      </c>
      <c r="R742" t="str">
        <f>IFERROR(VLOOKUP(Q742,tbFactorMes,2,FALSE),"")</f>
        <v/>
      </c>
      <c r="S742">
        <f t="shared" si="155"/>
        <v>0</v>
      </c>
      <c r="V742" t="str">
        <f>IFERROR(VLOOKUP(U742,tbFactorMes,2,FALSE),"")</f>
        <v/>
      </c>
      <c r="W742">
        <f t="shared" si="156"/>
        <v>0</v>
      </c>
      <c r="Z742" t="str">
        <f>IFERROR(VLOOKUP(Y742,tbFactorMes,2,FALSE),"")</f>
        <v/>
      </c>
      <c r="AA742">
        <f t="shared" si="157"/>
        <v>0</v>
      </c>
      <c r="AD742" t="str">
        <f>IFERROR(VLOOKUP(AC742,tbFactorMes,2,FALSE),"")</f>
        <v/>
      </c>
      <c r="AE742">
        <f t="shared" si="158"/>
        <v>0</v>
      </c>
      <c r="AH742" t="str">
        <f>IFERROR(VLOOKUP(AG742,tbFactorMes,2,FALSE),"")</f>
        <v/>
      </c>
      <c r="AI742">
        <f t="shared" si="159"/>
        <v>0</v>
      </c>
      <c r="AL742" t="str">
        <f>IFERROR(VLOOKUP(AK742,tbFactorMes,2,FALSE),"")</f>
        <v/>
      </c>
      <c r="AM742">
        <f t="shared" si="160"/>
        <v>0</v>
      </c>
      <c r="AP742" t="str">
        <f>IFERROR(VLOOKUP(AO742,tbFactorMes,2,FALSE),"")</f>
        <v/>
      </c>
      <c r="AQ742">
        <f t="shared" si="161"/>
        <v>0</v>
      </c>
      <c r="AT742" t="str">
        <f>IFERROR(VLOOKUP(AS742,tbFactorMes,2,FALSE),"")</f>
        <v/>
      </c>
      <c r="AU742">
        <f t="shared" si="162"/>
        <v>0</v>
      </c>
      <c r="AX742" t="str">
        <f>IFERROR(VLOOKUP(AW742,tbFactorMes,2,FALSE),"")</f>
        <v/>
      </c>
      <c r="AY742">
        <f t="shared" si="163"/>
        <v>0</v>
      </c>
      <c r="BB742" t="str">
        <f>IFERROR(VLOOKUP(BA742,tbFactorMes,2,FALSE),"")</f>
        <v/>
      </c>
      <c r="BC742">
        <f t="shared" si="164"/>
        <v>0</v>
      </c>
      <c r="BF742" t="str">
        <f>IFERROR(VLOOKUP(BE742,tbFactorMes,2,FALSE),"")</f>
        <v/>
      </c>
      <c r="BG742">
        <f t="shared" si="165"/>
        <v>0</v>
      </c>
      <c r="BH742">
        <f t="shared" si="166"/>
        <v>0</v>
      </c>
      <c r="BI742">
        <f t="shared" si="167"/>
        <v>0</v>
      </c>
    </row>
    <row r="743" spans="11:61" x14ac:dyDescent="0.35">
      <c r="K743" t="str">
        <f>IFERROR(VLOOKUP(F743,tbTurnos,3,FALSE),"")</f>
        <v/>
      </c>
      <c r="N743" t="str">
        <f>IFERROR(VLOOKUP(M743,tbFactorMes,2,FALSE),"")</f>
        <v/>
      </c>
      <c r="O743">
        <f t="shared" si="154"/>
        <v>0</v>
      </c>
      <c r="R743" t="str">
        <f>IFERROR(VLOOKUP(Q743,tbFactorMes,2,FALSE),"")</f>
        <v/>
      </c>
      <c r="S743">
        <f t="shared" si="155"/>
        <v>0</v>
      </c>
      <c r="V743" t="str">
        <f>IFERROR(VLOOKUP(U743,tbFactorMes,2,FALSE),"")</f>
        <v/>
      </c>
      <c r="W743">
        <f t="shared" si="156"/>
        <v>0</v>
      </c>
      <c r="Z743" t="str">
        <f>IFERROR(VLOOKUP(Y743,tbFactorMes,2,FALSE),"")</f>
        <v/>
      </c>
      <c r="AA743">
        <f t="shared" si="157"/>
        <v>0</v>
      </c>
      <c r="AD743" t="str">
        <f>IFERROR(VLOOKUP(AC743,tbFactorMes,2,FALSE),"")</f>
        <v/>
      </c>
      <c r="AE743">
        <f t="shared" si="158"/>
        <v>0</v>
      </c>
      <c r="AH743" t="str">
        <f>IFERROR(VLOOKUP(AG743,tbFactorMes,2,FALSE),"")</f>
        <v/>
      </c>
      <c r="AI743">
        <f t="shared" si="159"/>
        <v>0</v>
      </c>
      <c r="AL743" t="str">
        <f>IFERROR(VLOOKUP(AK743,tbFactorMes,2,FALSE),"")</f>
        <v/>
      </c>
      <c r="AM743">
        <f t="shared" si="160"/>
        <v>0</v>
      </c>
      <c r="AP743" t="str">
        <f>IFERROR(VLOOKUP(AO743,tbFactorMes,2,FALSE),"")</f>
        <v/>
      </c>
      <c r="AQ743">
        <f t="shared" si="161"/>
        <v>0</v>
      </c>
      <c r="AT743" t="str">
        <f>IFERROR(VLOOKUP(AS743,tbFactorMes,2,FALSE),"")</f>
        <v/>
      </c>
      <c r="AU743">
        <f t="shared" si="162"/>
        <v>0</v>
      </c>
      <c r="AX743" t="str">
        <f>IFERROR(VLOOKUP(AW743,tbFactorMes,2,FALSE),"")</f>
        <v/>
      </c>
      <c r="AY743">
        <f t="shared" si="163"/>
        <v>0</v>
      </c>
      <c r="BB743" t="str">
        <f>IFERROR(VLOOKUP(BA743,tbFactorMes,2,FALSE),"")</f>
        <v/>
      </c>
      <c r="BC743">
        <f t="shared" si="164"/>
        <v>0</v>
      </c>
      <c r="BF743" t="str">
        <f>IFERROR(VLOOKUP(BE743,tbFactorMes,2,FALSE),"")</f>
        <v/>
      </c>
      <c r="BG743">
        <f t="shared" si="165"/>
        <v>0</v>
      </c>
      <c r="BH743">
        <f t="shared" si="166"/>
        <v>0</v>
      </c>
      <c r="BI743">
        <f t="shared" si="167"/>
        <v>0</v>
      </c>
    </row>
    <row r="744" spans="11:61" x14ac:dyDescent="0.35">
      <c r="K744" t="str">
        <f>IFERROR(VLOOKUP(F744,tbTurnos,3,FALSE),"")</f>
        <v/>
      </c>
      <c r="N744" t="str">
        <f>IFERROR(VLOOKUP(M744,tbFactorMes,2,FALSE),"")</f>
        <v/>
      </c>
      <c r="O744">
        <f t="shared" si="154"/>
        <v>0</v>
      </c>
      <c r="R744" t="str">
        <f>IFERROR(VLOOKUP(Q744,tbFactorMes,2,FALSE),"")</f>
        <v/>
      </c>
      <c r="S744">
        <f t="shared" si="155"/>
        <v>0</v>
      </c>
      <c r="V744" t="str">
        <f>IFERROR(VLOOKUP(U744,tbFactorMes,2,FALSE),"")</f>
        <v/>
      </c>
      <c r="W744">
        <f t="shared" si="156"/>
        <v>0</v>
      </c>
      <c r="Z744" t="str">
        <f>IFERROR(VLOOKUP(Y744,tbFactorMes,2,FALSE),"")</f>
        <v/>
      </c>
      <c r="AA744">
        <f t="shared" si="157"/>
        <v>0</v>
      </c>
      <c r="AD744" t="str">
        <f>IFERROR(VLOOKUP(AC744,tbFactorMes,2,FALSE),"")</f>
        <v/>
      </c>
      <c r="AE744">
        <f t="shared" si="158"/>
        <v>0</v>
      </c>
      <c r="AH744" t="str">
        <f>IFERROR(VLOOKUP(AG744,tbFactorMes,2,FALSE),"")</f>
        <v/>
      </c>
      <c r="AI744">
        <f t="shared" si="159"/>
        <v>0</v>
      </c>
      <c r="AL744" t="str">
        <f>IFERROR(VLOOKUP(AK744,tbFactorMes,2,FALSE),"")</f>
        <v/>
      </c>
      <c r="AM744">
        <f t="shared" si="160"/>
        <v>0</v>
      </c>
      <c r="AP744" t="str">
        <f>IFERROR(VLOOKUP(AO744,tbFactorMes,2,FALSE),"")</f>
        <v/>
      </c>
      <c r="AQ744">
        <f t="shared" si="161"/>
        <v>0</v>
      </c>
      <c r="AT744" t="str">
        <f>IFERROR(VLOOKUP(AS744,tbFactorMes,2,FALSE),"")</f>
        <v/>
      </c>
      <c r="AU744">
        <f t="shared" si="162"/>
        <v>0</v>
      </c>
      <c r="AX744" t="str">
        <f>IFERROR(VLOOKUP(AW744,tbFactorMes,2,FALSE),"")</f>
        <v/>
      </c>
      <c r="AY744">
        <f t="shared" si="163"/>
        <v>0</v>
      </c>
      <c r="BB744" t="str">
        <f>IFERROR(VLOOKUP(BA744,tbFactorMes,2,FALSE),"")</f>
        <v/>
      </c>
      <c r="BC744">
        <f t="shared" si="164"/>
        <v>0</v>
      </c>
      <c r="BF744" t="str">
        <f>IFERROR(VLOOKUP(BE744,tbFactorMes,2,FALSE),"")</f>
        <v/>
      </c>
      <c r="BG744">
        <f t="shared" si="165"/>
        <v>0</v>
      </c>
      <c r="BH744">
        <f t="shared" si="166"/>
        <v>0</v>
      </c>
      <c r="BI744">
        <f t="shared" si="167"/>
        <v>0</v>
      </c>
    </row>
    <row r="745" spans="11:61" x14ac:dyDescent="0.35">
      <c r="K745" t="str">
        <f>IFERROR(VLOOKUP(F745,tbTurnos,3,FALSE),"")</f>
        <v/>
      </c>
      <c r="N745" t="str">
        <f>IFERROR(VLOOKUP(M745,tbFactorMes,2,FALSE),"")</f>
        <v/>
      </c>
      <c r="O745">
        <f t="shared" si="154"/>
        <v>0</v>
      </c>
      <c r="R745" t="str">
        <f>IFERROR(VLOOKUP(Q745,tbFactorMes,2,FALSE),"")</f>
        <v/>
      </c>
      <c r="S745">
        <f t="shared" si="155"/>
        <v>0</v>
      </c>
      <c r="V745" t="str">
        <f>IFERROR(VLOOKUP(U745,tbFactorMes,2,FALSE),"")</f>
        <v/>
      </c>
      <c r="W745">
        <f t="shared" si="156"/>
        <v>0</v>
      </c>
      <c r="Z745" t="str">
        <f>IFERROR(VLOOKUP(Y745,tbFactorMes,2,FALSE),"")</f>
        <v/>
      </c>
      <c r="AA745">
        <f t="shared" si="157"/>
        <v>0</v>
      </c>
      <c r="AD745" t="str">
        <f>IFERROR(VLOOKUP(AC745,tbFactorMes,2,FALSE),"")</f>
        <v/>
      </c>
      <c r="AE745">
        <f t="shared" si="158"/>
        <v>0</v>
      </c>
      <c r="AH745" t="str">
        <f>IFERROR(VLOOKUP(AG745,tbFactorMes,2,FALSE),"")</f>
        <v/>
      </c>
      <c r="AI745">
        <f t="shared" si="159"/>
        <v>0</v>
      </c>
      <c r="AL745" t="str">
        <f>IFERROR(VLOOKUP(AK745,tbFactorMes,2,FALSE),"")</f>
        <v/>
      </c>
      <c r="AM745">
        <f t="shared" si="160"/>
        <v>0</v>
      </c>
      <c r="AP745" t="str">
        <f>IFERROR(VLOOKUP(AO745,tbFactorMes,2,FALSE),"")</f>
        <v/>
      </c>
      <c r="AQ745">
        <f t="shared" si="161"/>
        <v>0</v>
      </c>
      <c r="AT745" t="str">
        <f>IFERROR(VLOOKUP(AS745,tbFactorMes,2,FALSE),"")</f>
        <v/>
      </c>
      <c r="AU745">
        <f t="shared" si="162"/>
        <v>0</v>
      </c>
      <c r="AX745" t="str">
        <f>IFERROR(VLOOKUP(AW745,tbFactorMes,2,FALSE),"")</f>
        <v/>
      </c>
      <c r="AY745">
        <f t="shared" si="163"/>
        <v>0</v>
      </c>
      <c r="BB745" t="str">
        <f>IFERROR(VLOOKUP(BA745,tbFactorMes,2,FALSE),"")</f>
        <v/>
      </c>
      <c r="BC745">
        <f t="shared" si="164"/>
        <v>0</v>
      </c>
      <c r="BF745" t="str">
        <f>IFERROR(VLOOKUP(BE745,tbFactorMes,2,FALSE),"")</f>
        <v/>
      </c>
      <c r="BG745">
        <f t="shared" si="165"/>
        <v>0</v>
      </c>
      <c r="BH745">
        <f t="shared" si="166"/>
        <v>0</v>
      </c>
      <c r="BI745">
        <f t="shared" si="167"/>
        <v>0</v>
      </c>
    </row>
    <row r="746" spans="11:61" x14ac:dyDescent="0.35">
      <c r="K746" t="str">
        <f>IFERROR(VLOOKUP(F746,tbTurnos,3,FALSE),"")</f>
        <v/>
      </c>
      <c r="N746" t="str">
        <f>IFERROR(VLOOKUP(M746,tbFactorMes,2,FALSE),"")</f>
        <v/>
      </c>
      <c r="O746">
        <f t="shared" si="154"/>
        <v>0</v>
      </c>
      <c r="R746" t="str">
        <f>IFERROR(VLOOKUP(Q746,tbFactorMes,2,FALSE),"")</f>
        <v/>
      </c>
      <c r="S746">
        <f t="shared" si="155"/>
        <v>0</v>
      </c>
      <c r="V746" t="str">
        <f>IFERROR(VLOOKUP(U746,tbFactorMes,2,FALSE),"")</f>
        <v/>
      </c>
      <c r="W746">
        <f t="shared" si="156"/>
        <v>0</v>
      </c>
      <c r="Z746" t="str">
        <f>IFERROR(VLOOKUP(Y746,tbFactorMes,2,FALSE),"")</f>
        <v/>
      </c>
      <c r="AA746">
        <f t="shared" si="157"/>
        <v>0</v>
      </c>
      <c r="AD746" t="str">
        <f>IFERROR(VLOOKUP(AC746,tbFactorMes,2,FALSE),"")</f>
        <v/>
      </c>
      <c r="AE746">
        <f t="shared" si="158"/>
        <v>0</v>
      </c>
      <c r="AH746" t="str">
        <f>IFERROR(VLOOKUP(AG746,tbFactorMes,2,FALSE),"")</f>
        <v/>
      </c>
      <c r="AI746">
        <f t="shared" si="159"/>
        <v>0</v>
      </c>
      <c r="AL746" t="str">
        <f>IFERROR(VLOOKUP(AK746,tbFactorMes,2,FALSE),"")</f>
        <v/>
      </c>
      <c r="AM746">
        <f t="shared" si="160"/>
        <v>0</v>
      </c>
      <c r="AP746" t="str">
        <f>IFERROR(VLOOKUP(AO746,tbFactorMes,2,FALSE),"")</f>
        <v/>
      </c>
      <c r="AQ746">
        <f t="shared" si="161"/>
        <v>0</v>
      </c>
      <c r="AT746" t="str">
        <f>IFERROR(VLOOKUP(AS746,tbFactorMes,2,FALSE),"")</f>
        <v/>
      </c>
      <c r="AU746">
        <f t="shared" si="162"/>
        <v>0</v>
      </c>
      <c r="AX746" t="str">
        <f>IFERROR(VLOOKUP(AW746,tbFactorMes,2,FALSE),"")</f>
        <v/>
      </c>
      <c r="AY746">
        <f t="shared" si="163"/>
        <v>0</v>
      </c>
      <c r="BB746" t="str">
        <f>IFERROR(VLOOKUP(BA746,tbFactorMes,2,FALSE),"")</f>
        <v/>
      </c>
      <c r="BC746">
        <f t="shared" si="164"/>
        <v>0</v>
      </c>
      <c r="BF746" t="str">
        <f>IFERROR(VLOOKUP(BE746,tbFactorMes,2,FALSE),"")</f>
        <v/>
      </c>
      <c r="BG746">
        <f t="shared" si="165"/>
        <v>0</v>
      </c>
      <c r="BH746">
        <f t="shared" si="166"/>
        <v>0</v>
      </c>
      <c r="BI746">
        <f t="shared" si="167"/>
        <v>0</v>
      </c>
    </row>
    <row r="747" spans="11:61" x14ac:dyDescent="0.35">
      <c r="K747" t="str">
        <f>IFERROR(VLOOKUP(F747,tbTurnos,3,FALSE),"")</f>
        <v/>
      </c>
      <c r="N747" t="str">
        <f>IFERROR(VLOOKUP(M747,tbFactorMes,2,FALSE),"")</f>
        <v/>
      </c>
      <c r="O747">
        <f t="shared" si="154"/>
        <v>0</v>
      </c>
      <c r="R747" t="str">
        <f>IFERROR(VLOOKUP(Q747,tbFactorMes,2,FALSE),"")</f>
        <v/>
      </c>
      <c r="S747">
        <f t="shared" si="155"/>
        <v>0</v>
      </c>
      <c r="V747" t="str">
        <f>IFERROR(VLOOKUP(U747,tbFactorMes,2,FALSE),"")</f>
        <v/>
      </c>
      <c r="W747">
        <f t="shared" si="156"/>
        <v>0</v>
      </c>
      <c r="Z747" t="str">
        <f>IFERROR(VLOOKUP(Y747,tbFactorMes,2,FALSE),"")</f>
        <v/>
      </c>
      <c r="AA747">
        <f t="shared" si="157"/>
        <v>0</v>
      </c>
      <c r="AD747" t="str">
        <f>IFERROR(VLOOKUP(AC747,tbFactorMes,2,FALSE),"")</f>
        <v/>
      </c>
      <c r="AE747">
        <f t="shared" si="158"/>
        <v>0</v>
      </c>
      <c r="AH747" t="str">
        <f>IFERROR(VLOOKUP(AG747,tbFactorMes,2,FALSE),"")</f>
        <v/>
      </c>
      <c r="AI747">
        <f t="shared" si="159"/>
        <v>0</v>
      </c>
      <c r="AL747" t="str">
        <f>IFERROR(VLOOKUP(AK747,tbFactorMes,2,FALSE),"")</f>
        <v/>
      </c>
      <c r="AM747">
        <f t="shared" si="160"/>
        <v>0</v>
      </c>
      <c r="AP747" t="str">
        <f>IFERROR(VLOOKUP(AO747,tbFactorMes,2,FALSE),"")</f>
        <v/>
      </c>
      <c r="AQ747">
        <f t="shared" si="161"/>
        <v>0</v>
      </c>
      <c r="AT747" t="str">
        <f>IFERROR(VLOOKUP(AS747,tbFactorMes,2,FALSE),"")</f>
        <v/>
      </c>
      <c r="AU747">
        <f t="shared" si="162"/>
        <v>0</v>
      </c>
      <c r="AX747" t="str">
        <f>IFERROR(VLOOKUP(AW747,tbFactorMes,2,FALSE),"")</f>
        <v/>
      </c>
      <c r="AY747">
        <f t="shared" si="163"/>
        <v>0</v>
      </c>
      <c r="BB747" t="str">
        <f>IFERROR(VLOOKUP(BA747,tbFactorMes,2,FALSE),"")</f>
        <v/>
      </c>
      <c r="BC747">
        <f t="shared" si="164"/>
        <v>0</v>
      </c>
      <c r="BF747" t="str">
        <f>IFERROR(VLOOKUP(BE747,tbFactorMes,2,FALSE),"")</f>
        <v/>
      </c>
      <c r="BG747">
        <f t="shared" si="165"/>
        <v>0</v>
      </c>
      <c r="BH747">
        <f t="shared" si="166"/>
        <v>0</v>
      </c>
      <c r="BI747">
        <f t="shared" si="167"/>
        <v>0</v>
      </c>
    </row>
    <row r="748" spans="11:61" x14ac:dyDescent="0.35">
      <c r="K748" t="str">
        <f>IFERROR(VLOOKUP(F748,tbTurnos,3,FALSE),"")</f>
        <v/>
      </c>
      <c r="N748" t="str">
        <f>IFERROR(VLOOKUP(M748,tbFactorMes,2,FALSE),"")</f>
        <v/>
      </c>
      <c r="O748">
        <f t="shared" si="154"/>
        <v>0</v>
      </c>
      <c r="R748" t="str">
        <f>IFERROR(VLOOKUP(Q748,tbFactorMes,2,FALSE),"")</f>
        <v/>
      </c>
      <c r="S748">
        <f t="shared" si="155"/>
        <v>0</v>
      </c>
      <c r="V748" t="str">
        <f>IFERROR(VLOOKUP(U748,tbFactorMes,2,FALSE),"")</f>
        <v/>
      </c>
      <c r="W748">
        <f t="shared" si="156"/>
        <v>0</v>
      </c>
      <c r="Z748" t="str">
        <f>IFERROR(VLOOKUP(Y748,tbFactorMes,2,FALSE),"")</f>
        <v/>
      </c>
      <c r="AA748">
        <f t="shared" si="157"/>
        <v>0</v>
      </c>
      <c r="AD748" t="str">
        <f>IFERROR(VLOOKUP(AC748,tbFactorMes,2,FALSE),"")</f>
        <v/>
      </c>
      <c r="AE748">
        <f t="shared" si="158"/>
        <v>0</v>
      </c>
      <c r="AH748" t="str">
        <f>IFERROR(VLOOKUP(AG748,tbFactorMes,2,FALSE),"")</f>
        <v/>
      </c>
      <c r="AI748">
        <f t="shared" si="159"/>
        <v>0</v>
      </c>
      <c r="AL748" t="str">
        <f>IFERROR(VLOOKUP(AK748,tbFactorMes,2,FALSE),"")</f>
        <v/>
      </c>
      <c r="AM748">
        <f t="shared" si="160"/>
        <v>0</v>
      </c>
      <c r="AP748" t="str">
        <f>IFERROR(VLOOKUP(AO748,tbFactorMes,2,FALSE),"")</f>
        <v/>
      </c>
      <c r="AQ748">
        <f t="shared" si="161"/>
        <v>0</v>
      </c>
      <c r="AT748" t="str">
        <f>IFERROR(VLOOKUP(AS748,tbFactorMes,2,FALSE),"")</f>
        <v/>
      </c>
      <c r="AU748">
        <f t="shared" si="162"/>
        <v>0</v>
      </c>
      <c r="AX748" t="str">
        <f>IFERROR(VLOOKUP(AW748,tbFactorMes,2,FALSE),"")</f>
        <v/>
      </c>
      <c r="AY748">
        <f t="shared" si="163"/>
        <v>0</v>
      </c>
      <c r="BB748" t="str">
        <f>IFERROR(VLOOKUP(BA748,tbFactorMes,2,FALSE),"")</f>
        <v/>
      </c>
      <c r="BC748">
        <f t="shared" si="164"/>
        <v>0</v>
      </c>
      <c r="BF748" t="str">
        <f>IFERROR(VLOOKUP(BE748,tbFactorMes,2,FALSE),"")</f>
        <v/>
      </c>
      <c r="BG748">
        <f t="shared" si="165"/>
        <v>0</v>
      </c>
      <c r="BH748">
        <f t="shared" si="166"/>
        <v>0</v>
      </c>
      <c r="BI748">
        <f t="shared" si="167"/>
        <v>0</v>
      </c>
    </row>
    <row r="749" spans="11:61" x14ac:dyDescent="0.35">
      <c r="K749" t="str">
        <f>IFERROR(VLOOKUP(F749,tbTurnos,3,FALSE),"")</f>
        <v/>
      </c>
      <c r="N749" t="str">
        <f>IFERROR(VLOOKUP(M749,tbFactorMes,2,FALSE),"")</f>
        <v/>
      </c>
      <c r="O749">
        <f t="shared" si="154"/>
        <v>0</v>
      </c>
      <c r="R749" t="str">
        <f>IFERROR(VLOOKUP(Q749,tbFactorMes,2,FALSE),"")</f>
        <v/>
      </c>
      <c r="S749">
        <f t="shared" si="155"/>
        <v>0</v>
      </c>
      <c r="V749" t="str">
        <f>IFERROR(VLOOKUP(U749,tbFactorMes,2,FALSE),"")</f>
        <v/>
      </c>
      <c r="W749">
        <f t="shared" si="156"/>
        <v>0</v>
      </c>
      <c r="Z749" t="str">
        <f>IFERROR(VLOOKUP(Y749,tbFactorMes,2,FALSE),"")</f>
        <v/>
      </c>
      <c r="AA749">
        <f t="shared" si="157"/>
        <v>0</v>
      </c>
      <c r="AD749" t="str">
        <f>IFERROR(VLOOKUP(AC749,tbFactorMes,2,FALSE),"")</f>
        <v/>
      </c>
      <c r="AE749">
        <f t="shared" si="158"/>
        <v>0</v>
      </c>
      <c r="AH749" t="str">
        <f>IFERROR(VLOOKUP(AG749,tbFactorMes,2,FALSE),"")</f>
        <v/>
      </c>
      <c r="AI749">
        <f t="shared" si="159"/>
        <v>0</v>
      </c>
      <c r="AL749" t="str">
        <f>IFERROR(VLOOKUP(AK749,tbFactorMes,2,FALSE),"")</f>
        <v/>
      </c>
      <c r="AM749">
        <f t="shared" si="160"/>
        <v>0</v>
      </c>
      <c r="AP749" t="str">
        <f>IFERROR(VLOOKUP(AO749,tbFactorMes,2,FALSE),"")</f>
        <v/>
      </c>
      <c r="AQ749">
        <f t="shared" si="161"/>
        <v>0</v>
      </c>
      <c r="AT749" t="str">
        <f>IFERROR(VLOOKUP(AS749,tbFactorMes,2,FALSE),"")</f>
        <v/>
      </c>
      <c r="AU749">
        <f t="shared" si="162"/>
        <v>0</v>
      </c>
      <c r="AX749" t="str">
        <f>IFERROR(VLOOKUP(AW749,tbFactorMes,2,FALSE),"")</f>
        <v/>
      </c>
      <c r="AY749">
        <f t="shared" si="163"/>
        <v>0</v>
      </c>
      <c r="BB749" t="str">
        <f>IFERROR(VLOOKUP(BA749,tbFactorMes,2,FALSE),"")</f>
        <v/>
      </c>
      <c r="BC749">
        <f t="shared" si="164"/>
        <v>0</v>
      </c>
      <c r="BF749" t="str">
        <f>IFERROR(VLOOKUP(BE749,tbFactorMes,2,FALSE),"")</f>
        <v/>
      </c>
      <c r="BG749">
        <f t="shared" si="165"/>
        <v>0</v>
      </c>
      <c r="BH749">
        <f t="shared" si="166"/>
        <v>0</v>
      </c>
      <c r="BI749">
        <f t="shared" si="167"/>
        <v>0</v>
      </c>
    </row>
    <row r="750" spans="11:61" x14ac:dyDescent="0.35">
      <c r="K750" t="str">
        <f>IFERROR(VLOOKUP(F750,tbTurnos,3,FALSE),"")</f>
        <v/>
      </c>
      <c r="N750" t="str">
        <f>IFERROR(VLOOKUP(M750,tbFactorMes,2,FALSE),"")</f>
        <v/>
      </c>
      <c r="O750">
        <f t="shared" si="154"/>
        <v>0</v>
      </c>
      <c r="R750" t="str">
        <f>IFERROR(VLOOKUP(Q750,tbFactorMes,2,FALSE),"")</f>
        <v/>
      </c>
      <c r="S750">
        <f t="shared" si="155"/>
        <v>0</v>
      </c>
      <c r="V750" t="str">
        <f>IFERROR(VLOOKUP(U750,tbFactorMes,2,FALSE),"")</f>
        <v/>
      </c>
      <c r="W750">
        <f t="shared" si="156"/>
        <v>0</v>
      </c>
      <c r="Z750" t="str">
        <f>IFERROR(VLOOKUP(Y750,tbFactorMes,2,FALSE),"")</f>
        <v/>
      </c>
      <c r="AA750">
        <f t="shared" si="157"/>
        <v>0</v>
      </c>
      <c r="AD750" t="str">
        <f>IFERROR(VLOOKUP(AC750,tbFactorMes,2,FALSE),"")</f>
        <v/>
      </c>
      <c r="AE750">
        <f t="shared" si="158"/>
        <v>0</v>
      </c>
      <c r="AH750" t="str">
        <f>IFERROR(VLOOKUP(AG750,tbFactorMes,2,FALSE),"")</f>
        <v/>
      </c>
      <c r="AI750">
        <f t="shared" si="159"/>
        <v>0</v>
      </c>
      <c r="AL750" t="str">
        <f>IFERROR(VLOOKUP(AK750,tbFactorMes,2,FALSE),"")</f>
        <v/>
      </c>
      <c r="AM750">
        <f t="shared" si="160"/>
        <v>0</v>
      </c>
      <c r="AP750" t="str">
        <f>IFERROR(VLOOKUP(AO750,tbFactorMes,2,FALSE),"")</f>
        <v/>
      </c>
      <c r="AQ750">
        <f t="shared" si="161"/>
        <v>0</v>
      </c>
      <c r="AT750" t="str">
        <f>IFERROR(VLOOKUP(AS750,tbFactorMes,2,FALSE),"")</f>
        <v/>
      </c>
      <c r="AU750">
        <f t="shared" si="162"/>
        <v>0</v>
      </c>
      <c r="AX750" t="str">
        <f>IFERROR(VLOOKUP(AW750,tbFactorMes,2,FALSE),"")</f>
        <v/>
      </c>
      <c r="AY750">
        <f t="shared" si="163"/>
        <v>0</v>
      </c>
      <c r="BB750" t="str">
        <f>IFERROR(VLOOKUP(BA750,tbFactorMes,2,FALSE),"")</f>
        <v/>
      </c>
      <c r="BC750">
        <f t="shared" si="164"/>
        <v>0</v>
      </c>
      <c r="BF750" t="str">
        <f>IFERROR(VLOOKUP(BE750,tbFactorMes,2,FALSE),"")</f>
        <v/>
      </c>
      <c r="BG750">
        <f t="shared" si="165"/>
        <v>0</v>
      </c>
      <c r="BH750">
        <f t="shared" si="166"/>
        <v>0</v>
      </c>
      <c r="BI750">
        <f t="shared" si="167"/>
        <v>0</v>
      </c>
    </row>
    <row r="751" spans="11:61" x14ac:dyDescent="0.35">
      <c r="K751" t="str">
        <f>IFERROR(VLOOKUP(F751,tbTurnos,3,FALSE),"")</f>
        <v/>
      </c>
      <c r="N751" t="str">
        <f>IFERROR(VLOOKUP(M751,tbFactorMes,2,FALSE),"")</f>
        <v/>
      </c>
      <c r="O751">
        <f t="shared" si="154"/>
        <v>0</v>
      </c>
      <c r="R751" t="str">
        <f>IFERROR(VLOOKUP(Q751,tbFactorMes,2,FALSE),"")</f>
        <v/>
      </c>
      <c r="S751">
        <f t="shared" si="155"/>
        <v>0</v>
      </c>
      <c r="V751" t="str">
        <f>IFERROR(VLOOKUP(U751,tbFactorMes,2,FALSE),"")</f>
        <v/>
      </c>
      <c r="W751">
        <f t="shared" si="156"/>
        <v>0</v>
      </c>
      <c r="Z751" t="str">
        <f>IFERROR(VLOOKUP(Y751,tbFactorMes,2,FALSE),"")</f>
        <v/>
      </c>
      <c r="AA751">
        <f t="shared" si="157"/>
        <v>0</v>
      </c>
      <c r="AD751" t="str">
        <f>IFERROR(VLOOKUP(AC751,tbFactorMes,2,FALSE),"")</f>
        <v/>
      </c>
      <c r="AE751">
        <f t="shared" si="158"/>
        <v>0</v>
      </c>
      <c r="AH751" t="str">
        <f>IFERROR(VLOOKUP(AG751,tbFactorMes,2,FALSE),"")</f>
        <v/>
      </c>
      <c r="AI751">
        <f t="shared" si="159"/>
        <v>0</v>
      </c>
      <c r="AL751" t="str">
        <f>IFERROR(VLOOKUP(AK751,tbFactorMes,2,FALSE),"")</f>
        <v/>
      </c>
      <c r="AM751">
        <f t="shared" si="160"/>
        <v>0</v>
      </c>
      <c r="AP751" t="str">
        <f>IFERROR(VLOOKUP(AO751,tbFactorMes,2,FALSE),"")</f>
        <v/>
      </c>
      <c r="AQ751">
        <f t="shared" si="161"/>
        <v>0</v>
      </c>
      <c r="AT751" t="str">
        <f>IFERROR(VLOOKUP(AS751,tbFactorMes,2,FALSE),"")</f>
        <v/>
      </c>
      <c r="AU751">
        <f t="shared" si="162"/>
        <v>0</v>
      </c>
      <c r="AX751" t="str">
        <f>IFERROR(VLOOKUP(AW751,tbFactorMes,2,FALSE),"")</f>
        <v/>
      </c>
      <c r="AY751">
        <f t="shared" si="163"/>
        <v>0</v>
      </c>
      <c r="BB751" t="str">
        <f>IFERROR(VLOOKUP(BA751,tbFactorMes,2,FALSE),"")</f>
        <v/>
      </c>
      <c r="BC751">
        <f t="shared" si="164"/>
        <v>0</v>
      </c>
      <c r="BF751" t="str">
        <f>IFERROR(VLOOKUP(BE751,tbFactorMes,2,FALSE),"")</f>
        <v/>
      </c>
      <c r="BG751">
        <f t="shared" si="165"/>
        <v>0</v>
      </c>
      <c r="BH751">
        <f t="shared" si="166"/>
        <v>0</v>
      </c>
      <c r="BI751">
        <f t="shared" si="167"/>
        <v>0</v>
      </c>
    </row>
    <row r="752" spans="11:61" x14ac:dyDescent="0.35">
      <c r="K752" t="str">
        <f>IFERROR(VLOOKUP(F752,tbTurnos,3,FALSE),"")</f>
        <v/>
      </c>
      <c r="N752" t="str">
        <f>IFERROR(VLOOKUP(M752,tbFactorMes,2,FALSE),"")</f>
        <v/>
      </c>
      <c r="O752">
        <f t="shared" si="154"/>
        <v>0</v>
      </c>
      <c r="R752" t="str">
        <f>IFERROR(VLOOKUP(Q752,tbFactorMes,2,FALSE),"")</f>
        <v/>
      </c>
      <c r="S752">
        <f t="shared" si="155"/>
        <v>0</v>
      </c>
      <c r="V752" t="str">
        <f>IFERROR(VLOOKUP(U752,tbFactorMes,2,FALSE),"")</f>
        <v/>
      </c>
      <c r="W752">
        <f t="shared" si="156"/>
        <v>0</v>
      </c>
      <c r="Z752" t="str">
        <f>IFERROR(VLOOKUP(Y752,tbFactorMes,2,FALSE),"")</f>
        <v/>
      </c>
      <c r="AA752">
        <f t="shared" si="157"/>
        <v>0</v>
      </c>
      <c r="AD752" t="str">
        <f>IFERROR(VLOOKUP(AC752,tbFactorMes,2,FALSE),"")</f>
        <v/>
      </c>
      <c r="AE752">
        <f t="shared" si="158"/>
        <v>0</v>
      </c>
      <c r="AH752" t="str">
        <f>IFERROR(VLOOKUP(AG752,tbFactorMes,2,FALSE),"")</f>
        <v/>
      </c>
      <c r="AI752">
        <f t="shared" si="159"/>
        <v>0</v>
      </c>
      <c r="AL752" t="str">
        <f>IFERROR(VLOOKUP(AK752,tbFactorMes,2,FALSE),"")</f>
        <v/>
      </c>
      <c r="AM752">
        <f t="shared" si="160"/>
        <v>0</v>
      </c>
      <c r="AP752" t="str">
        <f>IFERROR(VLOOKUP(AO752,tbFactorMes,2,FALSE),"")</f>
        <v/>
      </c>
      <c r="AQ752">
        <f t="shared" si="161"/>
        <v>0</v>
      </c>
      <c r="AT752" t="str">
        <f>IFERROR(VLOOKUP(AS752,tbFactorMes,2,FALSE),"")</f>
        <v/>
      </c>
      <c r="AU752">
        <f t="shared" si="162"/>
        <v>0</v>
      </c>
      <c r="AX752" t="str">
        <f>IFERROR(VLOOKUP(AW752,tbFactorMes,2,FALSE),"")</f>
        <v/>
      </c>
      <c r="AY752">
        <f t="shared" si="163"/>
        <v>0</v>
      </c>
      <c r="BB752" t="str">
        <f>IFERROR(VLOOKUP(BA752,tbFactorMes,2,FALSE),"")</f>
        <v/>
      </c>
      <c r="BC752">
        <f t="shared" si="164"/>
        <v>0</v>
      </c>
      <c r="BF752" t="str">
        <f>IFERROR(VLOOKUP(BE752,tbFactorMes,2,FALSE),"")</f>
        <v/>
      </c>
      <c r="BG752">
        <f t="shared" si="165"/>
        <v>0</v>
      </c>
      <c r="BH752">
        <f t="shared" si="166"/>
        <v>0</v>
      </c>
      <c r="BI752">
        <f t="shared" si="167"/>
        <v>0</v>
      </c>
    </row>
    <row r="753" spans="11:61" x14ac:dyDescent="0.35">
      <c r="K753" t="str">
        <f>IFERROR(VLOOKUP(F753,tbTurnos,3,FALSE),"")</f>
        <v/>
      </c>
      <c r="N753" t="str">
        <f>IFERROR(VLOOKUP(M753,tbFactorMes,2,FALSE),"")</f>
        <v/>
      </c>
      <c r="O753">
        <f t="shared" si="154"/>
        <v>0</v>
      </c>
      <c r="R753" t="str">
        <f>IFERROR(VLOOKUP(Q753,tbFactorMes,2,FALSE),"")</f>
        <v/>
      </c>
      <c r="S753">
        <f t="shared" si="155"/>
        <v>0</v>
      </c>
      <c r="V753" t="str">
        <f>IFERROR(VLOOKUP(U753,tbFactorMes,2,FALSE),"")</f>
        <v/>
      </c>
      <c r="W753">
        <f t="shared" si="156"/>
        <v>0</v>
      </c>
      <c r="Z753" t="str">
        <f>IFERROR(VLOOKUP(Y753,tbFactorMes,2,FALSE),"")</f>
        <v/>
      </c>
      <c r="AA753">
        <f t="shared" si="157"/>
        <v>0</v>
      </c>
      <c r="AD753" t="str">
        <f>IFERROR(VLOOKUP(AC753,tbFactorMes,2,FALSE),"")</f>
        <v/>
      </c>
      <c r="AE753">
        <f t="shared" si="158"/>
        <v>0</v>
      </c>
      <c r="AH753" t="str">
        <f>IFERROR(VLOOKUP(AG753,tbFactorMes,2,FALSE),"")</f>
        <v/>
      </c>
      <c r="AI753">
        <f t="shared" si="159"/>
        <v>0</v>
      </c>
      <c r="AL753" t="str">
        <f>IFERROR(VLOOKUP(AK753,tbFactorMes,2,FALSE),"")</f>
        <v/>
      </c>
      <c r="AM753">
        <f t="shared" si="160"/>
        <v>0</v>
      </c>
      <c r="AP753" t="str">
        <f>IFERROR(VLOOKUP(AO753,tbFactorMes,2,FALSE),"")</f>
        <v/>
      </c>
      <c r="AQ753">
        <f t="shared" si="161"/>
        <v>0</v>
      </c>
      <c r="AT753" t="str">
        <f>IFERROR(VLOOKUP(AS753,tbFactorMes,2,FALSE),"")</f>
        <v/>
      </c>
      <c r="AU753">
        <f t="shared" si="162"/>
        <v>0</v>
      </c>
      <c r="AX753" t="str">
        <f>IFERROR(VLOOKUP(AW753,tbFactorMes,2,FALSE),"")</f>
        <v/>
      </c>
      <c r="AY753">
        <f t="shared" si="163"/>
        <v>0</v>
      </c>
      <c r="BB753" t="str">
        <f>IFERROR(VLOOKUP(BA753,tbFactorMes,2,FALSE),"")</f>
        <v/>
      </c>
      <c r="BC753">
        <f t="shared" si="164"/>
        <v>0</v>
      </c>
      <c r="BF753" t="str">
        <f>IFERROR(VLOOKUP(BE753,tbFactorMes,2,FALSE),"")</f>
        <v/>
      </c>
      <c r="BG753">
        <f t="shared" si="165"/>
        <v>0</v>
      </c>
      <c r="BH753">
        <f t="shared" si="166"/>
        <v>0</v>
      </c>
      <c r="BI753">
        <f t="shared" si="167"/>
        <v>0</v>
      </c>
    </row>
    <row r="754" spans="11:61" x14ac:dyDescent="0.35">
      <c r="K754" t="str">
        <f>IFERROR(VLOOKUP(F754,tbTurnos,3,FALSE),"")</f>
        <v/>
      </c>
      <c r="N754" t="str">
        <f>IFERROR(VLOOKUP(M754,tbFactorMes,2,FALSE),"")</f>
        <v/>
      </c>
      <c r="O754">
        <f t="shared" si="154"/>
        <v>0</v>
      </c>
      <c r="R754" t="str">
        <f>IFERROR(VLOOKUP(Q754,tbFactorMes,2,FALSE),"")</f>
        <v/>
      </c>
      <c r="S754">
        <f t="shared" si="155"/>
        <v>0</v>
      </c>
      <c r="V754" t="str">
        <f>IFERROR(VLOOKUP(U754,tbFactorMes,2,FALSE),"")</f>
        <v/>
      </c>
      <c r="W754">
        <f t="shared" si="156"/>
        <v>0</v>
      </c>
      <c r="Z754" t="str">
        <f>IFERROR(VLOOKUP(Y754,tbFactorMes,2,FALSE),"")</f>
        <v/>
      </c>
      <c r="AA754">
        <f t="shared" si="157"/>
        <v>0</v>
      </c>
      <c r="AD754" t="str">
        <f>IFERROR(VLOOKUP(AC754,tbFactorMes,2,FALSE),"")</f>
        <v/>
      </c>
      <c r="AE754">
        <f t="shared" si="158"/>
        <v>0</v>
      </c>
      <c r="AH754" t="str">
        <f>IFERROR(VLOOKUP(AG754,tbFactorMes,2,FALSE),"")</f>
        <v/>
      </c>
      <c r="AI754">
        <f t="shared" si="159"/>
        <v>0</v>
      </c>
      <c r="AL754" t="str">
        <f>IFERROR(VLOOKUP(AK754,tbFactorMes,2,FALSE),"")</f>
        <v/>
      </c>
      <c r="AM754">
        <f t="shared" si="160"/>
        <v>0</v>
      </c>
      <c r="AP754" t="str">
        <f>IFERROR(VLOOKUP(AO754,tbFactorMes,2,FALSE),"")</f>
        <v/>
      </c>
      <c r="AQ754">
        <f t="shared" si="161"/>
        <v>0</v>
      </c>
      <c r="AT754" t="str">
        <f>IFERROR(VLOOKUP(AS754,tbFactorMes,2,FALSE),"")</f>
        <v/>
      </c>
      <c r="AU754">
        <f t="shared" si="162"/>
        <v>0</v>
      </c>
      <c r="AX754" t="str">
        <f>IFERROR(VLOOKUP(AW754,tbFactorMes,2,FALSE),"")</f>
        <v/>
      </c>
      <c r="AY754">
        <f t="shared" si="163"/>
        <v>0</v>
      </c>
      <c r="BB754" t="str">
        <f>IFERROR(VLOOKUP(BA754,tbFactorMes,2,FALSE),"")</f>
        <v/>
      </c>
      <c r="BC754">
        <f t="shared" si="164"/>
        <v>0</v>
      </c>
      <c r="BF754" t="str">
        <f>IFERROR(VLOOKUP(BE754,tbFactorMes,2,FALSE),"")</f>
        <v/>
      </c>
      <c r="BG754">
        <f t="shared" si="165"/>
        <v>0</v>
      </c>
      <c r="BH754">
        <f t="shared" si="166"/>
        <v>0</v>
      </c>
      <c r="BI754">
        <f t="shared" si="167"/>
        <v>0</v>
      </c>
    </row>
    <row r="755" spans="11:61" x14ac:dyDescent="0.35">
      <c r="K755" t="str">
        <f>IFERROR(VLOOKUP(F755,tbTurnos,3,FALSE),"")</f>
        <v/>
      </c>
      <c r="N755" t="str">
        <f>IFERROR(VLOOKUP(M755,tbFactorMes,2,FALSE),"")</f>
        <v/>
      </c>
      <c r="O755">
        <f t="shared" si="154"/>
        <v>0</v>
      </c>
      <c r="R755" t="str">
        <f>IFERROR(VLOOKUP(Q755,tbFactorMes,2,FALSE),"")</f>
        <v/>
      </c>
      <c r="S755">
        <f t="shared" si="155"/>
        <v>0</v>
      </c>
      <c r="V755" t="str">
        <f>IFERROR(VLOOKUP(U755,tbFactorMes,2,FALSE),"")</f>
        <v/>
      </c>
      <c r="W755">
        <f t="shared" si="156"/>
        <v>0</v>
      </c>
      <c r="Z755" t="str">
        <f>IFERROR(VLOOKUP(Y755,tbFactorMes,2,FALSE),"")</f>
        <v/>
      </c>
      <c r="AA755">
        <f t="shared" si="157"/>
        <v>0</v>
      </c>
      <c r="AD755" t="str">
        <f>IFERROR(VLOOKUP(AC755,tbFactorMes,2,FALSE),"")</f>
        <v/>
      </c>
      <c r="AE755">
        <f t="shared" si="158"/>
        <v>0</v>
      </c>
      <c r="AH755" t="str">
        <f>IFERROR(VLOOKUP(AG755,tbFactorMes,2,FALSE),"")</f>
        <v/>
      </c>
      <c r="AI755">
        <f t="shared" si="159"/>
        <v>0</v>
      </c>
      <c r="AL755" t="str">
        <f>IFERROR(VLOOKUP(AK755,tbFactorMes,2,FALSE),"")</f>
        <v/>
      </c>
      <c r="AM755">
        <f t="shared" si="160"/>
        <v>0</v>
      </c>
      <c r="AP755" t="str">
        <f>IFERROR(VLOOKUP(AO755,tbFactorMes,2,FALSE),"")</f>
        <v/>
      </c>
      <c r="AQ755">
        <f t="shared" si="161"/>
        <v>0</v>
      </c>
      <c r="AT755" t="str">
        <f>IFERROR(VLOOKUP(AS755,tbFactorMes,2,FALSE),"")</f>
        <v/>
      </c>
      <c r="AU755">
        <f t="shared" si="162"/>
        <v>0</v>
      </c>
      <c r="AX755" t="str">
        <f>IFERROR(VLOOKUP(AW755,tbFactorMes,2,FALSE),"")</f>
        <v/>
      </c>
      <c r="AY755">
        <f t="shared" si="163"/>
        <v>0</v>
      </c>
      <c r="BB755" t="str">
        <f>IFERROR(VLOOKUP(BA755,tbFactorMes,2,FALSE),"")</f>
        <v/>
      </c>
      <c r="BC755">
        <f t="shared" si="164"/>
        <v>0</v>
      </c>
      <c r="BF755" t="str">
        <f>IFERROR(VLOOKUP(BE755,tbFactorMes,2,FALSE),"")</f>
        <v/>
      </c>
      <c r="BG755">
        <f t="shared" si="165"/>
        <v>0</v>
      </c>
      <c r="BH755">
        <f t="shared" si="166"/>
        <v>0</v>
      </c>
      <c r="BI755">
        <f t="shared" si="167"/>
        <v>0</v>
      </c>
    </row>
    <row r="756" spans="11:61" x14ac:dyDescent="0.35">
      <c r="K756" t="str">
        <f>IFERROR(VLOOKUP(F756,tbTurnos,3,FALSE),"")</f>
        <v/>
      </c>
      <c r="N756" t="str">
        <f>IFERROR(VLOOKUP(M756,tbFactorMes,2,FALSE),"")</f>
        <v/>
      </c>
      <c r="O756">
        <f t="shared" si="154"/>
        <v>0</v>
      </c>
      <c r="R756" t="str">
        <f>IFERROR(VLOOKUP(Q756,tbFactorMes,2,FALSE),"")</f>
        <v/>
      </c>
      <c r="S756">
        <f t="shared" si="155"/>
        <v>0</v>
      </c>
      <c r="V756" t="str">
        <f>IFERROR(VLOOKUP(U756,tbFactorMes,2,FALSE),"")</f>
        <v/>
      </c>
      <c r="W756">
        <f t="shared" si="156"/>
        <v>0</v>
      </c>
      <c r="Z756" t="str">
        <f>IFERROR(VLOOKUP(Y756,tbFactorMes,2,FALSE),"")</f>
        <v/>
      </c>
      <c r="AA756">
        <f t="shared" si="157"/>
        <v>0</v>
      </c>
      <c r="AD756" t="str">
        <f>IFERROR(VLOOKUP(AC756,tbFactorMes,2,FALSE),"")</f>
        <v/>
      </c>
      <c r="AE756">
        <f t="shared" si="158"/>
        <v>0</v>
      </c>
      <c r="AH756" t="str">
        <f>IFERROR(VLOOKUP(AG756,tbFactorMes,2,FALSE),"")</f>
        <v/>
      </c>
      <c r="AI756">
        <f t="shared" si="159"/>
        <v>0</v>
      </c>
      <c r="AL756" t="str">
        <f>IFERROR(VLOOKUP(AK756,tbFactorMes,2,FALSE),"")</f>
        <v/>
      </c>
      <c r="AM756">
        <f t="shared" si="160"/>
        <v>0</v>
      </c>
      <c r="AP756" t="str">
        <f>IFERROR(VLOOKUP(AO756,tbFactorMes,2,FALSE),"")</f>
        <v/>
      </c>
      <c r="AQ756">
        <f t="shared" si="161"/>
        <v>0</v>
      </c>
      <c r="AT756" t="str">
        <f>IFERROR(VLOOKUP(AS756,tbFactorMes,2,FALSE),"")</f>
        <v/>
      </c>
      <c r="AU756">
        <f t="shared" si="162"/>
        <v>0</v>
      </c>
      <c r="AX756" t="str">
        <f>IFERROR(VLOOKUP(AW756,tbFactorMes,2,FALSE),"")</f>
        <v/>
      </c>
      <c r="AY756">
        <f t="shared" si="163"/>
        <v>0</v>
      </c>
      <c r="BB756" t="str">
        <f>IFERROR(VLOOKUP(BA756,tbFactorMes,2,FALSE),"")</f>
        <v/>
      </c>
      <c r="BC756">
        <f t="shared" si="164"/>
        <v>0</v>
      </c>
      <c r="BF756" t="str">
        <f>IFERROR(VLOOKUP(BE756,tbFactorMes,2,FALSE),"")</f>
        <v/>
      </c>
      <c r="BG756">
        <f t="shared" si="165"/>
        <v>0</v>
      </c>
      <c r="BH756">
        <f t="shared" si="166"/>
        <v>0</v>
      </c>
      <c r="BI756">
        <f t="shared" si="167"/>
        <v>0</v>
      </c>
    </row>
    <row r="757" spans="11:61" x14ac:dyDescent="0.35">
      <c r="K757" t="str">
        <f>IFERROR(VLOOKUP(F757,tbTurnos,3,FALSE),"")</f>
        <v/>
      </c>
      <c r="N757" t="str">
        <f>IFERROR(VLOOKUP(M757,tbFactorMes,2,FALSE),"")</f>
        <v/>
      </c>
      <c r="O757">
        <f t="shared" si="154"/>
        <v>0</v>
      </c>
      <c r="R757" t="str">
        <f>IFERROR(VLOOKUP(Q757,tbFactorMes,2,FALSE),"")</f>
        <v/>
      </c>
      <c r="S757">
        <f t="shared" si="155"/>
        <v>0</v>
      </c>
      <c r="V757" t="str">
        <f>IFERROR(VLOOKUP(U757,tbFactorMes,2,FALSE),"")</f>
        <v/>
      </c>
      <c r="W757">
        <f t="shared" si="156"/>
        <v>0</v>
      </c>
      <c r="Z757" t="str">
        <f>IFERROR(VLOOKUP(Y757,tbFactorMes,2,FALSE),"")</f>
        <v/>
      </c>
      <c r="AA757">
        <f t="shared" si="157"/>
        <v>0</v>
      </c>
      <c r="AD757" t="str">
        <f>IFERROR(VLOOKUP(AC757,tbFactorMes,2,FALSE),"")</f>
        <v/>
      </c>
      <c r="AE757">
        <f t="shared" si="158"/>
        <v>0</v>
      </c>
      <c r="AH757" t="str">
        <f>IFERROR(VLOOKUP(AG757,tbFactorMes,2,FALSE),"")</f>
        <v/>
      </c>
      <c r="AI757">
        <f t="shared" si="159"/>
        <v>0</v>
      </c>
      <c r="AL757" t="str">
        <f>IFERROR(VLOOKUP(AK757,tbFactorMes,2,FALSE),"")</f>
        <v/>
      </c>
      <c r="AM757">
        <f t="shared" si="160"/>
        <v>0</v>
      </c>
      <c r="AP757" t="str">
        <f>IFERROR(VLOOKUP(AO757,tbFactorMes,2,FALSE),"")</f>
        <v/>
      </c>
      <c r="AQ757">
        <f t="shared" si="161"/>
        <v>0</v>
      </c>
      <c r="AT757" t="str">
        <f>IFERROR(VLOOKUP(AS757,tbFactorMes,2,FALSE),"")</f>
        <v/>
      </c>
      <c r="AU757">
        <f t="shared" si="162"/>
        <v>0</v>
      </c>
      <c r="AX757" t="str">
        <f>IFERROR(VLOOKUP(AW757,tbFactorMes,2,FALSE),"")</f>
        <v/>
      </c>
      <c r="AY757">
        <f t="shared" si="163"/>
        <v>0</v>
      </c>
      <c r="BB757" t="str">
        <f>IFERROR(VLOOKUP(BA757,tbFactorMes,2,FALSE),"")</f>
        <v/>
      </c>
      <c r="BC757">
        <f t="shared" si="164"/>
        <v>0</v>
      </c>
      <c r="BF757" t="str">
        <f>IFERROR(VLOOKUP(BE757,tbFactorMes,2,FALSE),"")</f>
        <v/>
      </c>
      <c r="BG757">
        <f t="shared" si="165"/>
        <v>0</v>
      </c>
      <c r="BH757">
        <f t="shared" si="166"/>
        <v>0</v>
      </c>
      <c r="BI757">
        <f t="shared" si="167"/>
        <v>0</v>
      </c>
    </row>
    <row r="758" spans="11:61" x14ac:dyDescent="0.35">
      <c r="K758" t="str">
        <f>IFERROR(VLOOKUP(F758,tbTurnos,3,FALSE),"")</f>
        <v/>
      </c>
      <c r="N758" t="str">
        <f>IFERROR(VLOOKUP(M758,tbFactorMes,2,FALSE),"")</f>
        <v/>
      </c>
      <c r="O758">
        <f t="shared" si="154"/>
        <v>0</v>
      </c>
      <c r="R758" t="str">
        <f>IFERROR(VLOOKUP(Q758,tbFactorMes,2,FALSE),"")</f>
        <v/>
      </c>
      <c r="S758">
        <f t="shared" si="155"/>
        <v>0</v>
      </c>
      <c r="V758" t="str">
        <f>IFERROR(VLOOKUP(U758,tbFactorMes,2,FALSE),"")</f>
        <v/>
      </c>
      <c r="W758">
        <f t="shared" si="156"/>
        <v>0</v>
      </c>
      <c r="Z758" t="str">
        <f>IFERROR(VLOOKUP(Y758,tbFactorMes,2,FALSE),"")</f>
        <v/>
      </c>
      <c r="AA758">
        <f t="shared" si="157"/>
        <v>0</v>
      </c>
      <c r="AD758" t="str">
        <f>IFERROR(VLOOKUP(AC758,tbFactorMes,2,FALSE),"")</f>
        <v/>
      </c>
      <c r="AE758">
        <f t="shared" si="158"/>
        <v>0</v>
      </c>
      <c r="AH758" t="str">
        <f>IFERROR(VLOOKUP(AG758,tbFactorMes,2,FALSE),"")</f>
        <v/>
      </c>
      <c r="AI758">
        <f t="shared" si="159"/>
        <v>0</v>
      </c>
      <c r="AL758" t="str">
        <f>IFERROR(VLOOKUP(AK758,tbFactorMes,2,FALSE),"")</f>
        <v/>
      </c>
      <c r="AM758">
        <f t="shared" si="160"/>
        <v>0</v>
      </c>
      <c r="AP758" t="str">
        <f>IFERROR(VLOOKUP(AO758,tbFactorMes,2,FALSE),"")</f>
        <v/>
      </c>
      <c r="AQ758">
        <f t="shared" si="161"/>
        <v>0</v>
      </c>
      <c r="AT758" t="str">
        <f>IFERROR(VLOOKUP(AS758,tbFactorMes,2,FALSE),"")</f>
        <v/>
      </c>
      <c r="AU758">
        <f t="shared" si="162"/>
        <v>0</v>
      </c>
      <c r="AX758" t="str">
        <f>IFERROR(VLOOKUP(AW758,tbFactorMes,2,FALSE),"")</f>
        <v/>
      </c>
      <c r="AY758">
        <f t="shared" si="163"/>
        <v>0</v>
      </c>
      <c r="BB758" t="str">
        <f>IFERROR(VLOOKUP(BA758,tbFactorMes,2,FALSE),"")</f>
        <v/>
      </c>
      <c r="BC758">
        <f t="shared" si="164"/>
        <v>0</v>
      </c>
      <c r="BF758" t="str">
        <f>IFERROR(VLOOKUP(BE758,tbFactorMes,2,FALSE),"")</f>
        <v/>
      </c>
      <c r="BG758">
        <f t="shared" si="165"/>
        <v>0</v>
      </c>
      <c r="BH758">
        <f t="shared" si="166"/>
        <v>0</v>
      </c>
      <c r="BI758">
        <f t="shared" si="167"/>
        <v>0</v>
      </c>
    </row>
    <row r="759" spans="11:61" x14ac:dyDescent="0.35">
      <c r="K759" t="str">
        <f>IFERROR(VLOOKUP(F759,tbTurnos,3,FALSE),"")</f>
        <v/>
      </c>
      <c r="N759" t="str">
        <f>IFERROR(VLOOKUP(M759,tbFactorMes,2,FALSE),"")</f>
        <v/>
      </c>
      <c r="O759">
        <f t="shared" si="154"/>
        <v>0</v>
      </c>
      <c r="R759" t="str">
        <f>IFERROR(VLOOKUP(Q759,tbFactorMes,2,FALSE),"")</f>
        <v/>
      </c>
      <c r="S759">
        <f t="shared" si="155"/>
        <v>0</v>
      </c>
      <c r="V759" t="str">
        <f>IFERROR(VLOOKUP(U759,tbFactorMes,2,FALSE),"")</f>
        <v/>
      </c>
      <c r="W759">
        <f t="shared" si="156"/>
        <v>0</v>
      </c>
      <c r="Z759" t="str">
        <f>IFERROR(VLOOKUP(Y759,tbFactorMes,2,FALSE),"")</f>
        <v/>
      </c>
      <c r="AA759">
        <f t="shared" si="157"/>
        <v>0</v>
      </c>
      <c r="AD759" t="str">
        <f>IFERROR(VLOOKUP(AC759,tbFactorMes,2,FALSE),"")</f>
        <v/>
      </c>
      <c r="AE759">
        <f t="shared" si="158"/>
        <v>0</v>
      </c>
      <c r="AH759" t="str">
        <f>IFERROR(VLOOKUP(AG759,tbFactorMes,2,FALSE),"")</f>
        <v/>
      </c>
      <c r="AI759">
        <f t="shared" si="159"/>
        <v>0</v>
      </c>
      <c r="AL759" t="str">
        <f>IFERROR(VLOOKUP(AK759,tbFactorMes,2,FALSE),"")</f>
        <v/>
      </c>
      <c r="AM759">
        <f t="shared" si="160"/>
        <v>0</v>
      </c>
      <c r="AP759" t="str">
        <f>IFERROR(VLOOKUP(AO759,tbFactorMes,2,FALSE),"")</f>
        <v/>
      </c>
      <c r="AQ759">
        <f t="shared" si="161"/>
        <v>0</v>
      </c>
      <c r="AT759" t="str">
        <f>IFERROR(VLOOKUP(AS759,tbFactorMes,2,FALSE),"")</f>
        <v/>
      </c>
      <c r="AU759">
        <f t="shared" si="162"/>
        <v>0</v>
      </c>
      <c r="AX759" t="str">
        <f>IFERROR(VLOOKUP(AW759,tbFactorMes,2,FALSE),"")</f>
        <v/>
      </c>
      <c r="AY759">
        <f t="shared" si="163"/>
        <v>0</v>
      </c>
      <c r="BB759" t="str">
        <f>IFERROR(VLOOKUP(BA759,tbFactorMes,2,FALSE),"")</f>
        <v/>
      </c>
      <c r="BC759">
        <f t="shared" si="164"/>
        <v>0</v>
      </c>
      <c r="BF759" t="str">
        <f>IFERROR(VLOOKUP(BE759,tbFactorMes,2,FALSE),"")</f>
        <v/>
      </c>
      <c r="BG759">
        <f t="shared" si="165"/>
        <v>0</v>
      </c>
      <c r="BH759">
        <f t="shared" si="166"/>
        <v>0</v>
      </c>
      <c r="BI759">
        <f t="shared" si="167"/>
        <v>0</v>
      </c>
    </row>
    <row r="760" spans="11:61" x14ac:dyDescent="0.35">
      <c r="K760" t="str">
        <f>IFERROR(VLOOKUP(F760,tbTurnos,3,FALSE),"")</f>
        <v/>
      </c>
      <c r="N760" t="str">
        <f>IFERROR(VLOOKUP(M760,tbFactorMes,2,FALSE),"")</f>
        <v/>
      </c>
      <c r="O760">
        <f t="shared" si="154"/>
        <v>0</v>
      </c>
      <c r="R760" t="str">
        <f>IFERROR(VLOOKUP(Q760,tbFactorMes,2,FALSE),"")</f>
        <v/>
      </c>
      <c r="S760">
        <f t="shared" si="155"/>
        <v>0</v>
      </c>
      <c r="V760" t="str">
        <f>IFERROR(VLOOKUP(U760,tbFactorMes,2,FALSE),"")</f>
        <v/>
      </c>
      <c r="W760">
        <f t="shared" si="156"/>
        <v>0</v>
      </c>
      <c r="Z760" t="str">
        <f>IFERROR(VLOOKUP(Y760,tbFactorMes,2,FALSE),"")</f>
        <v/>
      </c>
      <c r="AA760">
        <f t="shared" si="157"/>
        <v>0</v>
      </c>
      <c r="AD760" t="str">
        <f>IFERROR(VLOOKUP(AC760,tbFactorMes,2,FALSE),"")</f>
        <v/>
      </c>
      <c r="AE760">
        <f t="shared" si="158"/>
        <v>0</v>
      </c>
      <c r="AH760" t="str">
        <f>IFERROR(VLOOKUP(AG760,tbFactorMes,2,FALSE),"")</f>
        <v/>
      </c>
      <c r="AI760">
        <f t="shared" si="159"/>
        <v>0</v>
      </c>
      <c r="AL760" t="str">
        <f>IFERROR(VLOOKUP(AK760,tbFactorMes,2,FALSE),"")</f>
        <v/>
      </c>
      <c r="AM760">
        <f t="shared" si="160"/>
        <v>0</v>
      </c>
      <c r="AP760" t="str">
        <f>IFERROR(VLOOKUP(AO760,tbFactorMes,2,FALSE),"")</f>
        <v/>
      </c>
      <c r="AQ760">
        <f t="shared" si="161"/>
        <v>0</v>
      </c>
      <c r="AT760" t="str">
        <f>IFERROR(VLOOKUP(AS760,tbFactorMes,2,FALSE),"")</f>
        <v/>
      </c>
      <c r="AU760">
        <f t="shared" si="162"/>
        <v>0</v>
      </c>
      <c r="AX760" t="str">
        <f>IFERROR(VLOOKUP(AW760,tbFactorMes,2,FALSE),"")</f>
        <v/>
      </c>
      <c r="AY760">
        <f t="shared" si="163"/>
        <v>0</v>
      </c>
      <c r="BB760" t="str">
        <f>IFERROR(VLOOKUP(BA760,tbFactorMes,2,FALSE),"")</f>
        <v/>
      </c>
      <c r="BC760">
        <f t="shared" si="164"/>
        <v>0</v>
      </c>
      <c r="BF760" t="str">
        <f>IFERROR(VLOOKUP(BE760,tbFactorMes,2,FALSE),"")</f>
        <v/>
      </c>
      <c r="BG760">
        <f t="shared" si="165"/>
        <v>0</v>
      </c>
      <c r="BH760">
        <f t="shared" si="166"/>
        <v>0</v>
      </c>
      <c r="BI760">
        <f t="shared" si="167"/>
        <v>0</v>
      </c>
    </row>
    <row r="761" spans="11:61" x14ac:dyDescent="0.35">
      <c r="K761" t="str">
        <f>IFERROR(VLOOKUP(F761,tbTurnos,3,FALSE),"")</f>
        <v/>
      </c>
      <c r="N761" t="str">
        <f>IFERROR(VLOOKUP(M761,tbFactorMes,2,FALSE),"")</f>
        <v/>
      </c>
      <c r="O761">
        <f t="shared" si="154"/>
        <v>0</v>
      </c>
      <c r="R761" t="str">
        <f>IFERROR(VLOOKUP(Q761,tbFactorMes,2,FALSE),"")</f>
        <v/>
      </c>
      <c r="S761">
        <f t="shared" si="155"/>
        <v>0</v>
      </c>
      <c r="V761" t="str">
        <f>IFERROR(VLOOKUP(U761,tbFactorMes,2,FALSE),"")</f>
        <v/>
      </c>
      <c r="W761">
        <f t="shared" si="156"/>
        <v>0</v>
      </c>
      <c r="Z761" t="str">
        <f>IFERROR(VLOOKUP(Y761,tbFactorMes,2,FALSE),"")</f>
        <v/>
      </c>
      <c r="AA761">
        <f t="shared" si="157"/>
        <v>0</v>
      </c>
      <c r="AD761" t="str">
        <f>IFERROR(VLOOKUP(AC761,tbFactorMes,2,FALSE),"")</f>
        <v/>
      </c>
      <c r="AE761">
        <f t="shared" si="158"/>
        <v>0</v>
      </c>
      <c r="AH761" t="str">
        <f>IFERROR(VLOOKUP(AG761,tbFactorMes,2,FALSE),"")</f>
        <v/>
      </c>
      <c r="AI761">
        <f t="shared" si="159"/>
        <v>0</v>
      </c>
      <c r="AL761" t="str">
        <f>IFERROR(VLOOKUP(AK761,tbFactorMes,2,FALSE),"")</f>
        <v/>
      </c>
      <c r="AM761">
        <f t="shared" si="160"/>
        <v>0</v>
      </c>
      <c r="AP761" t="str">
        <f>IFERROR(VLOOKUP(AO761,tbFactorMes,2,FALSE),"")</f>
        <v/>
      </c>
      <c r="AQ761">
        <f t="shared" si="161"/>
        <v>0</v>
      </c>
      <c r="AT761" t="str">
        <f>IFERROR(VLOOKUP(AS761,tbFactorMes,2,FALSE),"")</f>
        <v/>
      </c>
      <c r="AU761">
        <f t="shared" si="162"/>
        <v>0</v>
      </c>
      <c r="AX761" t="str">
        <f>IFERROR(VLOOKUP(AW761,tbFactorMes,2,FALSE),"")</f>
        <v/>
      </c>
      <c r="AY761">
        <f t="shared" si="163"/>
        <v>0</v>
      </c>
      <c r="BB761" t="str">
        <f>IFERROR(VLOOKUP(BA761,tbFactorMes,2,FALSE),"")</f>
        <v/>
      </c>
      <c r="BC761">
        <f t="shared" si="164"/>
        <v>0</v>
      </c>
      <c r="BF761" t="str">
        <f>IFERROR(VLOOKUP(BE761,tbFactorMes,2,FALSE),"")</f>
        <v/>
      </c>
      <c r="BG761">
        <f t="shared" si="165"/>
        <v>0</v>
      </c>
      <c r="BH761">
        <f t="shared" si="166"/>
        <v>0</v>
      </c>
      <c r="BI761">
        <f t="shared" si="167"/>
        <v>0</v>
      </c>
    </row>
    <row r="762" spans="11:61" x14ac:dyDescent="0.35">
      <c r="K762" t="str">
        <f>IFERROR(VLOOKUP(F762,tbTurnos,3,FALSE),"")</f>
        <v/>
      </c>
      <c r="N762" t="str">
        <f>IFERROR(VLOOKUP(M762,tbFactorMes,2,FALSE),"")</f>
        <v/>
      </c>
      <c r="O762">
        <f t="shared" si="154"/>
        <v>0</v>
      </c>
      <c r="R762" t="str">
        <f>IFERROR(VLOOKUP(Q762,tbFactorMes,2,FALSE),"")</f>
        <v/>
      </c>
      <c r="S762">
        <f t="shared" si="155"/>
        <v>0</v>
      </c>
      <c r="V762" t="str">
        <f>IFERROR(VLOOKUP(U762,tbFactorMes,2,FALSE),"")</f>
        <v/>
      </c>
      <c r="W762">
        <f t="shared" si="156"/>
        <v>0</v>
      </c>
      <c r="Z762" t="str">
        <f>IFERROR(VLOOKUP(Y762,tbFactorMes,2,FALSE),"")</f>
        <v/>
      </c>
      <c r="AA762">
        <f t="shared" si="157"/>
        <v>0</v>
      </c>
      <c r="AD762" t="str">
        <f>IFERROR(VLOOKUP(AC762,tbFactorMes,2,FALSE),"")</f>
        <v/>
      </c>
      <c r="AE762">
        <f t="shared" si="158"/>
        <v>0</v>
      </c>
      <c r="AH762" t="str">
        <f>IFERROR(VLOOKUP(AG762,tbFactorMes,2,FALSE),"")</f>
        <v/>
      </c>
      <c r="AI762">
        <f t="shared" si="159"/>
        <v>0</v>
      </c>
      <c r="AL762" t="str">
        <f>IFERROR(VLOOKUP(AK762,tbFactorMes,2,FALSE),"")</f>
        <v/>
      </c>
      <c r="AM762">
        <f t="shared" si="160"/>
        <v>0</v>
      </c>
      <c r="AP762" t="str">
        <f>IFERROR(VLOOKUP(AO762,tbFactorMes,2,FALSE),"")</f>
        <v/>
      </c>
      <c r="AQ762">
        <f t="shared" si="161"/>
        <v>0</v>
      </c>
      <c r="AT762" t="str">
        <f>IFERROR(VLOOKUP(AS762,tbFactorMes,2,FALSE),"")</f>
        <v/>
      </c>
      <c r="AU762">
        <f t="shared" si="162"/>
        <v>0</v>
      </c>
      <c r="AX762" t="str">
        <f>IFERROR(VLOOKUP(AW762,tbFactorMes,2,FALSE),"")</f>
        <v/>
      </c>
      <c r="AY762">
        <f t="shared" si="163"/>
        <v>0</v>
      </c>
      <c r="BB762" t="str">
        <f>IFERROR(VLOOKUP(BA762,tbFactorMes,2,FALSE),"")</f>
        <v/>
      </c>
      <c r="BC762">
        <f t="shared" si="164"/>
        <v>0</v>
      </c>
      <c r="BF762" t="str">
        <f>IFERROR(VLOOKUP(BE762,tbFactorMes,2,FALSE),"")</f>
        <v/>
      </c>
      <c r="BG762">
        <f t="shared" si="165"/>
        <v>0</v>
      </c>
      <c r="BH762">
        <f t="shared" si="166"/>
        <v>0</v>
      </c>
      <c r="BI762">
        <f t="shared" si="167"/>
        <v>0</v>
      </c>
    </row>
    <row r="763" spans="11:61" x14ac:dyDescent="0.35">
      <c r="K763" t="str">
        <f>IFERROR(VLOOKUP(F763,tbTurnos,3,FALSE),"")</f>
        <v/>
      </c>
      <c r="N763" t="str">
        <f>IFERROR(VLOOKUP(M763,tbFactorMes,2,FALSE),"")</f>
        <v/>
      </c>
      <c r="O763">
        <f t="shared" si="154"/>
        <v>0</v>
      </c>
      <c r="R763" t="str">
        <f>IFERROR(VLOOKUP(Q763,tbFactorMes,2,FALSE),"")</f>
        <v/>
      </c>
      <c r="S763">
        <f t="shared" si="155"/>
        <v>0</v>
      </c>
      <c r="V763" t="str">
        <f>IFERROR(VLOOKUP(U763,tbFactorMes,2,FALSE),"")</f>
        <v/>
      </c>
      <c r="W763">
        <f t="shared" si="156"/>
        <v>0</v>
      </c>
      <c r="Z763" t="str">
        <f>IFERROR(VLOOKUP(Y763,tbFactorMes,2,FALSE),"")</f>
        <v/>
      </c>
      <c r="AA763">
        <f t="shared" si="157"/>
        <v>0</v>
      </c>
      <c r="AD763" t="str">
        <f>IFERROR(VLOOKUP(AC763,tbFactorMes,2,FALSE),"")</f>
        <v/>
      </c>
      <c r="AE763">
        <f t="shared" si="158"/>
        <v>0</v>
      </c>
      <c r="AH763" t="str">
        <f>IFERROR(VLOOKUP(AG763,tbFactorMes,2,FALSE),"")</f>
        <v/>
      </c>
      <c r="AI763">
        <f t="shared" si="159"/>
        <v>0</v>
      </c>
      <c r="AL763" t="str">
        <f>IFERROR(VLOOKUP(AK763,tbFactorMes,2,FALSE),"")</f>
        <v/>
      </c>
      <c r="AM763">
        <f t="shared" si="160"/>
        <v>0</v>
      </c>
      <c r="AP763" t="str">
        <f>IFERROR(VLOOKUP(AO763,tbFactorMes,2,FALSE),"")</f>
        <v/>
      </c>
      <c r="AQ763">
        <f t="shared" si="161"/>
        <v>0</v>
      </c>
      <c r="AT763" t="str">
        <f>IFERROR(VLOOKUP(AS763,tbFactorMes,2,FALSE),"")</f>
        <v/>
      </c>
      <c r="AU763">
        <f t="shared" si="162"/>
        <v>0</v>
      </c>
      <c r="AX763" t="str">
        <f>IFERROR(VLOOKUP(AW763,tbFactorMes,2,FALSE),"")</f>
        <v/>
      </c>
      <c r="AY763">
        <f t="shared" si="163"/>
        <v>0</v>
      </c>
      <c r="BB763" t="str">
        <f>IFERROR(VLOOKUP(BA763,tbFactorMes,2,FALSE),"")</f>
        <v/>
      </c>
      <c r="BC763">
        <f t="shared" si="164"/>
        <v>0</v>
      </c>
      <c r="BF763" t="str">
        <f>IFERROR(VLOOKUP(BE763,tbFactorMes,2,FALSE),"")</f>
        <v/>
      </c>
      <c r="BG763">
        <f t="shared" si="165"/>
        <v>0</v>
      </c>
      <c r="BH763">
        <f t="shared" si="166"/>
        <v>0</v>
      </c>
      <c r="BI763">
        <f t="shared" si="167"/>
        <v>0</v>
      </c>
    </row>
    <row r="764" spans="11:61" x14ac:dyDescent="0.35">
      <c r="K764" t="str">
        <f>IFERROR(VLOOKUP(F764,tbTurnos,3,FALSE),"")</f>
        <v/>
      </c>
      <c r="N764" t="str">
        <f>IFERROR(VLOOKUP(M764,tbFactorMes,2,FALSE),"")</f>
        <v/>
      </c>
      <c r="O764">
        <f t="shared" si="154"/>
        <v>0</v>
      </c>
      <c r="R764" t="str">
        <f>IFERROR(VLOOKUP(Q764,tbFactorMes,2,FALSE),"")</f>
        <v/>
      </c>
      <c r="S764">
        <f t="shared" si="155"/>
        <v>0</v>
      </c>
      <c r="V764" t="str">
        <f>IFERROR(VLOOKUP(U764,tbFactorMes,2,FALSE),"")</f>
        <v/>
      </c>
      <c r="W764">
        <f t="shared" si="156"/>
        <v>0</v>
      </c>
      <c r="Z764" t="str">
        <f>IFERROR(VLOOKUP(Y764,tbFactorMes,2,FALSE),"")</f>
        <v/>
      </c>
      <c r="AA764">
        <f t="shared" si="157"/>
        <v>0</v>
      </c>
      <c r="AD764" t="str">
        <f>IFERROR(VLOOKUP(AC764,tbFactorMes,2,FALSE),"")</f>
        <v/>
      </c>
      <c r="AE764">
        <f t="shared" si="158"/>
        <v>0</v>
      </c>
      <c r="AH764" t="str">
        <f>IFERROR(VLOOKUP(AG764,tbFactorMes,2,FALSE),"")</f>
        <v/>
      </c>
      <c r="AI764">
        <f t="shared" si="159"/>
        <v>0</v>
      </c>
      <c r="AL764" t="str">
        <f>IFERROR(VLOOKUP(AK764,tbFactorMes,2,FALSE),"")</f>
        <v/>
      </c>
      <c r="AM764">
        <f t="shared" si="160"/>
        <v>0</v>
      </c>
      <c r="AP764" t="str">
        <f>IFERROR(VLOOKUP(AO764,tbFactorMes,2,FALSE),"")</f>
        <v/>
      </c>
      <c r="AQ764">
        <f t="shared" si="161"/>
        <v>0</v>
      </c>
      <c r="AT764" t="str">
        <f>IFERROR(VLOOKUP(AS764,tbFactorMes,2,FALSE),"")</f>
        <v/>
      </c>
      <c r="AU764">
        <f t="shared" si="162"/>
        <v>0</v>
      </c>
      <c r="AX764" t="str">
        <f>IFERROR(VLOOKUP(AW764,tbFactorMes,2,FALSE),"")</f>
        <v/>
      </c>
      <c r="AY764">
        <f t="shared" si="163"/>
        <v>0</v>
      </c>
      <c r="BB764" t="str">
        <f>IFERROR(VLOOKUP(BA764,tbFactorMes,2,FALSE),"")</f>
        <v/>
      </c>
      <c r="BC764">
        <f t="shared" si="164"/>
        <v>0</v>
      </c>
      <c r="BF764" t="str">
        <f>IFERROR(VLOOKUP(BE764,tbFactorMes,2,FALSE),"")</f>
        <v/>
      </c>
      <c r="BG764">
        <f t="shared" si="165"/>
        <v>0</v>
      </c>
      <c r="BH764">
        <f t="shared" si="166"/>
        <v>0</v>
      </c>
      <c r="BI764">
        <f t="shared" si="167"/>
        <v>0</v>
      </c>
    </row>
    <row r="765" spans="11:61" x14ac:dyDescent="0.35">
      <c r="K765" t="str">
        <f>IFERROR(VLOOKUP(F765,tbTurnos,3,FALSE),"")</f>
        <v/>
      </c>
      <c r="N765" t="str">
        <f>IFERROR(VLOOKUP(M765,tbFactorMes,2,FALSE),"")</f>
        <v/>
      </c>
      <c r="O765">
        <f t="shared" si="154"/>
        <v>0</v>
      </c>
      <c r="R765" t="str">
        <f>IFERROR(VLOOKUP(Q765,tbFactorMes,2,FALSE),"")</f>
        <v/>
      </c>
      <c r="S765">
        <f t="shared" si="155"/>
        <v>0</v>
      </c>
      <c r="V765" t="str">
        <f>IFERROR(VLOOKUP(U765,tbFactorMes,2,FALSE),"")</f>
        <v/>
      </c>
      <c r="W765">
        <f t="shared" si="156"/>
        <v>0</v>
      </c>
      <c r="Z765" t="str">
        <f>IFERROR(VLOOKUP(Y765,tbFactorMes,2,FALSE),"")</f>
        <v/>
      </c>
      <c r="AA765">
        <f t="shared" si="157"/>
        <v>0</v>
      </c>
      <c r="AD765" t="str">
        <f>IFERROR(VLOOKUP(AC765,tbFactorMes,2,FALSE),"")</f>
        <v/>
      </c>
      <c r="AE765">
        <f t="shared" si="158"/>
        <v>0</v>
      </c>
      <c r="AH765" t="str">
        <f>IFERROR(VLOOKUP(AG765,tbFactorMes,2,FALSE),"")</f>
        <v/>
      </c>
      <c r="AI765">
        <f t="shared" si="159"/>
        <v>0</v>
      </c>
      <c r="AL765" t="str">
        <f>IFERROR(VLOOKUP(AK765,tbFactorMes,2,FALSE),"")</f>
        <v/>
      </c>
      <c r="AM765">
        <f t="shared" si="160"/>
        <v>0</v>
      </c>
      <c r="AP765" t="str">
        <f>IFERROR(VLOOKUP(AO765,tbFactorMes,2,FALSE),"")</f>
        <v/>
      </c>
      <c r="AQ765">
        <f t="shared" si="161"/>
        <v>0</v>
      </c>
      <c r="AT765" t="str">
        <f>IFERROR(VLOOKUP(AS765,tbFactorMes,2,FALSE),"")</f>
        <v/>
      </c>
      <c r="AU765">
        <f t="shared" si="162"/>
        <v>0</v>
      </c>
      <c r="AX765" t="str">
        <f>IFERROR(VLOOKUP(AW765,tbFactorMes,2,FALSE),"")</f>
        <v/>
      </c>
      <c r="AY765">
        <f t="shared" si="163"/>
        <v>0</v>
      </c>
      <c r="BB765" t="str">
        <f>IFERROR(VLOOKUP(BA765,tbFactorMes,2,FALSE),"")</f>
        <v/>
      </c>
      <c r="BC765">
        <f t="shared" si="164"/>
        <v>0</v>
      </c>
      <c r="BF765" t="str">
        <f>IFERROR(VLOOKUP(BE765,tbFactorMes,2,FALSE),"")</f>
        <v/>
      </c>
      <c r="BG765">
        <f t="shared" si="165"/>
        <v>0</v>
      </c>
      <c r="BH765">
        <f t="shared" si="166"/>
        <v>0</v>
      </c>
      <c r="BI765">
        <f t="shared" si="167"/>
        <v>0</v>
      </c>
    </row>
    <row r="766" spans="11:61" x14ac:dyDescent="0.35">
      <c r="K766" t="str">
        <f>IFERROR(VLOOKUP(F766,tbTurnos,3,FALSE),"")</f>
        <v/>
      </c>
      <c r="N766" t="str">
        <f>IFERROR(VLOOKUP(M766,tbFactorMes,2,FALSE),"")</f>
        <v/>
      </c>
      <c r="O766">
        <f t="shared" si="154"/>
        <v>0</v>
      </c>
      <c r="R766" t="str">
        <f>IFERROR(VLOOKUP(Q766,tbFactorMes,2,FALSE),"")</f>
        <v/>
      </c>
      <c r="S766">
        <f t="shared" si="155"/>
        <v>0</v>
      </c>
      <c r="V766" t="str">
        <f>IFERROR(VLOOKUP(U766,tbFactorMes,2,FALSE),"")</f>
        <v/>
      </c>
      <c r="W766">
        <f t="shared" si="156"/>
        <v>0</v>
      </c>
      <c r="Z766" t="str">
        <f>IFERROR(VLOOKUP(Y766,tbFactorMes,2,FALSE),"")</f>
        <v/>
      </c>
      <c r="AA766">
        <f t="shared" si="157"/>
        <v>0</v>
      </c>
      <c r="AD766" t="str">
        <f>IFERROR(VLOOKUP(AC766,tbFactorMes,2,FALSE),"")</f>
        <v/>
      </c>
      <c r="AE766">
        <f t="shared" si="158"/>
        <v>0</v>
      </c>
      <c r="AH766" t="str">
        <f>IFERROR(VLOOKUP(AG766,tbFactorMes,2,FALSE),"")</f>
        <v/>
      </c>
      <c r="AI766">
        <f t="shared" si="159"/>
        <v>0</v>
      </c>
      <c r="AL766" t="str">
        <f>IFERROR(VLOOKUP(AK766,tbFactorMes,2,FALSE),"")</f>
        <v/>
      </c>
      <c r="AM766">
        <f t="shared" si="160"/>
        <v>0</v>
      </c>
      <c r="AP766" t="str">
        <f>IFERROR(VLOOKUP(AO766,tbFactorMes,2,FALSE),"")</f>
        <v/>
      </c>
      <c r="AQ766">
        <f t="shared" si="161"/>
        <v>0</v>
      </c>
      <c r="AT766" t="str">
        <f>IFERROR(VLOOKUP(AS766,tbFactorMes,2,FALSE),"")</f>
        <v/>
      </c>
      <c r="AU766">
        <f t="shared" si="162"/>
        <v>0</v>
      </c>
      <c r="AX766" t="str">
        <f>IFERROR(VLOOKUP(AW766,tbFactorMes,2,FALSE),"")</f>
        <v/>
      </c>
      <c r="AY766">
        <f t="shared" si="163"/>
        <v>0</v>
      </c>
      <c r="BB766" t="str">
        <f>IFERROR(VLOOKUP(BA766,tbFactorMes,2,FALSE),"")</f>
        <v/>
      </c>
      <c r="BC766">
        <f t="shared" si="164"/>
        <v>0</v>
      </c>
      <c r="BF766" t="str">
        <f>IFERROR(VLOOKUP(BE766,tbFactorMes,2,FALSE),"")</f>
        <v/>
      </c>
      <c r="BG766">
        <f t="shared" si="165"/>
        <v>0</v>
      </c>
      <c r="BH766">
        <f t="shared" si="166"/>
        <v>0</v>
      </c>
      <c r="BI766">
        <f t="shared" si="167"/>
        <v>0</v>
      </c>
    </row>
    <row r="767" spans="11:61" x14ac:dyDescent="0.35">
      <c r="K767" t="str">
        <f>IFERROR(VLOOKUP(F767,tbTurnos,3,FALSE),"")</f>
        <v/>
      </c>
      <c r="N767" t="str">
        <f>IFERROR(VLOOKUP(M767,tbFactorMes,2,FALSE),"")</f>
        <v/>
      </c>
      <c r="O767">
        <f t="shared" si="154"/>
        <v>0</v>
      </c>
      <c r="R767" t="str">
        <f>IFERROR(VLOOKUP(Q767,tbFactorMes,2,FALSE),"")</f>
        <v/>
      </c>
      <c r="S767">
        <f t="shared" si="155"/>
        <v>0</v>
      </c>
      <c r="V767" t="str">
        <f>IFERROR(VLOOKUP(U767,tbFactorMes,2,FALSE),"")</f>
        <v/>
      </c>
      <c r="W767">
        <f t="shared" si="156"/>
        <v>0</v>
      </c>
      <c r="Z767" t="str">
        <f>IFERROR(VLOOKUP(Y767,tbFactorMes,2,FALSE),"")</f>
        <v/>
      </c>
      <c r="AA767">
        <f t="shared" si="157"/>
        <v>0</v>
      </c>
      <c r="AD767" t="str">
        <f>IFERROR(VLOOKUP(AC767,tbFactorMes,2,FALSE),"")</f>
        <v/>
      </c>
      <c r="AE767">
        <f t="shared" si="158"/>
        <v>0</v>
      </c>
      <c r="AH767" t="str">
        <f>IFERROR(VLOOKUP(AG767,tbFactorMes,2,FALSE),"")</f>
        <v/>
      </c>
      <c r="AI767">
        <f t="shared" si="159"/>
        <v>0</v>
      </c>
      <c r="AL767" t="str">
        <f>IFERROR(VLOOKUP(AK767,tbFactorMes,2,FALSE),"")</f>
        <v/>
      </c>
      <c r="AM767">
        <f t="shared" si="160"/>
        <v>0</v>
      </c>
      <c r="AP767" t="str">
        <f>IFERROR(VLOOKUP(AO767,tbFactorMes,2,FALSE),"")</f>
        <v/>
      </c>
      <c r="AQ767">
        <f t="shared" si="161"/>
        <v>0</v>
      </c>
      <c r="AT767" t="str">
        <f>IFERROR(VLOOKUP(AS767,tbFactorMes,2,FALSE),"")</f>
        <v/>
      </c>
      <c r="AU767">
        <f t="shared" si="162"/>
        <v>0</v>
      </c>
      <c r="AX767" t="str">
        <f>IFERROR(VLOOKUP(AW767,tbFactorMes,2,FALSE),"")</f>
        <v/>
      </c>
      <c r="AY767">
        <f t="shared" si="163"/>
        <v>0</v>
      </c>
      <c r="BB767" t="str">
        <f>IFERROR(VLOOKUP(BA767,tbFactorMes,2,FALSE),"")</f>
        <v/>
      </c>
      <c r="BC767">
        <f t="shared" si="164"/>
        <v>0</v>
      </c>
      <c r="BF767" t="str">
        <f>IFERROR(VLOOKUP(BE767,tbFactorMes,2,FALSE),"")</f>
        <v/>
      </c>
      <c r="BG767">
        <f t="shared" si="165"/>
        <v>0</v>
      </c>
      <c r="BH767">
        <f t="shared" si="166"/>
        <v>0</v>
      </c>
      <c r="BI767">
        <f t="shared" si="167"/>
        <v>0</v>
      </c>
    </row>
    <row r="768" spans="11:61" x14ac:dyDescent="0.35">
      <c r="K768" t="str">
        <f>IFERROR(VLOOKUP(F768,tbTurnos,3,FALSE),"")</f>
        <v/>
      </c>
      <c r="N768" t="str">
        <f>IFERROR(VLOOKUP(M768,tbFactorMes,2,FALSE),"")</f>
        <v/>
      </c>
      <c r="O768">
        <f t="shared" si="154"/>
        <v>0</v>
      </c>
      <c r="R768" t="str">
        <f>IFERROR(VLOOKUP(Q768,tbFactorMes,2,FALSE),"")</f>
        <v/>
      </c>
      <c r="S768">
        <f t="shared" si="155"/>
        <v>0</v>
      </c>
      <c r="V768" t="str">
        <f>IFERROR(VLOOKUP(U768,tbFactorMes,2,FALSE),"")</f>
        <v/>
      </c>
      <c r="W768">
        <f t="shared" si="156"/>
        <v>0</v>
      </c>
      <c r="Z768" t="str">
        <f>IFERROR(VLOOKUP(Y768,tbFactorMes,2,FALSE),"")</f>
        <v/>
      </c>
      <c r="AA768">
        <f t="shared" si="157"/>
        <v>0</v>
      </c>
      <c r="AD768" t="str">
        <f>IFERROR(VLOOKUP(AC768,tbFactorMes,2,FALSE),"")</f>
        <v/>
      </c>
      <c r="AE768">
        <f t="shared" si="158"/>
        <v>0</v>
      </c>
      <c r="AH768" t="str">
        <f>IFERROR(VLOOKUP(AG768,tbFactorMes,2,FALSE),"")</f>
        <v/>
      </c>
      <c r="AI768">
        <f t="shared" si="159"/>
        <v>0</v>
      </c>
      <c r="AL768" t="str">
        <f>IFERROR(VLOOKUP(AK768,tbFactorMes,2,FALSE),"")</f>
        <v/>
      </c>
      <c r="AM768">
        <f t="shared" si="160"/>
        <v>0</v>
      </c>
      <c r="AP768" t="str">
        <f>IFERROR(VLOOKUP(AO768,tbFactorMes,2,FALSE),"")</f>
        <v/>
      </c>
      <c r="AQ768">
        <f t="shared" si="161"/>
        <v>0</v>
      </c>
      <c r="AT768" t="str">
        <f>IFERROR(VLOOKUP(AS768,tbFactorMes,2,FALSE),"")</f>
        <v/>
      </c>
      <c r="AU768">
        <f t="shared" si="162"/>
        <v>0</v>
      </c>
      <c r="AX768" t="str">
        <f>IFERROR(VLOOKUP(AW768,tbFactorMes,2,FALSE),"")</f>
        <v/>
      </c>
      <c r="AY768">
        <f t="shared" si="163"/>
        <v>0</v>
      </c>
      <c r="BB768" t="str">
        <f>IFERROR(VLOOKUP(BA768,tbFactorMes,2,FALSE),"")</f>
        <v/>
      </c>
      <c r="BC768">
        <f t="shared" si="164"/>
        <v>0</v>
      </c>
      <c r="BF768" t="str">
        <f>IFERROR(VLOOKUP(BE768,tbFactorMes,2,FALSE),"")</f>
        <v/>
      </c>
      <c r="BG768">
        <f t="shared" si="165"/>
        <v>0</v>
      </c>
      <c r="BH768">
        <f t="shared" si="166"/>
        <v>0</v>
      </c>
      <c r="BI768">
        <f t="shared" si="167"/>
        <v>0</v>
      </c>
    </row>
    <row r="769" spans="11:61" x14ac:dyDescent="0.35">
      <c r="K769" t="str">
        <f>IFERROR(VLOOKUP(F769,tbTurnos,3,FALSE),"")</f>
        <v/>
      </c>
      <c r="N769" t="str">
        <f>IFERROR(VLOOKUP(M769,tbFactorMes,2,FALSE),"")</f>
        <v/>
      </c>
      <c r="O769">
        <f t="shared" si="154"/>
        <v>0</v>
      </c>
      <c r="R769" t="str">
        <f>IFERROR(VLOOKUP(Q769,tbFactorMes,2,FALSE),"")</f>
        <v/>
      </c>
      <c r="S769">
        <f t="shared" si="155"/>
        <v>0</v>
      </c>
      <c r="V769" t="str">
        <f>IFERROR(VLOOKUP(U769,tbFactorMes,2,FALSE),"")</f>
        <v/>
      </c>
      <c r="W769">
        <f t="shared" si="156"/>
        <v>0</v>
      </c>
      <c r="Z769" t="str">
        <f>IFERROR(VLOOKUP(Y769,tbFactorMes,2,FALSE),"")</f>
        <v/>
      </c>
      <c r="AA769">
        <f t="shared" si="157"/>
        <v>0</v>
      </c>
      <c r="AD769" t="str">
        <f>IFERROR(VLOOKUP(AC769,tbFactorMes,2,FALSE),"")</f>
        <v/>
      </c>
      <c r="AE769">
        <f t="shared" si="158"/>
        <v>0</v>
      </c>
      <c r="AH769" t="str">
        <f>IFERROR(VLOOKUP(AG769,tbFactorMes,2,FALSE),"")</f>
        <v/>
      </c>
      <c r="AI769">
        <f t="shared" si="159"/>
        <v>0</v>
      </c>
      <c r="AL769" t="str">
        <f>IFERROR(VLOOKUP(AK769,tbFactorMes,2,FALSE),"")</f>
        <v/>
      </c>
      <c r="AM769">
        <f t="shared" si="160"/>
        <v>0</v>
      </c>
      <c r="AP769" t="str">
        <f>IFERROR(VLOOKUP(AO769,tbFactorMes,2,FALSE),"")</f>
        <v/>
      </c>
      <c r="AQ769">
        <f t="shared" si="161"/>
        <v>0</v>
      </c>
      <c r="AT769" t="str">
        <f>IFERROR(VLOOKUP(AS769,tbFactorMes,2,FALSE),"")</f>
        <v/>
      </c>
      <c r="AU769">
        <f t="shared" si="162"/>
        <v>0</v>
      </c>
      <c r="AX769" t="str">
        <f>IFERROR(VLOOKUP(AW769,tbFactorMes,2,FALSE),"")</f>
        <v/>
      </c>
      <c r="AY769">
        <f t="shared" si="163"/>
        <v>0</v>
      </c>
      <c r="BB769" t="str">
        <f>IFERROR(VLOOKUP(BA769,tbFactorMes,2,FALSE),"")</f>
        <v/>
      </c>
      <c r="BC769">
        <f t="shared" si="164"/>
        <v>0</v>
      </c>
      <c r="BF769" t="str">
        <f>IFERROR(VLOOKUP(BE769,tbFactorMes,2,FALSE),"")</f>
        <v/>
      </c>
      <c r="BG769">
        <f t="shared" si="165"/>
        <v>0</v>
      </c>
      <c r="BH769">
        <f t="shared" si="166"/>
        <v>0</v>
      </c>
      <c r="BI769">
        <f t="shared" si="167"/>
        <v>0</v>
      </c>
    </row>
    <row r="770" spans="11:61" x14ac:dyDescent="0.35">
      <c r="K770" t="str">
        <f>IFERROR(VLOOKUP(F770,tbTurnos,3,FALSE),"")</f>
        <v/>
      </c>
      <c r="N770" t="str">
        <f>IFERROR(VLOOKUP(M770,tbFactorMes,2,FALSE),"")</f>
        <v/>
      </c>
      <c r="O770">
        <f t="shared" ref="O770:O833" si="168">IFERROR((L770*$K770)/N770,0)*$J770</f>
        <v>0</v>
      </c>
      <c r="R770" t="str">
        <f>IFERROR(VLOOKUP(Q770,tbFactorMes,2,FALSE),"")</f>
        <v/>
      </c>
      <c r="S770">
        <f t="shared" ref="S770:S833" si="169">IFERROR((P770*$K770)/R770,0)*$J770</f>
        <v>0</v>
      </c>
      <c r="V770" t="str">
        <f>IFERROR(VLOOKUP(U770,tbFactorMes,2,FALSE),"")</f>
        <v/>
      </c>
      <c r="W770">
        <f t="shared" ref="W770:W833" si="170">IFERROR((T770*$K770)/V770,0)*$J770</f>
        <v>0</v>
      </c>
      <c r="Z770" t="str">
        <f>IFERROR(VLOOKUP(Y770,tbFactorMes,2,FALSE),"")</f>
        <v/>
      </c>
      <c r="AA770">
        <f t="shared" ref="AA770:AA833" si="171">IFERROR((X770*$K770)/Z770,0)*$J770</f>
        <v>0</v>
      </c>
      <c r="AD770" t="str">
        <f>IFERROR(VLOOKUP(AC770,tbFactorMes,2,FALSE),"")</f>
        <v/>
      </c>
      <c r="AE770">
        <f t="shared" ref="AE770:AE833" si="172">IFERROR((AB770*$K770)/AD770,0)*$J770</f>
        <v>0</v>
      </c>
      <c r="AH770" t="str">
        <f>IFERROR(VLOOKUP(AG770,tbFactorMes,2,FALSE),"")</f>
        <v/>
      </c>
      <c r="AI770">
        <f t="shared" ref="AI770:AI833" si="173">IFERROR((AF770*$K770)/AH770,0)*$J770</f>
        <v>0</v>
      </c>
      <c r="AL770" t="str">
        <f>IFERROR(VLOOKUP(AK770,tbFactorMes,2,FALSE),"")</f>
        <v/>
      </c>
      <c r="AM770">
        <f t="shared" ref="AM770:AM833" si="174">IFERROR((AJ770*$K770)/AL770,0)*$J770</f>
        <v>0</v>
      </c>
      <c r="AP770" t="str">
        <f>IFERROR(VLOOKUP(AO770,tbFactorMes,2,FALSE),"")</f>
        <v/>
      </c>
      <c r="AQ770">
        <f t="shared" ref="AQ770:AQ833" si="175">IFERROR((AN770*$K770)/AP770,0)*$J770</f>
        <v>0</v>
      </c>
      <c r="AT770" t="str">
        <f>IFERROR(VLOOKUP(AS770,tbFactorMes,2,FALSE),"")</f>
        <v/>
      </c>
      <c r="AU770">
        <f t="shared" ref="AU770:AU833" si="176">IFERROR((AR770*$K770)/AT770,0)*$J770</f>
        <v>0</v>
      </c>
      <c r="AX770" t="str">
        <f>IFERROR(VLOOKUP(AW770,tbFactorMes,2,FALSE),"")</f>
        <v/>
      </c>
      <c r="AY770">
        <f t="shared" ref="AY770:AY833" si="177">IFERROR((AV770*$K770)/AX770,0)*$J770</f>
        <v>0</v>
      </c>
      <c r="BB770" t="str">
        <f>IFERROR(VLOOKUP(BA770,tbFactorMes,2,FALSE),"")</f>
        <v/>
      </c>
      <c r="BC770">
        <f t="shared" ref="BC770:BC833" si="178">IFERROR((AZ770*$K770)/BB770,0)*$J770</f>
        <v>0</v>
      </c>
      <c r="BF770" t="str">
        <f>IFERROR(VLOOKUP(BE770,tbFactorMes,2,FALSE),"")</f>
        <v/>
      </c>
      <c r="BG770">
        <f t="shared" ref="BG770:BG833" si="179">IFERROR((BD770*$K770)/BF770,0)*$J770</f>
        <v>0</v>
      </c>
      <c r="BH770">
        <f t="shared" ref="BH770:BH833" si="180">IFERROR(SUM(O770,S770,W770,AA770,AE770,AI770,AM770,AQ770,AU770,AY770,BC770,BG770),0)</f>
        <v>0</v>
      </c>
      <c r="BI770">
        <f t="shared" ref="BI770:BI833" si="181">IFERROR(BH770*(1-$I770),0)</f>
        <v>0</v>
      </c>
    </row>
    <row r="771" spans="11:61" x14ac:dyDescent="0.35">
      <c r="K771" t="str">
        <f>IFERROR(VLOOKUP(F771,tbTurnos,3,FALSE),"")</f>
        <v/>
      </c>
      <c r="N771" t="str">
        <f>IFERROR(VLOOKUP(M771,tbFactorMes,2,FALSE),"")</f>
        <v/>
      </c>
      <c r="O771">
        <f t="shared" si="168"/>
        <v>0</v>
      </c>
      <c r="R771" t="str">
        <f>IFERROR(VLOOKUP(Q771,tbFactorMes,2,FALSE),"")</f>
        <v/>
      </c>
      <c r="S771">
        <f t="shared" si="169"/>
        <v>0</v>
      </c>
      <c r="V771" t="str">
        <f>IFERROR(VLOOKUP(U771,tbFactorMes,2,FALSE),"")</f>
        <v/>
      </c>
      <c r="W771">
        <f t="shared" si="170"/>
        <v>0</v>
      </c>
      <c r="Z771" t="str">
        <f>IFERROR(VLOOKUP(Y771,tbFactorMes,2,FALSE),"")</f>
        <v/>
      </c>
      <c r="AA771">
        <f t="shared" si="171"/>
        <v>0</v>
      </c>
      <c r="AD771" t="str">
        <f>IFERROR(VLOOKUP(AC771,tbFactorMes,2,FALSE),"")</f>
        <v/>
      </c>
      <c r="AE771">
        <f t="shared" si="172"/>
        <v>0</v>
      </c>
      <c r="AH771" t="str">
        <f>IFERROR(VLOOKUP(AG771,tbFactorMes,2,FALSE),"")</f>
        <v/>
      </c>
      <c r="AI771">
        <f t="shared" si="173"/>
        <v>0</v>
      </c>
      <c r="AL771" t="str">
        <f>IFERROR(VLOOKUP(AK771,tbFactorMes,2,FALSE),"")</f>
        <v/>
      </c>
      <c r="AM771">
        <f t="shared" si="174"/>
        <v>0</v>
      </c>
      <c r="AP771" t="str">
        <f>IFERROR(VLOOKUP(AO771,tbFactorMes,2,FALSE),"")</f>
        <v/>
      </c>
      <c r="AQ771">
        <f t="shared" si="175"/>
        <v>0</v>
      </c>
      <c r="AT771" t="str">
        <f>IFERROR(VLOOKUP(AS771,tbFactorMes,2,FALSE),"")</f>
        <v/>
      </c>
      <c r="AU771">
        <f t="shared" si="176"/>
        <v>0</v>
      </c>
      <c r="AX771" t="str">
        <f>IFERROR(VLOOKUP(AW771,tbFactorMes,2,FALSE),"")</f>
        <v/>
      </c>
      <c r="AY771">
        <f t="shared" si="177"/>
        <v>0</v>
      </c>
      <c r="BB771" t="str">
        <f>IFERROR(VLOOKUP(BA771,tbFactorMes,2,FALSE),"")</f>
        <v/>
      </c>
      <c r="BC771">
        <f t="shared" si="178"/>
        <v>0</v>
      </c>
      <c r="BF771" t="str">
        <f>IFERROR(VLOOKUP(BE771,tbFactorMes,2,FALSE),"")</f>
        <v/>
      </c>
      <c r="BG771">
        <f t="shared" si="179"/>
        <v>0</v>
      </c>
      <c r="BH771">
        <f t="shared" si="180"/>
        <v>0</v>
      </c>
      <c r="BI771">
        <f t="shared" si="181"/>
        <v>0</v>
      </c>
    </row>
    <row r="772" spans="11:61" x14ac:dyDescent="0.35">
      <c r="K772" t="str">
        <f>IFERROR(VLOOKUP(F772,tbTurnos,3,FALSE),"")</f>
        <v/>
      </c>
      <c r="N772" t="str">
        <f>IFERROR(VLOOKUP(M772,tbFactorMes,2,FALSE),"")</f>
        <v/>
      </c>
      <c r="O772">
        <f t="shared" si="168"/>
        <v>0</v>
      </c>
      <c r="R772" t="str">
        <f>IFERROR(VLOOKUP(Q772,tbFactorMes,2,FALSE),"")</f>
        <v/>
      </c>
      <c r="S772">
        <f t="shared" si="169"/>
        <v>0</v>
      </c>
      <c r="V772" t="str">
        <f>IFERROR(VLOOKUP(U772,tbFactorMes,2,FALSE),"")</f>
        <v/>
      </c>
      <c r="W772">
        <f t="shared" si="170"/>
        <v>0</v>
      </c>
      <c r="Z772" t="str">
        <f>IFERROR(VLOOKUP(Y772,tbFactorMes,2,FALSE),"")</f>
        <v/>
      </c>
      <c r="AA772">
        <f t="shared" si="171"/>
        <v>0</v>
      </c>
      <c r="AD772" t="str">
        <f>IFERROR(VLOOKUP(AC772,tbFactorMes,2,FALSE),"")</f>
        <v/>
      </c>
      <c r="AE772">
        <f t="shared" si="172"/>
        <v>0</v>
      </c>
      <c r="AH772" t="str">
        <f>IFERROR(VLOOKUP(AG772,tbFactorMes,2,FALSE),"")</f>
        <v/>
      </c>
      <c r="AI772">
        <f t="shared" si="173"/>
        <v>0</v>
      </c>
      <c r="AL772" t="str">
        <f>IFERROR(VLOOKUP(AK772,tbFactorMes,2,FALSE),"")</f>
        <v/>
      </c>
      <c r="AM772">
        <f t="shared" si="174"/>
        <v>0</v>
      </c>
      <c r="AP772" t="str">
        <f>IFERROR(VLOOKUP(AO772,tbFactorMes,2,FALSE),"")</f>
        <v/>
      </c>
      <c r="AQ772">
        <f t="shared" si="175"/>
        <v>0</v>
      </c>
      <c r="AT772" t="str">
        <f>IFERROR(VLOOKUP(AS772,tbFactorMes,2,FALSE),"")</f>
        <v/>
      </c>
      <c r="AU772">
        <f t="shared" si="176"/>
        <v>0</v>
      </c>
      <c r="AX772" t="str">
        <f>IFERROR(VLOOKUP(AW772,tbFactorMes,2,FALSE),"")</f>
        <v/>
      </c>
      <c r="AY772">
        <f t="shared" si="177"/>
        <v>0</v>
      </c>
      <c r="BB772" t="str">
        <f>IFERROR(VLOOKUP(BA772,tbFactorMes,2,FALSE),"")</f>
        <v/>
      </c>
      <c r="BC772">
        <f t="shared" si="178"/>
        <v>0</v>
      </c>
      <c r="BF772" t="str">
        <f>IFERROR(VLOOKUP(BE772,tbFactorMes,2,FALSE),"")</f>
        <v/>
      </c>
      <c r="BG772">
        <f t="shared" si="179"/>
        <v>0</v>
      </c>
      <c r="BH772">
        <f t="shared" si="180"/>
        <v>0</v>
      </c>
      <c r="BI772">
        <f t="shared" si="181"/>
        <v>0</v>
      </c>
    </row>
    <row r="773" spans="11:61" x14ac:dyDescent="0.35">
      <c r="K773" t="str">
        <f>IFERROR(VLOOKUP(F773,tbTurnos,3,FALSE),"")</f>
        <v/>
      </c>
      <c r="N773" t="str">
        <f>IFERROR(VLOOKUP(M773,tbFactorMes,2,FALSE),"")</f>
        <v/>
      </c>
      <c r="O773">
        <f t="shared" si="168"/>
        <v>0</v>
      </c>
      <c r="R773" t="str">
        <f>IFERROR(VLOOKUP(Q773,tbFactorMes,2,FALSE),"")</f>
        <v/>
      </c>
      <c r="S773">
        <f t="shared" si="169"/>
        <v>0</v>
      </c>
      <c r="V773" t="str">
        <f>IFERROR(VLOOKUP(U773,tbFactorMes,2,FALSE),"")</f>
        <v/>
      </c>
      <c r="W773">
        <f t="shared" si="170"/>
        <v>0</v>
      </c>
      <c r="Z773" t="str">
        <f>IFERROR(VLOOKUP(Y773,tbFactorMes,2,FALSE),"")</f>
        <v/>
      </c>
      <c r="AA773">
        <f t="shared" si="171"/>
        <v>0</v>
      </c>
      <c r="AD773" t="str">
        <f>IFERROR(VLOOKUP(AC773,tbFactorMes,2,FALSE),"")</f>
        <v/>
      </c>
      <c r="AE773">
        <f t="shared" si="172"/>
        <v>0</v>
      </c>
      <c r="AH773" t="str">
        <f>IFERROR(VLOOKUP(AG773,tbFactorMes,2,FALSE),"")</f>
        <v/>
      </c>
      <c r="AI773">
        <f t="shared" si="173"/>
        <v>0</v>
      </c>
      <c r="AL773" t="str">
        <f>IFERROR(VLOOKUP(AK773,tbFactorMes,2,FALSE),"")</f>
        <v/>
      </c>
      <c r="AM773">
        <f t="shared" si="174"/>
        <v>0</v>
      </c>
      <c r="AP773" t="str">
        <f>IFERROR(VLOOKUP(AO773,tbFactorMes,2,FALSE),"")</f>
        <v/>
      </c>
      <c r="AQ773">
        <f t="shared" si="175"/>
        <v>0</v>
      </c>
      <c r="AT773" t="str">
        <f>IFERROR(VLOOKUP(AS773,tbFactorMes,2,FALSE),"")</f>
        <v/>
      </c>
      <c r="AU773">
        <f t="shared" si="176"/>
        <v>0</v>
      </c>
      <c r="AX773" t="str">
        <f>IFERROR(VLOOKUP(AW773,tbFactorMes,2,FALSE),"")</f>
        <v/>
      </c>
      <c r="AY773">
        <f t="shared" si="177"/>
        <v>0</v>
      </c>
      <c r="BB773" t="str">
        <f>IFERROR(VLOOKUP(BA773,tbFactorMes,2,FALSE),"")</f>
        <v/>
      </c>
      <c r="BC773">
        <f t="shared" si="178"/>
        <v>0</v>
      </c>
      <c r="BF773" t="str">
        <f>IFERROR(VLOOKUP(BE773,tbFactorMes,2,FALSE),"")</f>
        <v/>
      </c>
      <c r="BG773">
        <f t="shared" si="179"/>
        <v>0</v>
      </c>
      <c r="BH773">
        <f t="shared" si="180"/>
        <v>0</v>
      </c>
      <c r="BI773">
        <f t="shared" si="181"/>
        <v>0</v>
      </c>
    </row>
    <row r="774" spans="11:61" x14ac:dyDescent="0.35">
      <c r="K774" t="str">
        <f>IFERROR(VLOOKUP(F774,tbTurnos,3,FALSE),"")</f>
        <v/>
      </c>
      <c r="N774" t="str">
        <f>IFERROR(VLOOKUP(M774,tbFactorMes,2,FALSE),"")</f>
        <v/>
      </c>
      <c r="O774">
        <f t="shared" si="168"/>
        <v>0</v>
      </c>
      <c r="R774" t="str">
        <f>IFERROR(VLOOKUP(Q774,tbFactorMes,2,FALSE),"")</f>
        <v/>
      </c>
      <c r="S774">
        <f t="shared" si="169"/>
        <v>0</v>
      </c>
      <c r="V774" t="str">
        <f>IFERROR(VLOOKUP(U774,tbFactorMes,2,FALSE),"")</f>
        <v/>
      </c>
      <c r="W774">
        <f t="shared" si="170"/>
        <v>0</v>
      </c>
      <c r="Z774" t="str">
        <f>IFERROR(VLOOKUP(Y774,tbFactorMes,2,FALSE),"")</f>
        <v/>
      </c>
      <c r="AA774">
        <f t="shared" si="171"/>
        <v>0</v>
      </c>
      <c r="AD774" t="str">
        <f>IFERROR(VLOOKUP(AC774,tbFactorMes,2,FALSE),"")</f>
        <v/>
      </c>
      <c r="AE774">
        <f t="shared" si="172"/>
        <v>0</v>
      </c>
      <c r="AH774" t="str">
        <f>IFERROR(VLOOKUP(AG774,tbFactorMes,2,FALSE),"")</f>
        <v/>
      </c>
      <c r="AI774">
        <f t="shared" si="173"/>
        <v>0</v>
      </c>
      <c r="AL774" t="str">
        <f>IFERROR(VLOOKUP(AK774,tbFactorMes,2,FALSE),"")</f>
        <v/>
      </c>
      <c r="AM774">
        <f t="shared" si="174"/>
        <v>0</v>
      </c>
      <c r="AP774" t="str">
        <f>IFERROR(VLOOKUP(AO774,tbFactorMes,2,FALSE),"")</f>
        <v/>
      </c>
      <c r="AQ774">
        <f t="shared" si="175"/>
        <v>0</v>
      </c>
      <c r="AT774" t="str">
        <f>IFERROR(VLOOKUP(AS774,tbFactorMes,2,FALSE),"")</f>
        <v/>
      </c>
      <c r="AU774">
        <f t="shared" si="176"/>
        <v>0</v>
      </c>
      <c r="AX774" t="str">
        <f>IFERROR(VLOOKUP(AW774,tbFactorMes,2,FALSE),"")</f>
        <v/>
      </c>
      <c r="AY774">
        <f t="shared" si="177"/>
        <v>0</v>
      </c>
      <c r="BB774" t="str">
        <f>IFERROR(VLOOKUP(BA774,tbFactorMes,2,FALSE),"")</f>
        <v/>
      </c>
      <c r="BC774">
        <f t="shared" si="178"/>
        <v>0</v>
      </c>
      <c r="BF774" t="str">
        <f>IFERROR(VLOOKUP(BE774,tbFactorMes,2,FALSE),"")</f>
        <v/>
      </c>
      <c r="BG774">
        <f t="shared" si="179"/>
        <v>0</v>
      </c>
      <c r="BH774">
        <f t="shared" si="180"/>
        <v>0</v>
      </c>
      <c r="BI774">
        <f t="shared" si="181"/>
        <v>0</v>
      </c>
    </row>
    <row r="775" spans="11:61" x14ac:dyDescent="0.35">
      <c r="K775" t="str">
        <f>IFERROR(VLOOKUP(F775,tbTurnos,3,FALSE),"")</f>
        <v/>
      </c>
      <c r="N775" t="str">
        <f>IFERROR(VLOOKUP(M775,tbFactorMes,2,FALSE),"")</f>
        <v/>
      </c>
      <c r="O775">
        <f t="shared" si="168"/>
        <v>0</v>
      </c>
      <c r="R775" t="str">
        <f>IFERROR(VLOOKUP(Q775,tbFactorMes,2,FALSE),"")</f>
        <v/>
      </c>
      <c r="S775">
        <f t="shared" si="169"/>
        <v>0</v>
      </c>
      <c r="V775" t="str">
        <f>IFERROR(VLOOKUP(U775,tbFactorMes,2,FALSE),"")</f>
        <v/>
      </c>
      <c r="W775">
        <f t="shared" si="170"/>
        <v>0</v>
      </c>
      <c r="Z775" t="str">
        <f>IFERROR(VLOOKUP(Y775,tbFactorMes,2,FALSE),"")</f>
        <v/>
      </c>
      <c r="AA775">
        <f t="shared" si="171"/>
        <v>0</v>
      </c>
      <c r="AD775" t="str">
        <f>IFERROR(VLOOKUP(AC775,tbFactorMes,2,FALSE),"")</f>
        <v/>
      </c>
      <c r="AE775">
        <f t="shared" si="172"/>
        <v>0</v>
      </c>
      <c r="AH775" t="str">
        <f>IFERROR(VLOOKUP(AG775,tbFactorMes,2,FALSE),"")</f>
        <v/>
      </c>
      <c r="AI775">
        <f t="shared" si="173"/>
        <v>0</v>
      </c>
      <c r="AL775" t="str">
        <f>IFERROR(VLOOKUP(AK775,tbFactorMes,2,FALSE),"")</f>
        <v/>
      </c>
      <c r="AM775">
        <f t="shared" si="174"/>
        <v>0</v>
      </c>
      <c r="AP775" t="str">
        <f>IFERROR(VLOOKUP(AO775,tbFactorMes,2,FALSE),"")</f>
        <v/>
      </c>
      <c r="AQ775">
        <f t="shared" si="175"/>
        <v>0</v>
      </c>
      <c r="AT775" t="str">
        <f>IFERROR(VLOOKUP(AS775,tbFactorMes,2,FALSE),"")</f>
        <v/>
      </c>
      <c r="AU775">
        <f t="shared" si="176"/>
        <v>0</v>
      </c>
      <c r="AX775" t="str">
        <f>IFERROR(VLOOKUP(AW775,tbFactorMes,2,FALSE),"")</f>
        <v/>
      </c>
      <c r="AY775">
        <f t="shared" si="177"/>
        <v>0</v>
      </c>
      <c r="BB775" t="str">
        <f>IFERROR(VLOOKUP(BA775,tbFactorMes,2,FALSE),"")</f>
        <v/>
      </c>
      <c r="BC775">
        <f t="shared" si="178"/>
        <v>0</v>
      </c>
      <c r="BF775" t="str">
        <f>IFERROR(VLOOKUP(BE775,tbFactorMes,2,FALSE),"")</f>
        <v/>
      </c>
      <c r="BG775">
        <f t="shared" si="179"/>
        <v>0</v>
      </c>
      <c r="BH775">
        <f t="shared" si="180"/>
        <v>0</v>
      </c>
      <c r="BI775">
        <f t="shared" si="181"/>
        <v>0</v>
      </c>
    </row>
    <row r="776" spans="11:61" x14ac:dyDescent="0.35">
      <c r="K776" t="str">
        <f>IFERROR(VLOOKUP(F776,tbTurnos,3,FALSE),"")</f>
        <v/>
      </c>
      <c r="N776" t="str">
        <f>IFERROR(VLOOKUP(M776,tbFactorMes,2,FALSE),"")</f>
        <v/>
      </c>
      <c r="O776">
        <f t="shared" si="168"/>
        <v>0</v>
      </c>
      <c r="R776" t="str">
        <f>IFERROR(VLOOKUP(Q776,tbFactorMes,2,FALSE),"")</f>
        <v/>
      </c>
      <c r="S776">
        <f t="shared" si="169"/>
        <v>0</v>
      </c>
      <c r="V776" t="str">
        <f>IFERROR(VLOOKUP(U776,tbFactorMes,2,FALSE),"")</f>
        <v/>
      </c>
      <c r="W776">
        <f t="shared" si="170"/>
        <v>0</v>
      </c>
      <c r="Z776" t="str">
        <f>IFERROR(VLOOKUP(Y776,tbFactorMes,2,FALSE),"")</f>
        <v/>
      </c>
      <c r="AA776">
        <f t="shared" si="171"/>
        <v>0</v>
      </c>
      <c r="AD776" t="str">
        <f>IFERROR(VLOOKUP(AC776,tbFactorMes,2,FALSE),"")</f>
        <v/>
      </c>
      <c r="AE776">
        <f t="shared" si="172"/>
        <v>0</v>
      </c>
      <c r="AH776" t="str">
        <f>IFERROR(VLOOKUP(AG776,tbFactorMes,2,FALSE),"")</f>
        <v/>
      </c>
      <c r="AI776">
        <f t="shared" si="173"/>
        <v>0</v>
      </c>
      <c r="AL776" t="str">
        <f>IFERROR(VLOOKUP(AK776,tbFactorMes,2,FALSE),"")</f>
        <v/>
      </c>
      <c r="AM776">
        <f t="shared" si="174"/>
        <v>0</v>
      </c>
      <c r="AP776" t="str">
        <f>IFERROR(VLOOKUP(AO776,tbFactorMes,2,FALSE),"")</f>
        <v/>
      </c>
      <c r="AQ776">
        <f t="shared" si="175"/>
        <v>0</v>
      </c>
      <c r="AT776" t="str">
        <f>IFERROR(VLOOKUP(AS776,tbFactorMes,2,FALSE),"")</f>
        <v/>
      </c>
      <c r="AU776">
        <f t="shared" si="176"/>
        <v>0</v>
      </c>
      <c r="AX776" t="str">
        <f>IFERROR(VLOOKUP(AW776,tbFactorMes,2,FALSE),"")</f>
        <v/>
      </c>
      <c r="AY776">
        <f t="shared" si="177"/>
        <v>0</v>
      </c>
      <c r="BB776" t="str">
        <f>IFERROR(VLOOKUP(BA776,tbFactorMes,2,FALSE),"")</f>
        <v/>
      </c>
      <c r="BC776">
        <f t="shared" si="178"/>
        <v>0</v>
      </c>
      <c r="BF776" t="str">
        <f>IFERROR(VLOOKUP(BE776,tbFactorMes,2,FALSE),"")</f>
        <v/>
      </c>
      <c r="BG776">
        <f t="shared" si="179"/>
        <v>0</v>
      </c>
      <c r="BH776">
        <f t="shared" si="180"/>
        <v>0</v>
      </c>
      <c r="BI776">
        <f t="shared" si="181"/>
        <v>0</v>
      </c>
    </row>
    <row r="777" spans="11:61" x14ac:dyDescent="0.35">
      <c r="K777" t="str">
        <f>IFERROR(VLOOKUP(F777,tbTurnos,3,FALSE),"")</f>
        <v/>
      </c>
      <c r="N777" t="str">
        <f>IFERROR(VLOOKUP(M777,tbFactorMes,2,FALSE),"")</f>
        <v/>
      </c>
      <c r="O777">
        <f t="shared" si="168"/>
        <v>0</v>
      </c>
      <c r="R777" t="str">
        <f>IFERROR(VLOOKUP(Q777,tbFactorMes,2,FALSE),"")</f>
        <v/>
      </c>
      <c r="S777">
        <f t="shared" si="169"/>
        <v>0</v>
      </c>
      <c r="V777" t="str">
        <f>IFERROR(VLOOKUP(U777,tbFactorMes,2,FALSE),"")</f>
        <v/>
      </c>
      <c r="W777">
        <f t="shared" si="170"/>
        <v>0</v>
      </c>
      <c r="Z777" t="str">
        <f>IFERROR(VLOOKUP(Y777,tbFactorMes,2,FALSE),"")</f>
        <v/>
      </c>
      <c r="AA777">
        <f t="shared" si="171"/>
        <v>0</v>
      </c>
      <c r="AD777" t="str">
        <f>IFERROR(VLOOKUP(AC777,tbFactorMes,2,FALSE),"")</f>
        <v/>
      </c>
      <c r="AE777">
        <f t="shared" si="172"/>
        <v>0</v>
      </c>
      <c r="AH777" t="str">
        <f>IFERROR(VLOOKUP(AG777,tbFactorMes,2,FALSE),"")</f>
        <v/>
      </c>
      <c r="AI777">
        <f t="shared" si="173"/>
        <v>0</v>
      </c>
      <c r="AL777" t="str">
        <f>IFERROR(VLOOKUP(AK777,tbFactorMes,2,FALSE),"")</f>
        <v/>
      </c>
      <c r="AM777">
        <f t="shared" si="174"/>
        <v>0</v>
      </c>
      <c r="AP777" t="str">
        <f>IFERROR(VLOOKUP(AO777,tbFactorMes,2,FALSE),"")</f>
        <v/>
      </c>
      <c r="AQ777">
        <f t="shared" si="175"/>
        <v>0</v>
      </c>
      <c r="AT777" t="str">
        <f>IFERROR(VLOOKUP(AS777,tbFactorMes,2,FALSE),"")</f>
        <v/>
      </c>
      <c r="AU777">
        <f t="shared" si="176"/>
        <v>0</v>
      </c>
      <c r="AX777" t="str">
        <f>IFERROR(VLOOKUP(AW777,tbFactorMes,2,FALSE),"")</f>
        <v/>
      </c>
      <c r="AY777">
        <f t="shared" si="177"/>
        <v>0</v>
      </c>
      <c r="BB777" t="str">
        <f>IFERROR(VLOOKUP(BA777,tbFactorMes,2,FALSE),"")</f>
        <v/>
      </c>
      <c r="BC777">
        <f t="shared" si="178"/>
        <v>0</v>
      </c>
      <c r="BF777" t="str">
        <f>IFERROR(VLOOKUP(BE777,tbFactorMes,2,FALSE),"")</f>
        <v/>
      </c>
      <c r="BG777">
        <f t="shared" si="179"/>
        <v>0</v>
      </c>
      <c r="BH777">
        <f t="shared" si="180"/>
        <v>0</v>
      </c>
      <c r="BI777">
        <f t="shared" si="181"/>
        <v>0</v>
      </c>
    </row>
    <row r="778" spans="11:61" x14ac:dyDescent="0.35">
      <c r="K778" t="str">
        <f>IFERROR(VLOOKUP(F778,tbTurnos,3,FALSE),"")</f>
        <v/>
      </c>
      <c r="N778" t="str">
        <f>IFERROR(VLOOKUP(M778,tbFactorMes,2,FALSE),"")</f>
        <v/>
      </c>
      <c r="O778">
        <f t="shared" si="168"/>
        <v>0</v>
      </c>
      <c r="R778" t="str">
        <f>IFERROR(VLOOKUP(Q778,tbFactorMes,2,FALSE),"")</f>
        <v/>
      </c>
      <c r="S778">
        <f t="shared" si="169"/>
        <v>0</v>
      </c>
      <c r="V778" t="str">
        <f>IFERROR(VLOOKUP(U778,tbFactorMes,2,FALSE),"")</f>
        <v/>
      </c>
      <c r="W778">
        <f t="shared" si="170"/>
        <v>0</v>
      </c>
      <c r="Z778" t="str">
        <f>IFERROR(VLOOKUP(Y778,tbFactorMes,2,FALSE),"")</f>
        <v/>
      </c>
      <c r="AA778">
        <f t="shared" si="171"/>
        <v>0</v>
      </c>
      <c r="AD778" t="str">
        <f>IFERROR(VLOOKUP(AC778,tbFactorMes,2,FALSE),"")</f>
        <v/>
      </c>
      <c r="AE778">
        <f t="shared" si="172"/>
        <v>0</v>
      </c>
      <c r="AH778" t="str">
        <f>IFERROR(VLOOKUP(AG778,tbFactorMes,2,FALSE),"")</f>
        <v/>
      </c>
      <c r="AI778">
        <f t="shared" si="173"/>
        <v>0</v>
      </c>
      <c r="AL778" t="str">
        <f>IFERROR(VLOOKUP(AK778,tbFactorMes,2,FALSE),"")</f>
        <v/>
      </c>
      <c r="AM778">
        <f t="shared" si="174"/>
        <v>0</v>
      </c>
      <c r="AP778" t="str">
        <f>IFERROR(VLOOKUP(AO778,tbFactorMes,2,FALSE),"")</f>
        <v/>
      </c>
      <c r="AQ778">
        <f t="shared" si="175"/>
        <v>0</v>
      </c>
      <c r="AT778" t="str">
        <f>IFERROR(VLOOKUP(AS778,tbFactorMes,2,FALSE),"")</f>
        <v/>
      </c>
      <c r="AU778">
        <f t="shared" si="176"/>
        <v>0</v>
      </c>
      <c r="AX778" t="str">
        <f>IFERROR(VLOOKUP(AW778,tbFactorMes,2,FALSE),"")</f>
        <v/>
      </c>
      <c r="AY778">
        <f t="shared" si="177"/>
        <v>0</v>
      </c>
      <c r="BB778" t="str">
        <f>IFERROR(VLOOKUP(BA778,tbFactorMes,2,FALSE),"")</f>
        <v/>
      </c>
      <c r="BC778">
        <f t="shared" si="178"/>
        <v>0</v>
      </c>
      <c r="BF778" t="str">
        <f>IFERROR(VLOOKUP(BE778,tbFactorMes,2,FALSE),"")</f>
        <v/>
      </c>
      <c r="BG778">
        <f t="shared" si="179"/>
        <v>0</v>
      </c>
      <c r="BH778">
        <f t="shared" si="180"/>
        <v>0</v>
      </c>
      <c r="BI778">
        <f t="shared" si="181"/>
        <v>0</v>
      </c>
    </row>
    <row r="779" spans="11:61" x14ac:dyDescent="0.35">
      <c r="K779" t="str">
        <f>IFERROR(VLOOKUP(F779,tbTurnos,3,FALSE),"")</f>
        <v/>
      </c>
      <c r="N779" t="str">
        <f>IFERROR(VLOOKUP(M779,tbFactorMes,2,FALSE),"")</f>
        <v/>
      </c>
      <c r="O779">
        <f t="shared" si="168"/>
        <v>0</v>
      </c>
      <c r="R779" t="str">
        <f>IFERROR(VLOOKUP(Q779,tbFactorMes,2,FALSE),"")</f>
        <v/>
      </c>
      <c r="S779">
        <f t="shared" si="169"/>
        <v>0</v>
      </c>
      <c r="V779" t="str">
        <f>IFERROR(VLOOKUP(U779,tbFactorMes,2,FALSE),"")</f>
        <v/>
      </c>
      <c r="W779">
        <f t="shared" si="170"/>
        <v>0</v>
      </c>
      <c r="Z779" t="str">
        <f>IFERROR(VLOOKUP(Y779,tbFactorMes,2,FALSE),"")</f>
        <v/>
      </c>
      <c r="AA779">
        <f t="shared" si="171"/>
        <v>0</v>
      </c>
      <c r="AD779" t="str">
        <f>IFERROR(VLOOKUP(AC779,tbFactorMes,2,FALSE),"")</f>
        <v/>
      </c>
      <c r="AE779">
        <f t="shared" si="172"/>
        <v>0</v>
      </c>
      <c r="AH779" t="str">
        <f>IFERROR(VLOOKUP(AG779,tbFactorMes,2,FALSE),"")</f>
        <v/>
      </c>
      <c r="AI779">
        <f t="shared" si="173"/>
        <v>0</v>
      </c>
      <c r="AL779" t="str">
        <f>IFERROR(VLOOKUP(AK779,tbFactorMes,2,FALSE),"")</f>
        <v/>
      </c>
      <c r="AM779">
        <f t="shared" si="174"/>
        <v>0</v>
      </c>
      <c r="AP779" t="str">
        <f>IFERROR(VLOOKUP(AO779,tbFactorMes,2,FALSE),"")</f>
        <v/>
      </c>
      <c r="AQ779">
        <f t="shared" si="175"/>
        <v>0</v>
      </c>
      <c r="AT779" t="str">
        <f>IFERROR(VLOOKUP(AS779,tbFactorMes,2,FALSE),"")</f>
        <v/>
      </c>
      <c r="AU779">
        <f t="shared" si="176"/>
        <v>0</v>
      </c>
      <c r="AX779" t="str">
        <f>IFERROR(VLOOKUP(AW779,tbFactorMes,2,FALSE),"")</f>
        <v/>
      </c>
      <c r="AY779">
        <f t="shared" si="177"/>
        <v>0</v>
      </c>
      <c r="BB779" t="str">
        <f>IFERROR(VLOOKUP(BA779,tbFactorMes,2,FALSE),"")</f>
        <v/>
      </c>
      <c r="BC779">
        <f t="shared" si="178"/>
        <v>0</v>
      </c>
      <c r="BF779" t="str">
        <f>IFERROR(VLOOKUP(BE779,tbFactorMes,2,FALSE),"")</f>
        <v/>
      </c>
      <c r="BG779">
        <f t="shared" si="179"/>
        <v>0</v>
      </c>
      <c r="BH779">
        <f t="shared" si="180"/>
        <v>0</v>
      </c>
      <c r="BI779">
        <f t="shared" si="181"/>
        <v>0</v>
      </c>
    </row>
    <row r="780" spans="11:61" x14ac:dyDescent="0.35">
      <c r="K780" t="str">
        <f>IFERROR(VLOOKUP(F780,tbTurnos,3,FALSE),"")</f>
        <v/>
      </c>
      <c r="N780" t="str">
        <f>IFERROR(VLOOKUP(M780,tbFactorMes,2,FALSE),"")</f>
        <v/>
      </c>
      <c r="O780">
        <f t="shared" si="168"/>
        <v>0</v>
      </c>
      <c r="R780" t="str">
        <f>IFERROR(VLOOKUP(Q780,tbFactorMes,2,FALSE),"")</f>
        <v/>
      </c>
      <c r="S780">
        <f t="shared" si="169"/>
        <v>0</v>
      </c>
      <c r="V780" t="str">
        <f>IFERROR(VLOOKUP(U780,tbFactorMes,2,FALSE),"")</f>
        <v/>
      </c>
      <c r="W780">
        <f t="shared" si="170"/>
        <v>0</v>
      </c>
      <c r="Z780" t="str">
        <f>IFERROR(VLOOKUP(Y780,tbFactorMes,2,FALSE),"")</f>
        <v/>
      </c>
      <c r="AA780">
        <f t="shared" si="171"/>
        <v>0</v>
      </c>
      <c r="AD780" t="str">
        <f>IFERROR(VLOOKUP(AC780,tbFactorMes,2,FALSE),"")</f>
        <v/>
      </c>
      <c r="AE780">
        <f t="shared" si="172"/>
        <v>0</v>
      </c>
      <c r="AH780" t="str">
        <f>IFERROR(VLOOKUP(AG780,tbFactorMes,2,FALSE),"")</f>
        <v/>
      </c>
      <c r="AI780">
        <f t="shared" si="173"/>
        <v>0</v>
      </c>
      <c r="AL780" t="str">
        <f>IFERROR(VLOOKUP(AK780,tbFactorMes,2,FALSE),"")</f>
        <v/>
      </c>
      <c r="AM780">
        <f t="shared" si="174"/>
        <v>0</v>
      </c>
      <c r="AP780" t="str">
        <f>IFERROR(VLOOKUP(AO780,tbFactorMes,2,FALSE),"")</f>
        <v/>
      </c>
      <c r="AQ780">
        <f t="shared" si="175"/>
        <v>0</v>
      </c>
      <c r="AT780" t="str">
        <f>IFERROR(VLOOKUP(AS780,tbFactorMes,2,FALSE),"")</f>
        <v/>
      </c>
      <c r="AU780">
        <f t="shared" si="176"/>
        <v>0</v>
      </c>
      <c r="AX780" t="str">
        <f>IFERROR(VLOOKUP(AW780,tbFactorMes,2,FALSE),"")</f>
        <v/>
      </c>
      <c r="AY780">
        <f t="shared" si="177"/>
        <v>0</v>
      </c>
      <c r="BB780" t="str">
        <f>IFERROR(VLOOKUP(BA780,tbFactorMes,2,FALSE),"")</f>
        <v/>
      </c>
      <c r="BC780">
        <f t="shared" si="178"/>
        <v>0</v>
      </c>
      <c r="BF780" t="str">
        <f>IFERROR(VLOOKUP(BE780,tbFactorMes,2,FALSE),"")</f>
        <v/>
      </c>
      <c r="BG780">
        <f t="shared" si="179"/>
        <v>0</v>
      </c>
      <c r="BH780">
        <f t="shared" si="180"/>
        <v>0</v>
      </c>
      <c r="BI780">
        <f t="shared" si="181"/>
        <v>0</v>
      </c>
    </row>
    <row r="781" spans="11:61" x14ac:dyDescent="0.35">
      <c r="K781" t="str">
        <f>IFERROR(VLOOKUP(F781,tbTurnos,3,FALSE),"")</f>
        <v/>
      </c>
      <c r="N781" t="str">
        <f>IFERROR(VLOOKUP(M781,tbFactorMes,2,FALSE),"")</f>
        <v/>
      </c>
      <c r="O781">
        <f t="shared" si="168"/>
        <v>0</v>
      </c>
      <c r="R781" t="str">
        <f>IFERROR(VLOOKUP(Q781,tbFactorMes,2,FALSE),"")</f>
        <v/>
      </c>
      <c r="S781">
        <f t="shared" si="169"/>
        <v>0</v>
      </c>
      <c r="V781" t="str">
        <f>IFERROR(VLOOKUP(U781,tbFactorMes,2,FALSE),"")</f>
        <v/>
      </c>
      <c r="W781">
        <f t="shared" si="170"/>
        <v>0</v>
      </c>
      <c r="Z781" t="str">
        <f>IFERROR(VLOOKUP(Y781,tbFactorMes,2,FALSE),"")</f>
        <v/>
      </c>
      <c r="AA781">
        <f t="shared" si="171"/>
        <v>0</v>
      </c>
      <c r="AD781" t="str">
        <f>IFERROR(VLOOKUP(AC781,tbFactorMes,2,FALSE),"")</f>
        <v/>
      </c>
      <c r="AE781">
        <f t="shared" si="172"/>
        <v>0</v>
      </c>
      <c r="AH781" t="str">
        <f>IFERROR(VLOOKUP(AG781,tbFactorMes,2,FALSE),"")</f>
        <v/>
      </c>
      <c r="AI781">
        <f t="shared" si="173"/>
        <v>0</v>
      </c>
      <c r="AL781" t="str">
        <f>IFERROR(VLOOKUP(AK781,tbFactorMes,2,FALSE),"")</f>
        <v/>
      </c>
      <c r="AM781">
        <f t="shared" si="174"/>
        <v>0</v>
      </c>
      <c r="AP781" t="str">
        <f>IFERROR(VLOOKUP(AO781,tbFactorMes,2,FALSE),"")</f>
        <v/>
      </c>
      <c r="AQ781">
        <f t="shared" si="175"/>
        <v>0</v>
      </c>
      <c r="AT781" t="str">
        <f>IFERROR(VLOOKUP(AS781,tbFactorMes,2,FALSE),"")</f>
        <v/>
      </c>
      <c r="AU781">
        <f t="shared" si="176"/>
        <v>0</v>
      </c>
      <c r="AX781" t="str">
        <f>IFERROR(VLOOKUP(AW781,tbFactorMes,2,FALSE),"")</f>
        <v/>
      </c>
      <c r="AY781">
        <f t="shared" si="177"/>
        <v>0</v>
      </c>
      <c r="BB781" t="str">
        <f>IFERROR(VLOOKUP(BA781,tbFactorMes,2,FALSE),"")</f>
        <v/>
      </c>
      <c r="BC781">
        <f t="shared" si="178"/>
        <v>0</v>
      </c>
      <c r="BF781" t="str">
        <f>IFERROR(VLOOKUP(BE781,tbFactorMes,2,FALSE),"")</f>
        <v/>
      </c>
      <c r="BG781">
        <f t="shared" si="179"/>
        <v>0</v>
      </c>
      <c r="BH781">
        <f t="shared" si="180"/>
        <v>0</v>
      </c>
      <c r="BI781">
        <f t="shared" si="181"/>
        <v>0</v>
      </c>
    </row>
    <row r="782" spans="11:61" x14ac:dyDescent="0.35">
      <c r="K782" t="str">
        <f>IFERROR(VLOOKUP(F782,tbTurnos,3,FALSE),"")</f>
        <v/>
      </c>
      <c r="N782" t="str">
        <f>IFERROR(VLOOKUP(M782,tbFactorMes,2,FALSE),"")</f>
        <v/>
      </c>
      <c r="O782">
        <f t="shared" si="168"/>
        <v>0</v>
      </c>
      <c r="R782" t="str">
        <f>IFERROR(VLOOKUP(Q782,tbFactorMes,2,FALSE),"")</f>
        <v/>
      </c>
      <c r="S782">
        <f t="shared" si="169"/>
        <v>0</v>
      </c>
      <c r="V782" t="str">
        <f>IFERROR(VLOOKUP(U782,tbFactorMes,2,FALSE),"")</f>
        <v/>
      </c>
      <c r="W782">
        <f t="shared" si="170"/>
        <v>0</v>
      </c>
      <c r="Z782" t="str">
        <f>IFERROR(VLOOKUP(Y782,tbFactorMes,2,FALSE),"")</f>
        <v/>
      </c>
      <c r="AA782">
        <f t="shared" si="171"/>
        <v>0</v>
      </c>
      <c r="AD782" t="str">
        <f>IFERROR(VLOOKUP(AC782,tbFactorMes,2,FALSE),"")</f>
        <v/>
      </c>
      <c r="AE782">
        <f t="shared" si="172"/>
        <v>0</v>
      </c>
      <c r="AH782" t="str">
        <f>IFERROR(VLOOKUP(AG782,tbFactorMes,2,FALSE),"")</f>
        <v/>
      </c>
      <c r="AI782">
        <f t="shared" si="173"/>
        <v>0</v>
      </c>
      <c r="AL782" t="str">
        <f>IFERROR(VLOOKUP(AK782,tbFactorMes,2,FALSE),"")</f>
        <v/>
      </c>
      <c r="AM782">
        <f t="shared" si="174"/>
        <v>0</v>
      </c>
      <c r="AP782" t="str">
        <f>IFERROR(VLOOKUP(AO782,tbFactorMes,2,FALSE),"")</f>
        <v/>
      </c>
      <c r="AQ782">
        <f t="shared" si="175"/>
        <v>0</v>
      </c>
      <c r="AT782" t="str">
        <f>IFERROR(VLOOKUP(AS782,tbFactorMes,2,FALSE),"")</f>
        <v/>
      </c>
      <c r="AU782">
        <f t="shared" si="176"/>
        <v>0</v>
      </c>
      <c r="AX782" t="str">
        <f>IFERROR(VLOOKUP(AW782,tbFactorMes,2,FALSE),"")</f>
        <v/>
      </c>
      <c r="AY782">
        <f t="shared" si="177"/>
        <v>0</v>
      </c>
      <c r="BB782" t="str">
        <f>IFERROR(VLOOKUP(BA782,tbFactorMes,2,FALSE),"")</f>
        <v/>
      </c>
      <c r="BC782">
        <f t="shared" si="178"/>
        <v>0</v>
      </c>
      <c r="BF782" t="str">
        <f>IFERROR(VLOOKUP(BE782,tbFactorMes,2,FALSE),"")</f>
        <v/>
      </c>
      <c r="BG782">
        <f t="shared" si="179"/>
        <v>0</v>
      </c>
      <c r="BH782">
        <f t="shared" si="180"/>
        <v>0</v>
      </c>
      <c r="BI782">
        <f t="shared" si="181"/>
        <v>0</v>
      </c>
    </row>
    <row r="783" spans="11:61" x14ac:dyDescent="0.35">
      <c r="K783" t="str">
        <f>IFERROR(VLOOKUP(F783,tbTurnos,3,FALSE),"")</f>
        <v/>
      </c>
      <c r="N783" t="str">
        <f>IFERROR(VLOOKUP(M783,tbFactorMes,2,FALSE),"")</f>
        <v/>
      </c>
      <c r="O783">
        <f t="shared" si="168"/>
        <v>0</v>
      </c>
      <c r="R783" t="str">
        <f>IFERROR(VLOOKUP(Q783,tbFactorMes,2,FALSE),"")</f>
        <v/>
      </c>
      <c r="S783">
        <f t="shared" si="169"/>
        <v>0</v>
      </c>
      <c r="V783" t="str">
        <f>IFERROR(VLOOKUP(U783,tbFactorMes,2,FALSE),"")</f>
        <v/>
      </c>
      <c r="W783">
        <f t="shared" si="170"/>
        <v>0</v>
      </c>
      <c r="Z783" t="str">
        <f>IFERROR(VLOOKUP(Y783,tbFactorMes,2,FALSE),"")</f>
        <v/>
      </c>
      <c r="AA783">
        <f t="shared" si="171"/>
        <v>0</v>
      </c>
      <c r="AD783" t="str">
        <f>IFERROR(VLOOKUP(AC783,tbFactorMes,2,FALSE),"")</f>
        <v/>
      </c>
      <c r="AE783">
        <f t="shared" si="172"/>
        <v>0</v>
      </c>
      <c r="AH783" t="str">
        <f>IFERROR(VLOOKUP(AG783,tbFactorMes,2,FALSE),"")</f>
        <v/>
      </c>
      <c r="AI783">
        <f t="shared" si="173"/>
        <v>0</v>
      </c>
      <c r="AL783" t="str">
        <f>IFERROR(VLOOKUP(AK783,tbFactorMes,2,FALSE),"")</f>
        <v/>
      </c>
      <c r="AM783">
        <f t="shared" si="174"/>
        <v>0</v>
      </c>
      <c r="AP783" t="str">
        <f>IFERROR(VLOOKUP(AO783,tbFactorMes,2,FALSE),"")</f>
        <v/>
      </c>
      <c r="AQ783">
        <f t="shared" si="175"/>
        <v>0</v>
      </c>
      <c r="AT783" t="str">
        <f>IFERROR(VLOOKUP(AS783,tbFactorMes,2,FALSE),"")</f>
        <v/>
      </c>
      <c r="AU783">
        <f t="shared" si="176"/>
        <v>0</v>
      </c>
      <c r="AX783" t="str">
        <f>IFERROR(VLOOKUP(AW783,tbFactorMes,2,FALSE),"")</f>
        <v/>
      </c>
      <c r="AY783">
        <f t="shared" si="177"/>
        <v>0</v>
      </c>
      <c r="BB783" t="str">
        <f>IFERROR(VLOOKUP(BA783,tbFactorMes,2,FALSE),"")</f>
        <v/>
      </c>
      <c r="BC783">
        <f t="shared" si="178"/>
        <v>0</v>
      </c>
      <c r="BF783" t="str">
        <f>IFERROR(VLOOKUP(BE783,tbFactorMes,2,FALSE),"")</f>
        <v/>
      </c>
      <c r="BG783">
        <f t="shared" si="179"/>
        <v>0</v>
      </c>
      <c r="BH783">
        <f t="shared" si="180"/>
        <v>0</v>
      </c>
      <c r="BI783">
        <f t="shared" si="181"/>
        <v>0</v>
      </c>
    </row>
    <row r="784" spans="11:61" x14ac:dyDescent="0.35">
      <c r="K784" t="str">
        <f>IFERROR(VLOOKUP(F784,tbTurnos,3,FALSE),"")</f>
        <v/>
      </c>
      <c r="N784" t="str">
        <f>IFERROR(VLOOKUP(M784,tbFactorMes,2,FALSE),"")</f>
        <v/>
      </c>
      <c r="O784">
        <f t="shared" si="168"/>
        <v>0</v>
      </c>
      <c r="R784" t="str">
        <f>IFERROR(VLOOKUP(Q784,tbFactorMes,2,FALSE),"")</f>
        <v/>
      </c>
      <c r="S784">
        <f t="shared" si="169"/>
        <v>0</v>
      </c>
      <c r="V784" t="str">
        <f>IFERROR(VLOOKUP(U784,tbFactorMes,2,FALSE),"")</f>
        <v/>
      </c>
      <c r="W784">
        <f t="shared" si="170"/>
        <v>0</v>
      </c>
      <c r="Z784" t="str">
        <f>IFERROR(VLOOKUP(Y784,tbFactorMes,2,FALSE),"")</f>
        <v/>
      </c>
      <c r="AA784">
        <f t="shared" si="171"/>
        <v>0</v>
      </c>
      <c r="AD784" t="str">
        <f>IFERROR(VLOOKUP(AC784,tbFactorMes,2,FALSE),"")</f>
        <v/>
      </c>
      <c r="AE784">
        <f t="shared" si="172"/>
        <v>0</v>
      </c>
      <c r="AH784" t="str">
        <f>IFERROR(VLOOKUP(AG784,tbFactorMes,2,FALSE),"")</f>
        <v/>
      </c>
      <c r="AI784">
        <f t="shared" si="173"/>
        <v>0</v>
      </c>
      <c r="AL784" t="str">
        <f>IFERROR(VLOOKUP(AK784,tbFactorMes,2,FALSE),"")</f>
        <v/>
      </c>
      <c r="AM784">
        <f t="shared" si="174"/>
        <v>0</v>
      </c>
      <c r="AP784" t="str">
        <f>IFERROR(VLOOKUP(AO784,tbFactorMes,2,FALSE),"")</f>
        <v/>
      </c>
      <c r="AQ784">
        <f t="shared" si="175"/>
        <v>0</v>
      </c>
      <c r="AT784" t="str">
        <f>IFERROR(VLOOKUP(AS784,tbFactorMes,2,FALSE),"")</f>
        <v/>
      </c>
      <c r="AU784">
        <f t="shared" si="176"/>
        <v>0</v>
      </c>
      <c r="AX784" t="str">
        <f>IFERROR(VLOOKUP(AW784,tbFactorMes,2,FALSE),"")</f>
        <v/>
      </c>
      <c r="AY784">
        <f t="shared" si="177"/>
        <v>0</v>
      </c>
      <c r="BB784" t="str">
        <f>IFERROR(VLOOKUP(BA784,tbFactorMes,2,FALSE),"")</f>
        <v/>
      </c>
      <c r="BC784">
        <f t="shared" si="178"/>
        <v>0</v>
      </c>
      <c r="BF784" t="str">
        <f>IFERROR(VLOOKUP(BE784,tbFactorMes,2,FALSE),"")</f>
        <v/>
      </c>
      <c r="BG784">
        <f t="shared" si="179"/>
        <v>0</v>
      </c>
      <c r="BH784">
        <f t="shared" si="180"/>
        <v>0</v>
      </c>
      <c r="BI784">
        <f t="shared" si="181"/>
        <v>0</v>
      </c>
    </row>
    <row r="785" spans="11:61" x14ac:dyDescent="0.35">
      <c r="K785" t="str">
        <f>IFERROR(VLOOKUP(F785,tbTurnos,3,FALSE),"")</f>
        <v/>
      </c>
      <c r="N785" t="str">
        <f>IFERROR(VLOOKUP(M785,tbFactorMes,2,FALSE),"")</f>
        <v/>
      </c>
      <c r="O785">
        <f t="shared" si="168"/>
        <v>0</v>
      </c>
      <c r="R785" t="str">
        <f>IFERROR(VLOOKUP(Q785,tbFactorMes,2,FALSE),"")</f>
        <v/>
      </c>
      <c r="S785">
        <f t="shared" si="169"/>
        <v>0</v>
      </c>
      <c r="V785" t="str">
        <f>IFERROR(VLOOKUP(U785,tbFactorMes,2,FALSE),"")</f>
        <v/>
      </c>
      <c r="W785">
        <f t="shared" si="170"/>
        <v>0</v>
      </c>
      <c r="Z785" t="str">
        <f>IFERROR(VLOOKUP(Y785,tbFactorMes,2,FALSE),"")</f>
        <v/>
      </c>
      <c r="AA785">
        <f t="shared" si="171"/>
        <v>0</v>
      </c>
      <c r="AD785" t="str">
        <f>IFERROR(VLOOKUP(AC785,tbFactorMes,2,FALSE),"")</f>
        <v/>
      </c>
      <c r="AE785">
        <f t="shared" si="172"/>
        <v>0</v>
      </c>
      <c r="AH785" t="str">
        <f>IFERROR(VLOOKUP(AG785,tbFactorMes,2,FALSE),"")</f>
        <v/>
      </c>
      <c r="AI785">
        <f t="shared" si="173"/>
        <v>0</v>
      </c>
      <c r="AL785" t="str">
        <f>IFERROR(VLOOKUP(AK785,tbFactorMes,2,FALSE),"")</f>
        <v/>
      </c>
      <c r="AM785">
        <f t="shared" si="174"/>
        <v>0</v>
      </c>
      <c r="AP785" t="str">
        <f>IFERROR(VLOOKUP(AO785,tbFactorMes,2,FALSE),"")</f>
        <v/>
      </c>
      <c r="AQ785">
        <f t="shared" si="175"/>
        <v>0</v>
      </c>
      <c r="AT785" t="str">
        <f>IFERROR(VLOOKUP(AS785,tbFactorMes,2,FALSE),"")</f>
        <v/>
      </c>
      <c r="AU785">
        <f t="shared" si="176"/>
        <v>0</v>
      </c>
      <c r="AX785" t="str">
        <f>IFERROR(VLOOKUP(AW785,tbFactorMes,2,FALSE),"")</f>
        <v/>
      </c>
      <c r="AY785">
        <f t="shared" si="177"/>
        <v>0</v>
      </c>
      <c r="BB785" t="str">
        <f>IFERROR(VLOOKUP(BA785,tbFactorMes,2,FALSE),"")</f>
        <v/>
      </c>
      <c r="BC785">
        <f t="shared" si="178"/>
        <v>0</v>
      </c>
      <c r="BF785" t="str">
        <f>IFERROR(VLOOKUP(BE785,tbFactorMes,2,FALSE),"")</f>
        <v/>
      </c>
      <c r="BG785">
        <f t="shared" si="179"/>
        <v>0</v>
      </c>
      <c r="BH785">
        <f t="shared" si="180"/>
        <v>0</v>
      </c>
      <c r="BI785">
        <f t="shared" si="181"/>
        <v>0</v>
      </c>
    </row>
    <row r="786" spans="11:61" x14ac:dyDescent="0.35">
      <c r="K786" t="str">
        <f>IFERROR(VLOOKUP(F786,tbTurnos,3,FALSE),"")</f>
        <v/>
      </c>
      <c r="N786" t="str">
        <f>IFERROR(VLOOKUP(M786,tbFactorMes,2,FALSE),"")</f>
        <v/>
      </c>
      <c r="O786">
        <f t="shared" si="168"/>
        <v>0</v>
      </c>
      <c r="R786" t="str">
        <f>IFERROR(VLOOKUP(Q786,tbFactorMes,2,FALSE),"")</f>
        <v/>
      </c>
      <c r="S786">
        <f t="shared" si="169"/>
        <v>0</v>
      </c>
      <c r="V786" t="str">
        <f>IFERROR(VLOOKUP(U786,tbFactorMes,2,FALSE),"")</f>
        <v/>
      </c>
      <c r="W786">
        <f t="shared" si="170"/>
        <v>0</v>
      </c>
      <c r="Z786" t="str">
        <f>IFERROR(VLOOKUP(Y786,tbFactorMes,2,FALSE),"")</f>
        <v/>
      </c>
      <c r="AA786">
        <f t="shared" si="171"/>
        <v>0</v>
      </c>
      <c r="AD786" t="str">
        <f>IFERROR(VLOOKUP(AC786,tbFactorMes,2,FALSE),"")</f>
        <v/>
      </c>
      <c r="AE786">
        <f t="shared" si="172"/>
        <v>0</v>
      </c>
      <c r="AH786" t="str">
        <f>IFERROR(VLOOKUP(AG786,tbFactorMes,2,FALSE),"")</f>
        <v/>
      </c>
      <c r="AI786">
        <f t="shared" si="173"/>
        <v>0</v>
      </c>
      <c r="AL786" t="str">
        <f>IFERROR(VLOOKUP(AK786,tbFactorMes,2,FALSE),"")</f>
        <v/>
      </c>
      <c r="AM786">
        <f t="shared" si="174"/>
        <v>0</v>
      </c>
      <c r="AP786" t="str">
        <f>IFERROR(VLOOKUP(AO786,tbFactorMes,2,FALSE),"")</f>
        <v/>
      </c>
      <c r="AQ786">
        <f t="shared" si="175"/>
        <v>0</v>
      </c>
      <c r="AT786" t="str">
        <f>IFERROR(VLOOKUP(AS786,tbFactorMes,2,FALSE),"")</f>
        <v/>
      </c>
      <c r="AU786">
        <f t="shared" si="176"/>
        <v>0</v>
      </c>
      <c r="AX786" t="str">
        <f>IFERROR(VLOOKUP(AW786,tbFactorMes,2,FALSE),"")</f>
        <v/>
      </c>
      <c r="AY786">
        <f t="shared" si="177"/>
        <v>0</v>
      </c>
      <c r="BB786" t="str">
        <f>IFERROR(VLOOKUP(BA786,tbFactorMes,2,FALSE),"")</f>
        <v/>
      </c>
      <c r="BC786">
        <f t="shared" si="178"/>
        <v>0</v>
      </c>
      <c r="BF786" t="str">
        <f>IFERROR(VLOOKUP(BE786,tbFactorMes,2,FALSE),"")</f>
        <v/>
      </c>
      <c r="BG786">
        <f t="shared" si="179"/>
        <v>0</v>
      </c>
      <c r="BH786">
        <f t="shared" si="180"/>
        <v>0</v>
      </c>
      <c r="BI786">
        <f t="shared" si="181"/>
        <v>0</v>
      </c>
    </row>
    <row r="787" spans="11:61" x14ac:dyDescent="0.35">
      <c r="K787" t="str">
        <f>IFERROR(VLOOKUP(F787,tbTurnos,3,FALSE),"")</f>
        <v/>
      </c>
      <c r="N787" t="str">
        <f>IFERROR(VLOOKUP(M787,tbFactorMes,2,FALSE),"")</f>
        <v/>
      </c>
      <c r="O787">
        <f t="shared" si="168"/>
        <v>0</v>
      </c>
      <c r="R787" t="str">
        <f>IFERROR(VLOOKUP(Q787,tbFactorMes,2,FALSE),"")</f>
        <v/>
      </c>
      <c r="S787">
        <f t="shared" si="169"/>
        <v>0</v>
      </c>
      <c r="V787" t="str">
        <f>IFERROR(VLOOKUP(U787,tbFactorMes,2,FALSE),"")</f>
        <v/>
      </c>
      <c r="W787">
        <f t="shared" si="170"/>
        <v>0</v>
      </c>
      <c r="Z787" t="str">
        <f>IFERROR(VLOOKUP(Y787,tbFactorMes,2,FALSE),"")</f>
        <v/>
      </c>
      <c r="AA787">
        <f t="shared" si="171"/>
        <v>0</v>
      </c>
      <c r="AD787" t="str">
        <f>IFERROR(VLOOKUP(AC787,tbFactorMes,2,FALSE),"")</f>
        <v/>
      </c>
      <c r="AE787">
        <f t="shared" si="172"/>
        <v>0</v>
      </c>
      <c r="AH787" t="str">
        <f>IFERROR(VLOOKUP(AG787,tbFactorMes,2,FALSE),"")</f>
        <v/>
      </c>
      <c r="AI787">
        <f t="shared" si="173"/>
        <v>0</v>
      </c>
      <c r="AL787" t="str">
        <f>IFERROR(VLOOKUP(AK787,tbFactorMes,2,FALSE),"")</f>
        <v/>
      </c>
      <c r="AM787">
        <f t="shared" si="174"/>
        <v>0</v>
      </c>
      <c r="AP787" t="str">
        <f>IFERROR(VLOOKUP(AO787,tbFactorMes,2,FALSE),"")</f>
        <v/>
      </c>
      <c r="AQ787">
        <f t="shared" si="175"/>
        <v>0</v>
      </c>
      <c r="AT787" t="str">
        <f>IFERROR(VLOOKUP(AS787,tbFactorMes,2,FALSE),"")</f>
        <v/>
      </c>
      <c r="AU787">
        <f t="shared" si="176"/>
        <v>0</v>
      </c>
      <c r="AX787" t="str">
        <f>IFERROR(VLOOKUP(AW787,tbFactorMes,2,FALSE),"")</f>
        <v/>
      </c>
      <c r="AY787">
        <f t="shared" si="177"/>
        <v>0</v>
      </c>
      <c r="BB787" t="str">
        <f>IFERROR(VLOOKUP(BA787,tbFactorMes,2,FALSE),"")</f>
        <v/>
      </c>
      <c r="BC787">
        <f t="shared" si="178"/>
        <v>0</v>
      </c>
      <c r="BF787" t="str">
        <f>IFERROR(VLOOKUP(BE787,tbFactorMes,2,FALSE),"")</f>
        <v/>
      </c>
      <c r="BG787">
        <f t="shared" si="179"/>
        <v>0</v>
      </c>
      <c r="BH787">
        <f t="shared" si="180"/>
        <v>0</v>
      </c>
      <c r="BI787">
        <f t="shared" si="181"/>
        <v>0</v>
      </c>
    </row>
    <row r="788" spans="11:61" x14ac:dyDescent="0.35">
      <c r="K788" t="str">
        <f>IFERROR(VLOOKUP(F788,tbTurnos,3,FALSE),"")</f>
        <v/>
      </c>
      <c r="N788" t="str">
        <f>IFERROR(VLOOKUP(M788,tbFactorMes,2,FALSE),"")</f>
        <v/>
      </c>
      <c r="O788">
        <f t="shared" si="168"/>
        <v>0</v>
      </c>
      <c r="R788" t="str">
        <f>IFERROR(VLOOKUP(Q788,tbFactorMes,2,FALSE),"")</f>
        <v/>
      </c>
      <c r="S788">
        <f t="shared" si="169"/>
        <v>0</v>
      </c>
      <c r="V788" t="str">
        <f>IFERROR(VLOOKUP(U788,tbFactorMes,2,FALSE),"")</f>
        <v/>
      </c>
      <c r="W788">
        <f t="shared" si="170"/>
        <v>0</v>
      </c>
      <c r="Z788" t="str">
        <f>IFERROR(VLOOKUP(Y788,tbFactorMes,2,FALSE),"")</f>
        <v/>
      </c>
      <c r="AA788">
        <f t="shared" si="171"/>
        <v>0</v>
      </c>
      <c r="AD788" t="str">
        <f>IFERROR(VLOOKUP(AC788,tbFactorMes,2,FALSE),"")</f>
        <v/>
      </c>
      <c r="AE788">
        <f t="shared" si="172"/>
        <v>0</v>
      </c>
      <c r="AH788" t="str">
        <f>IFERROR(VLOOKUP(AG788,tbFactorMes,2,FALSE),"")</f>
        <v/>
      </c>
      <c r="AI788">
        <f t="shared" si="173"/>
        <v>0</v>
      </c>
      <c r="AL788" t="str">
        <f>IFERROR(VLOOKUP(AK788,tbFactorMes,2,FALSE),"")</f>
        <v/>
      </c>
      <c r="AM788">
        <f t="shared" si="174"/>
        <v>0</v>
      </c>
      <c r="AP788" t="str">
        <f>IFERROR(VLOOKUP(AO788,tbFactorMes,2,FALSE),"")</f>
        <v/>
      </c>
      <c r="AQ788">
        <f t="shared" si="175"/>
        <v>0</v>
      </c>
      <c r="AT788" t="str">
        <f>IFERROR(VLOOKUP(AS788,tbFactorMes,2,FALSE),"")</f>
        <v/>
      </c>
      <c r="AU788">
        <f t="shared" si="176"/>
        <v>0</v>
      </c>
      <c r="AX788" t="str">
        <f>IFERROR(VLOOKUP(AW788,tbFactorMes,2,FALSE),"")</f>
        <v/>
      </c>
      <c r="AY788">
        <f t="shared" si="177"/>
        <v>0</v>
      </c>
      <c r="BB788" t="str">
        <f>IFERROR(VLOOKUP(BA788,tbFactorMes,2,FALSE),"")</f>
        <v/>
      </c>
      <c r="BC788">
        <f t="shared" si="178"/>
        <v>0</v>
      </c>
      <c r="BF788" t="str">
        <f>IFERROR(VLOOKUP(BE788,tbFactorMes,2,FALSE),"")</f>
        <v/>
      </c>
      <c r="BG788">
        <f t="shared" si="179"/>
        <v>0</v>
      </c>
      <c r="BH788">
        <f t="shared" si="180"/>
        <v>0</v>
      </c>
      <c r="BI788">
        <f t="shared" si="181"/>
        <v>0</v>
      </c>
    </row>
    <row r="789" spans="11:61" x14ac:dyDescent="0.35">
      <c r="K789" t="str">
        <f>IFERROR(VLOOKUP(F789,tbTurnos,3,FALSE),"")</f>
        <v/>
      </c>
      <c r="N789" t="str">
        <f>IFERROR(VLOOKUP(M789,tbFactorMes,2,FALSE),"")</f>
        <v/>
      </c>
      <c r="O789">
        <f t="shared" si="168"/>
        <v>0</v>
      </c>
      <c r="R789" t="str">
        <f>IFERROR(VLOOKUP(Q789,tbFactorMes,2,FALSE),"")</f>
        <v/>
      </c>
      <c r="S789">
        <f t="shared" si="169"/>
        <v>0</v>
      </c>
      <c r="V789" t="str">
        <f>IFERROR(VLOOKUP(U789,tbFactorMes,2,FALSE),"")</f>
        <v/>
      </c>
      <c r="W789">
        <f t="shared" si="170"/>
        <v>0</v>
      </c>
      <c r="Z789" t="str">
        <f>IFERROR(VLOOKUP(Y789,tbFactorMes,2,FALSE),"")</f>
        <v/>
      </c>
      <c r="AA789">
        <f t="shared" si="171"/>
        <v>0</v>
      </c>
      <c r="AD789" t="str">
        <f>IFERROR(VLOOKUP(AC789,tbFactorMes,2,FALSE),"")</f>
        <v/>
      </c>
      <c r="AE789">
        <f t="shared" si="172"/>
        <v>0</v>
      </c>
      <c r="AH789" t="str">
        <f>IFERROR(VLOOKUP(AG789,tbFactorMes,2,FALSE),"")</f>
        <v/>
      </c>
      <c r="AI789">
        <f t="shared" si="173"/>
        <v>0</v>
      </c>
      <c r="AL789" t="str">
        <f>IFERROR(VLOOKUP(AK789,tbFactorMes,2,FALSE),"")</f>
        <v/>
      </c>
      <c r="AM789">
        <f t="shared" si="174"/>
        <v>0</v>
      </c>
      <c r="AP789" t="str">
        <f>IFERROR(VLOOKUP(AO789,tbFactorMes,2,FALSE),"")</f>
        <v/>
      </c>
      <c r="AQ789">
        <f t="shared" si="175"/>
        <v>0</v>
      </c>
      <c r="AT789" t="str">
        <f>IFERROR(VLOOKUP(AS789,tbFactorMes,2,FALSE),"")</f>
        <v/>
      </c>
      <c r="AU789">
        <f t="shared" si="176"/>
        <v>0</v>
      </c>
      <c r="AX789" t="str">
        <f>IFERROR(VLOOKUP(AW789,tbFactorMes,2,FALSE),"")</f>
        <v/>
      </c>
      <c r="AY789">
        <f t="shared" si="177"/>
        <v>0</v>
      </c>
      <c r="BB789" t="str">
        <f>IFERROR(VLOOKUP(BA789,tbFactorMes,2,FALSE),"")</f>
        <v/>
      </c>
      <c r="BC789">
        <f t="shared" si="178"/>
        <v>0</v>
      </c>
      <c r="BF789" t="str">
        <f>IFERROR(VLOOKUP(BE789,tbFactorMes,2,FALSE),"")</f>
        <v/>
      </c>
      <c r="BG789">
        <f t="shared" si="179"/>
        <v>0</v>
      </c>
      <c r="BH789">
        <f t="shared" si="180"/>
        <v>0</v>
      </c>
      <c r="BI789">
        <f t="shared" si="181"/>
        <v>0</v>
      </c>
    </row>
    <row r="790" spans="11:61" x14ac:dyDescent="0.35">
      <c r="K790" t="str">
        <f>IFERROR(VLOOKUP(F790,tbTurnos,3,FALSE),"")</f>
        <v/>
      </c>
      <c r="N790" t="str">
        <f>IFERROR(VLOOKUP(M790,tbFactorMes,2,FALSE),"")</f>
        <v/>
      </c>
      <c r="O790">
        <f t="shared" si="168"/>
        <v>0</v>
      </c>
      <c r="R790" t="str">
        <f>IFERROR(VLOOKUP(Q790,tbFactorMes,2,FALSE),"")</f>
        <v/>
      </c>
      <c r="S790">
        <f t="shared" si="169"/>
        <v>0</v>
      </c>
      <c r="V790" t="str">
        <f>IFERROR(VLOOKUP(U790,tbFactorMes,2,FALSE),"")</f>
        <v/>
      </c>
      <c r="W790">
        <f t="shared" si="170"/>
        <v>0</v>
      </c>
      <c r="Z790" t="str">
        <f>IFERROR(VLOOKUP(Y790,tbFactorMes,2,FALSE),"")</f>
        <v/>
      </c>
      <c r="AA790">
        <f t="shared" si="171"/>
        <v>0</v>
      </c>
      <c r="AD790" t="str">
        <f>IFERROR(VLOOKUP(AC790,tbFactorMes,2,FALSE),"")</f>
        <v/>
      </c>
      <c r="AE790">
        <f t="shared" si="172"/>
        <v>0</v>
      </c>
      <c r="AH790" t="str">
        <f>IFERROR(VLOOKUP(AG790,tbFactorMes,2,FALSE),"")</f>
        <v/>
      </c>
      <c r="AI790">
        <f t="shared" si="173"/>
        <v>0</v>
      </c>
      <c r="AL790" t="str">
        <f>IFERROR(VLOOKUP(AK790,tbFactorMes,2,FALSE),"")</f>
        <v/>
      </c>
      <c r="AM790">
        <f t="shared" si="174"/>
        <v>0</v>
      </c>
      <c r="AP790" t="str">
        <f>IFERROR(VLOOKUP(AO790,tbFactorMes,2,FALSE),"")</f>
        <v/>
      </c>
      <c r="AQ790">
        <f t="shared" si="175"/>
        <v>0</v>
      </c>
      <c r="AT790" t="str">
        <f>IFERROR(VLOOKUP(AS790,tbFactorMes,2,FALSE),"")</f>
        <v/>
      </c>
      <c r="AU790">
        <f t="shared" si="176"/>
        <v>0</v>
      </c>
      <c r="AX790" t="str">
        <f>IFERROR(VLOOKUP(AW790,tbFactorMes,2,FALSE),"")</f>
        <v/>
      </c>
      <c r="AY790">
        <f t="shared" si="177"/>
        <v>0</v>
      </c>
      <c r="BB790" t="str">
        <f>IFERROR(VLOOKUP(BA790,tbFactorMes,2,FALSE),"")</f>
        <v/>
      </c>
      <c r="BC790">
        <f t="shared" si="178"/>
        <v>0</v>
      </c>
      <c r="BF790" t="str">
        <f>IFERROR(VLOOKUP(BE790,tbFactorMes,2,FALSE),"")</f>
        <v/>
      </c>
      <c r="BG790">
        <f t="shared" si="179"/>
        <v>0</v>
      </c>
      <c r="BH790">
        <f t="shared" si="180"/>
        <v>0</v>
      </c>
      <c r="BI790">
        <f t="shared" si="181"/>
        <v>0</v>
      </c>
    </row>
    <row r="791" spans="11:61" x14ac:dyDescent="0.35">
      <c r="K791" t="str">
        <f>IFERROR(VLOOKUP(F791,tbTurnos,3,FALSE),"")</f>
        <v/>
      </c>
      <c r="N791" t="str">
        <f>IFERROR(VLOOKUP(M791,tbFactorMes,2,FALSE),"")</f>
        <v/>
      </c>
      <c r="O791">
        <f t="shared" si="168"/>
        <v>0</v>
      </c>
      <c r="R791" t="str">
        <f>IFERROR(VLOOKUP(Q791,tbFactorMes,2,FALSE),"")</f>
        <v/>
      </c>
      <c r="S791">
        <f t="shared" si="169"/>
        <v>0</v>
      </c>
      <c r="V791" t="str">
        <f>IFERROR(VLOOKUP(U791,tbFactorMes,2,FALSE),"")</f>
        <v/>
      </c>
      <c r="W791">
        <f t="shared" si="170"/>
        <v>0</v>
      </c>
      <c r="Z791" t="str">
        <f>IFERROR(VLOOKUP(Y791,tbFactorMes,2,FALSE),"")</f>
        <v/>
      </c>
      <c r="AA791">
        <f t="shared" si="171"/>
        <v>0</v>
      </c>
      <c r="AD791" t="str">
        <f>IFERROR(VLOOKUP(AC791,tbFactorMes,2,FALSE),"")</f>
        <v/>
      </c>
      <c r="AE791">
        <f t="shared" si="172"/>
        <v>0</v>
      </c>
      <c r="AH791" t="str">
        <f>IFERROR(VLOOKUP(AG791,tbFactorMes,2,FALSE),"")</f>
        <v/>
      </c>
      <c r="AI791">
        <f t="shared" si="173"/>
        <v>0</v>
      </c>
      <c r="AL791" t="str">
        <f>IFERROR(VLOOKUP(AK791,tbFactorMes,2,FALSE),"")</f>
        <v/>
      </c>
      <c r="AM791">
        <f t="shared" si="174"/>
        <v>0</v>
      </c>
      <c r="AP791" t="str">
        <f>IFERROR(VLOOKUP(AO791,tbFactorMes,2,FALSE),"")</f>
        <v/>
      </c>
      <c r="AQ791">
        <f t="shared" si="175"/>
        <v>0</v>
      </c>
      <c r="AT791" t="str">
        <f>IFERROR(VLOOKUP(AS791,tbFactorMes,2,FALSE),"")</f>
        <v/>
      </c>
      <c r="AU791">
        <f t="shared" si="176"/>
        <v>0</v>
      </c>
      <c r="AX791" t="str">
        <f>IFERROR(VLOOKUP(AW791,tbFactorMes,2,FALSE),"")</f>
        <v/>
      </c>
      <c r="AY791">
        <f t="shared" si="177"/>
        <v>0</v>
      </c>
      <c r="BB791" t="str">
        <f>IFERROR(VLOOKUP(BA791,tbFactorMes,2,FALSE),"")</f>
        <v/>
      </c>
      <c r="BC791">
        <f t="shared" si="178"/>
        <v>0</v>
      </c>
      <c r="BF791" t="str">
        <f>IFERROR(VLOOKUP(BE791,tbFactorMes,2,FALSE),"")</f>
        <v/>
      </c>
      <c r="BG791">
        <f t="shared" si="179"/>
        <v>0</v>
      </c>
      <c r="BH791">
        <f t="shared" si="180"/>
        <v>0</v>
      </c>
      <c r="BI791">
        <f t="shared" si="181"/>
        <v>0</v>
      </c>
    </row>
    <row r="792" spans="11:61" x14ac:dyDescent="0.35">
      <c r="K792" t="str">
        <f>IFERROR(VLOOKUP(F792,tbTurnos,3,FALSE),"")</f>
        <v/>
      </c>
      <c r="N792" t="str">
        <f>IFERROR(VLOOKUP(M792,tbFactorMes,2,FALSE),"")</f>
        <v/>
      </c>
      <c r="O792">
        <f t="shared" si="168"/>
        <v>0</v>
      </c>
      <c r="R792" t="str">
        <f>IFERROR(VLOOKUP(Q792,tbFactorMes,2,FALSE),"")</f>
        <v/>
      </c>
      <c r="S792">
        <f t="shared" si="169"/>
        <v>0</v>
      </c>
      <c r="V792" t="str">
        <f>IFERROR(VLOOKUP(U792,tbFactorMes,2,FALSE),"")</f>
        <v/>
      </c>
      <c r="W792">
        <f t="shared" si="170"/>
        <v>0</v>
      </c>
      <c r="Z792" t="str">
        <f>IFERROR(VLOOKUP(Y792,tbFactorMes,2,FALSE),"")</f>
        <v/>
      </c>
      <c r="AA792">
        <f t="shared" si="171"/>
        <v>0</v>
      </c>
      <c r="AD792" t="str">
        <f>IFERROR(VLOOKUP(AC792,tbFactorMes,2,FALSE),"")</f>
        <v/>
      </c>
      <c r="AE792">
        <f t="shared" si="172"/>
        <v>0</v>
      </c>
      <c r="AH792" t="str">
        <f>IFERROR(VLOOKUP(AG792,tbFactorMes,2,FALSE),"")</f>
        <v/>
      </c>
      <c r="AI792">
        <f t="shared" si="173"/>
        <v>0</v>
      </c>
      <c r="AL792" t="str">
        <f>IFERROR(VLOOKUP(AK792,tbFactorMes,2,FALSE),"")</f>
        <v/>
      </c>
      <c r="AM792">
        <f t="shared" si="174"/>
        <v>0</v>
      </c>
      <c r="AP792" t="str">
        <f>IFERROR(VLOOKUP(AO792,tbFactorMes,2,FALSE),"")</f>
        <v/>
      </c>
      <c r="AQ792">
        <f t="shared" si="175"/>
        <v>0</v>
      </c>
      <c r="AT792" t="str">
        <f>IFERROR(VLOOKUP(AS792,tbFactorMes,2,FALSE),"")</f>
        <v/>
      </c>
      <c r="AU792">
        <f t="shared" si="176"/>
        <v>0</v>
      </c>
      <c r="AX792" t="str">
        <f>IFERROR(VLOOKUP(AW792,tbFactorMes,2,FALSE),"")</f>
        <v/>
      </c>
      <c r="AY792">
        <f t="shared" si="177"/>
        <v>0</v>
      </c>
      <c r="BB792" t="str">
        <f>IFERROR(VLOOKUP(BA792,tbFactorMes,2,FALSE),"")</f>
        <v/>
      </c>
      <c r="BC792">
        <f t="shared" si="178"/>
        <v>0</v>
      </c>
      <c r="BF792" t="str">
        <f>IFERROR(VLOOKUP(BE792,tbFactorMes,2,FALSE),"")</f>
        <v/>
      </c>
      <c r="BG792">
        <f t="shared" si="179"/>
        <v>0</v>
      </c>
      <c r="BH792">
        <f t="shared" si="180"/>
        <v>0</v>
      </c>
      <c r="BI792">
        <f t="shared" si="181"/>
        <v>0</v>
      </c>
    </row>
    <row r="793" spans="11:61" x14ac:dyDescent="0.35">
      <c r="K793" t="str">
        <f>IFERROR(VLOOKUP(F793,tbTurnos,3,FALSE),"")</f>
        <v/>
      </c>
      <c r="N793" t="str">
        <f>IFERROR(VLOOKUP(M793,tbFactorMes,2,FALSE),"")</f>
        <v/>
      </c>
      <c r="O793">
        <f t="shared" si="168"/>
        <v>0</v>
      </c>
      <c r="R793" t="str">
        <f>IFERROR(VLOOKUP(Q793,tbFactorMes,2,FALSE),"")</f>
        <v/>
      </c>
      <c r="S793">
        <f t="shared" si="169"/>
        <v>0</v>
      </c>
      <c r="V793" t="str">
        <f>IFERROR(VLOOKUP(U793,tbFactorMes,2,FALSE),"")</f>
        <v/>
      </c>
      <c r="W793">
        <f t="shared" si="170"/>
        <v>0</v>
      </c>
      <c r="Z793" t="str">
        <f>IFERROR(VLOOKUP(Y793,tbFactorMes,2,FALSE),"")</f>
        <v/>
      </c>
      <c r="AA793">
        <f t="shared" si="171"/>
        <v>0</v>
      </c>
      <c r="AD793" t="str">
        <f>IFERROR(VLOOKUP(AC793,tbFactorMes,2,FALSE),"")</f>
        <v/>
      </c>
      <c r="AE793">
        <f t="shared" si="172"/>
        <v>0</v>
      </c>
      <c r="AH793" t="str">
        <f>IFERROR(VLOOKUP(AG793,tbFactorMes,2,FALSE),"")</f>
        <v/>
      </c>
      <c r="AI793">
        <f t="shared" si="173"/>
        <v>0</v>
      </c>
      <c r="AL793" t="str">
        <f>IFERROR(VLOOKUP(AK793,tbFactorMes,2,FALSE),"")</f>
        <v/>
      </c>
      <c r="AM793">
        <f t="shared" si="174"/>
        <v>0</v>
      </c>
      <c r="AP793" t="str">
        <f>IFERROR(VLOOKUP(AO793,tbFactorMes,2,FALSE),"")</f>
        <v/>
      </c>
      <c r="AQ793">
        <f t="shared" si="175"/>
        <v>0</v>
      </c>
      <c r="AT793" t="str">
        <f>IFERROR(VLOOKUP(AS793,tbFactorMes,2,FALSE),"")</f>
        <v/>
      </c>
      <c r="AU793">
        <f t="shared" si="176"/>
        <v>0</v>
      </c>
      <c r="AX793" t="str">
        <f>IFERROR(VLOOKUP(AW793,tbFactorMes,2,FALSE),"")</f>
        <v/>
      </c>
      <c r="AY793">
        <f t="shared" si="177"/>
        <v>0</v>
      </c>
      <c r="BB793" t="str">
        <f>IFERROR(VLOOKUP(BA793,tbFactorMes,2,FALSE),"")</f>
        <v/>
      </c>
      <c r="BC793">
        <f t="shared" si="178"/>
        <v>0</v>
      </c>
      <c r="BF793" t="str">
        <f>IFERROR(VLOOKUP(BE793,tbFactorMes,2,FALSE),"")</f>
        <v/>
      </c>
      <c r="BG793">
        <f t="shared" si="179"/>
        <v>0</v>
      </c>
      <c r="BH793">
        <f t="shared" si="180"/>
        <v>0</v>
      </c>
      <c r="BI793">
        <f t="shared" si="181"/>
        <v>0</v>
      </c>
    </row>
    <row r="794" spans="11:61" x14ac:dyDescent="0.35">
      <c r="K794" t="str">
        <f>IFERROR(VLOOKUP(F794,tbTurnos,3,FALSE),"")</f>
        <v/>
      </c>
      <c r="N794" t="str">
        <f>IFERROR(VLOOKUP(M794,tbFactorMes,2,FALSE),"")</f>
        <v/>
      </c>
      <c r="O794">
        <f t="shared" si="168"/>
        <v>0</v>
      </c>
      <c r="R794" t="str">
        <f>IFERROR(VLOOKUP(Q794,tbFactorMes,2,FALSE),"")</f>
        <v/>
      </c>
      <c r="S794">
        <f t="shared" si="169"/>
        <v>0</v>
      </c>
      <c r="V794" t="str">
        <f>IFERROR(VLOOKUP(U794,tbFactorMes,2,FALSE),"")</f>
        <v/>
      </c>
      <c r="W794">
        <f t="shared" si="170"/>
        <v>0</v>
      </c>
      <c r="Z794" t="str">
        <f>IFERROR(VLOOKUP(Y794,tbFactorMes,2,FALSE),"")</f>
        <v/>
      </c>
      <c r="AA794">
        <f t="shared" si="171"/>
        <v>0</v>
      </c>
      <c r="AD794" t="str">
        <f>IFERROR(VLOOKUP(AC794,tbFactorMes,2,FALSE),"")</f>
        <v/>
      </c>
      <c r="AE794">
        <f t="shared" si="172"/>
        <v>0</v>
      </c>
      <c r="AH794" t="str">
        <f>IFERROR(VLOOKUP(AG794,tbFactorMes,2,FALSE),"")</f>
        <v/>
      </c>
      <c r="AI794">
        <f t="shared" si="173"/>
        <v>0</v>
      </c>
      <c r="AL794" t="str">
        <f>IFERROR(VLOOKUP(AK794,tbFactorMes,2,FALSE),"")</f>
        <v/>
      </c>
      <c r="AM794">
        <f t="shared" si="174"/>
        <v>0</v>
      </c>
      <c r="AP794" t="str">
        <f>IFERROR(VLOOKUP(AO794,tbFactorMes,2,FALSE),"")</f>
        <v/>
      </c>
      <c r="AQ794">
        <f t="shared" si="175"/>
        <v>0</v>
      </c>
      <c r="AT794" t="str">
        <f>IFERROR(VLOOKUP(AS794,tbFactorMes,2,FALSE),"")</f>
        <v/>
      </c>
      <c r="AU794">
        <f t="shared" si="176"/>
        <v>0</v>
      </c>
      <c r="AX794" t="str">
        <f>IFERROR(VLOOKUP(AW794,tbFactorMes,2,FALSE),"")</f>
        <v/>
      </c>
      <c r="AY794">
        <f t="shared" si="177"/>
        <v>0</v>
      </c>
      <c r="BB794" t="str">
        <f>IFERROR(VLOOKUP(BA794,tbFactorMes,2,FALSE),"")</f>
        <v/>
      </c>
      <c r="BC794">
        <f t="shared" si="178"/>
        <v>0</v>
      </c>
      <c r="BF794" t="str">
        <f>IFERROR(VLOOKUP(BE794,tbFactorMes,2,FALSE),"")</f>
        <v/>
      </c>
      <c r="BG794">
        <f t="shared" si="179"/>
        <v>0</v>
      </c>
      <c r="BH794">
        <f t="shared" si="180"/>
        <v>0</v>
      </c>
      <c r="BI794">
        <f t="shared" si="181"/>
        <v>0</v>
      </c>
    </row>
    <row r="795" spans="11:61" x14ac:dyDescent="0.35">
      <c r="K795" t="str">
        <f>IFERROR(VLOOKUP(F795,tbTurnos,3,FALSE),"")</f>
        <v/>
      </c>
      <c r="N795" t="str">
        <f>IFERROR(VLOOKUP(M795,tbFactorMes,2,FALSE),"")</f>
        <v/>
      </c>
      <c r="O795">
        <f t="shared" si="168"/>
        <v>0</v>
      </c>
      <c r="R795" t="str">
        <f>IFERROR(VLOOKUP(Q795,tbFactorMes,2,FALSE),"")</f>
        <v/>
      </c>
      <c r="S795">
        <f t="shared" si="169"/>
        <v>0</v>
      </c>
      <c r="V795" t="str">
        <f>IFERROR(VLOOKUP(U795,tbFactorMes,2,FALSE),"")</f>
        <v/>
      </c>
      <c r="W795">
        <f t="shared" si="170"/>
        <v>0</v>
      </c>
      <c r="Z795" t="str">
        <f>IFERROR(VLOOKUP(Y795,tbFactorMes,2,FALSE),"")</f>
        <v/>
      </c>
      <c r="AA795">
        <f t="shared" si="171"/>
        <v>0</v>
      </c>
      <c r="AD795" t="str">
        <f>IFERROR(VLOOKUP(AC795,tbFactorMes,2,FALSE),"")</f>
        <v/>
      </c>
      <c r="AE795">
        <f t="shared" si="172"/>
        <v>0</v>
      </c>
      <c r="AH795" t="str">
        <f>IFERROR(VLOOKUP(AG795,tbFactorMes,2,FALSE),"")</f>
        <v/>
      </c>
      <c r="AI795">
        <f t="shared" si="173"/>
        <v>0</v>
      </c>
      <c r="AL795" t="str">
        <f>IFERROR(VLOOKUP(AK795,tbFactorMes,2,FALSE),"")</f>
        <v/>
      </c>
      <c r="AM795">
        <f t="shared" si="174"/>
        <v>0</v>
      </c>
      <c r="AP795" t="str">
        <f>IFERROR(VLOOKUP(AO795,tbFactorMes,2,FALSE),"")</f>
        <v/>
      </c>
      <c r="AQ795">
        <f t="shared" si="175"/>
        <v>0</v>
      </c>
      <c r="AT795" t="str">
        <f>IFERROR(VLOOKUP(AS795,tbFactorMes,2,FALSE),"")</f>
        <v/>
      </c>
      <c r="AU795">
        <f t="shared" si="176"/>
        <v>0</v>
      </c>
      <c r="AX795" t="str">
        <f>IFERROR(VLOOKUP(AW795,tbFactorMes,2,FALSE),"")</f>
        <v/>
      </c>
      <c r="AY795">
        <f t="shared" si="177"/>
        <v>0</v>
      </c>
      <c r="BB795" t="str">
        <f>IFERROR(VLOOKUP(BA795,tbFactorMes,2,FALSE),"")</f>
        <v/>
      </c>
      <c r="BC795">
        <f t="shared" si="178"/>
        <v>0</v>
      </c>
      <c r="BF795" t="str">
        <f>IFERROR(VLOOKUP(BE795,tbFactorMes,2,FALSE),"")</f>
        <v/>
      </c>
      <c r="BG795">
        <f t="shared" si="179"/>
        <v>0</v>
      </c>
      <c r="BH795">
        <f t="shared" si="180"/>
        <v>0</v>
      </c>
      <c r="BI795">
        <f t="shared" si="181"/>
        <v>0</v>
      </c>
    </row>
    <row r="796" spans="11:61" x14ac:dyDescent="0.35">
      <c r="K796" t="str">
        <f>IFERROR(VLOOKUP(F796,tbTurnos,3,FALSE),"")</f>
        <v/>
      </c>
      <c r="N796" t="str">
        <f>IFERROR(VLOOKUP(M796,tbFactorMes,2,FALSE),"")</f>
        <v/>
      </c>
      <c r="O796">
        <f t="shared" si="168"/>
        <v>0</v>
      </c>
      <c r="R796" t="str">
        <f>IFERROR(VLOOKUP(Q796,tbFactorMes,2,FALSE),"")</f>
        <v/>
      </c>
      <c r="S796">
        <f t="shared" si="169"/>
        <v>0</v>
      </c>
      <c r="V796" t="str">
        <f>IFERROR(VLOOKUP(U796,tbFactorMes,2,FALSE),"")</f>
        <v/>
      </c>
      <c r="W796">
        <f t="shared" si="170"/>
        <v>0</v>
      </c>
      <c r="Z796" t="str">
        <f>IFERROR(VLOOKUP(Y796,tbFactorMes,2,FALSE),"")</f>
        <v/>
      </c>
      <c r="AA796">
        <f t="shared" si="171"/>
        <v>0</v>
      </c>
      <c r="AD796" t="str">
        <f>IFERROR(VLOOKUP(AC796,tbFactorMes,2,FALSE),"")</f>
        <v/>
      </c>
      <c r="AE796">
        <f t="shared" si="172"/>
        <v>0</v>
      </c>
      <c r="AH796" t="str">
        <f>IFERROR(VLOOKUP(AG796,tbFactorMes,2,FALSE),"")</f>
        <v/>
      </c>
      <c r="AI796">
        <f t="shared" si="173"/>
        <v>0</v>
      </c>
      <c r="AL796" t="str">
        <f>IFERROR(VLOOKUP(AK796,tbFactorMes,2,FALSE),"")</f>
        <v/>
      </c>
      <c r="AM796">
        <f t="shared" si="174"/>
        <v>0</v>
      </c>
      <c r="AP796" t="str">
        <f>IFERROR(VLOOKUP(AO796,tbFactorMes,2,FALSE),"")</f>
        <v/>
      </c>
      <c r="AQ796">
        <f t="shared" si="175"/>
        <v>0</v>
      </c>
      <c r="AT796" t="str">
        <f>IFERROR(VLOOKUP(AS796,tbFactorMes,2,FALSE),"")</f>
        <v/>
      </c>
      <c r="AU796">
        <f t="shared" si="176"/>
        <v>0</v>
      </c>
      <c r="AX796" t="str">
        <f>IFERROR(VLOOKUP(AW796,tbFactorMes,2,FALSE),"")</f>
        <v/>
      </c>
      <c r="AY796">
        <f t="shared" si="177"/>
        <v>0</v>
      </c>
      <c r="BB796" t="str">
        <f>IFERROR(VLOOKUP(BA796,tbFactorMes,2,FALSE),"")</f>
        <v/>
      </c>
      <c r="BC796">
        <f t="shared" si="178"/>
        <v>0</v>
      </c>
      <c r="BF796" t="str">
        <f>IFERROR(VLOOKUP(BE796,tbFactorMes,2,FALSE),"")</f>
        <v/>
      </c>
      <c r="BG796">
        <f t="shared" si="179"/>
        <v>0</v>
      </c>
      <c r="BH796">
        <f t="shared" si="180"/>
        <v>0</v>
      </c>
      <c r="BI796">
        <f t="shared" si="181"/>
        <v>0</v>
      </c>
    </row>
    <row r="797" spans="11:61" x14ac:dyDescent="0.35">
      <c r="K797" t="str">
        <f>IFERROR(VLOOKUP(F797,tbTurnos,3,FALSE),"")</f>
        <v/>
      </c>
      <c r="N797" t="str">
        <f>IFERROR(VLOOKUP(M797,tbFactorMes,2,FALSE),"")</f>
        <v/>
      </c>
      <c r="O797">
        <f t="shared" si="168"/>
        <v>0</v>
      </c>
      <c r="R797" t="str">
        <f>IFERROR(VLOOKUP(Q797,tbFactorMes,2,FALSE),"")</f>
        <v/>
      </c>
      <c r="S797">
        <f t="shared" si="169"/>
        <v>0</v>
      </c>
      <c r="V797" t="str">
        <f>IFERROR(VLOOKUP(U797,tbFactorMes,2,FALSE),"")</f>
        <v/>
      </c>
      <c r="W797">
        <f t="shared" si="170"/>
        <v>0</v>
      </c>
      <c r="Z797" t="str">
        <f>IFERROR(VLOOKUP(Y797,tbFactorMes,2,FALSE),"")</f>
        <v/>
      </c>
      <c r="AA797">
        <f t="shared" si="171"/>
        <v>0</v>
      </c>
      <c r="AD797" t="str">
        <f>IFERROR(VLOOKUP(AC797,tbFactorMes,2,FALSE),"")</f>
        <v/>
      </c>
      <c r="AE797">
        <f t="shared" si="172"/>
        <v>0</v>
      </c>
      <c r="AH797" t="str">
        <f>IFERROR(VLOOKUP(AG797,tbFactorMes,2,FALSE),"")</f>
        <v/>
      </c>
      <c r="AI797">
        <f t="shared" si="173"/>
        <v>0</v>
      </c>
      <c r="AL797" t="str">
        <f>IFERROR(VLOOKUP(AK797,tbFactorMes,2,FALSE),"")</f>
        <v/>
      </c>
      <c r="AM797">
        <f t="shared" si="174"/>
        <v>0</v>
      </c>
      <c r="AP797" t="str">
        <f>IFERROR(VLOOKUP(AO797,tbFactorMes,2,FALSE),"")</f>
        <v/>
      </c>
      <c r="AQ797">
        <f t="shared" si="175"/>
        <v>0</v>
      </c>
      <c r="AT797" t="str">
        <f>IFERROR(VLOOKUP(AS797,tbFactorMes,2,FALSE),"")</f>
        <v/>
      </c>
      <c r="AU797">
        <f t="shared" si="176"/>
        <v>0</v>
      </c>
      <c r="AX797" t="str">
        <f>IFERROR(VLOOKUP(AW797,tbFactorMes,2,FALSE),"")</f>
        <v/>
      </c>
      <c r="AY797">
        <f t="shared" si="177"/>
        <v>0</v>
      </c>
      <c r="BB797" t="str">
        <f>IFERROR(VLOOKUP(BA797,tbFactorMes,2,FALSE),"")</f>
        <v/>
      </c>
      <c r="BC797">
        <f t="shared" si="178"/>
        <v>0</v>
      </c>
      <c r="BF797" t="str">
        <f>IFERROR(VLOOKUP(BE797,tbFactorMes,2,FALSE),"")</f>
        <v/>
      </c>
      <c r="BG797">
        <f t="shared" si="179"/>
        <v>0</v>
      </c>
      <c r="BH797">
        <f t="shared" si="180"/>
        <v>0</v>
      </c>
      <c r="BI797">
        <f t="shared" si="181"/>
        <v>0</v>
      </c>
    </row>
    <row r="798" spans="11:61" x14ac:dyDescent="0.35">
      <c r="K798" t="str">
        <f>IFERROR(VLOOKUP(F798,tbTurnos,3,FALSE),"")</f>
        <v/>
      </c>
      <c r="N798" t="str">
        <f>IFERROR(VLOOKUP(M798,tbFactorMes,2,FALSE),"")</f>
        <v/>
      </c>
      <c r="O798">
        <f t="shared" si="168"/>
        <v>0</v>
      </c>
      <c r="R798" t="str">
        <f>IFERROR(VLOOKUP(Q798,tbFactorMes,2,FALSE),"")</f>
        <v/>
      </c>
      <c r="S798">
        <f t="shared" si="169"/>
        <v>0</v>
      </c>
      <c r="V798" t="str">
        <f>IFERROR(VLOOKUP(U798,tbFactorMes,2,FALSE),"")</f>
        <v/>
      </c>
      <c r="W798">
        <f t="shared" si="170"/>
        <v>0</v>
      </c>
      <c r="Z798" t="str">
        <f>IFERROR(VLOOKUP(Y798,tbFactorMes,2,FALSE),"")</f>
        <v/>
      </c>
      <c r="AA798">
        <f t="shared" si="171"/>
        <v>0</v>
      </c>
      <c r="AD798" t="str">
        <f>IFERROR(VLOOKUP(AC798,tbFactorMes,2,FALSE),"")</f>
        <v/>
      </c>
      <c r="AE798">
        <f t="shared" si="172"/>
        <v>0</v>
      </c>
      <c r="AH798" t="str">
        <f>IFERROR(VLOOKUP(AG798,tbFactorMes,2,FALSE),"")</f>
        <v/>
      </c>
      <c r="AI798">
        <f t="shared" si="173"/>
        <v>0</v>
      </c>
      <c r="AL798" t="str">
        <f>IFERROR(VLOOKUP(AK798,tbFactorMes,2,FALSE),"")</f>
        <v/>
      </c>
      <c r="AM798">
        <f t="shared" si="174"/>
        <v>0</v>
      </c>
      <c r="AP798" t="str">
        <f>IFERROR(VLOOKUP(AO798,tbFactorMes,2,FALSE),"")</f>
        <v/>
      </c>
      <c r="AQ798">
        <f t="shared" si="175"/>
        <v>0</v>
      </c>
      <c r="AT798" t="str">
        <f>IFERROR(VLOOKUP(AS798,tbFactorMes,2,FALSE),"")</f>
        <v/>
      </c>
      <c r="AU798">
        <f t="shared" si="176"/>
        <v>0</v>
      </c>
      <c r="AX798" t="str">
        <f>IFERROR(VLOOKUP(AW798,tbFactorMes,2,FALSE),"")</f>
        <v/>
      </c>
      <c r="AY798">
        <f t="shared" si="177"/>
        <v>0</v>
      </c>
      <c r="BB798" t="str">
        <f>IFERROR(VLOOKUP(BA798,tbFactorMes,2,FALSE),"")</f>
        <v/>
      </c>
      <c r="BC798">
        <f t="shared" si="178"/>
        <v>0</v>
      </c>
      <c r="BF798" t="str">
        <f>IFERROR(VLOOKUP(BE798,tbFactorMes,2,FALSE),"")</f>
        <v/>
      </c>
      <c r="BG798">
        <f t="shared" si="179"/>
        <v>0</v>
      </c>
      <c r="BH798">
        <f t="shared" si="180"/>
        <v>0</v>
      </c>
      <c r="BI798">
        <f t="shared" si="181"/>
        <v>0</v>
      </c>
    </row>
    <row r="799" spans="11:61" x14ac:dyDescent="0.35">
      <c r="K799" t="str">
        <f>IFERROR(VLOOKUP(F799,tbTurnos,3,FALSE),"")</f>
        <v/>
      </c>
      <c r="N799" t="str">
        <f>IFERROR(VLOOKUP(M799,tbFactorMes,2,FALSE),"")</f>
        <v/>
      </c>
      <c r="O799">
        <f t="shared" si="168"/>
        <v>0</v>
      </c>
      <c r="R799" t="str">
        <f>IFERROR(VLOOKUP(Q799,tbFactorMes,2,FALSE),"")</f>
        <v/>
      </c>
      <c r="S799">
        <f t="shared" si="169"/>
        <v>0</v>
      </c>
      <c r="V799" t="str">
        <f>IFERROR(VLOOKUP(U799,tbFactorMes,2,FALSE),"")</f>
        <v/>
      </c>
      <c r="W799">
        <f t="shared" si="170"/>
        <v>0</v>
      </c>
      <c r="Z799" t="str">
        <f>IFERROR(VLOOKUP(Y799,tbFactorMes,2,FALSE),"")</f>
        <v/>
      </c>
      <c r="AA799">
        <f t="shared" si="171"/>
        <v>0</v>
      </c>
      <c r="AD799" t="str">
        <f>IFERROR(VLOOKUP(AC799,tbFactorMes,2,FALSE),"")</f>
        <v/>
      </c>
      <c r="AE799">
        <f t="shared" si="172"/>
        <v>0</v>
      </c>
      <c r="AH799" t="str">
        <f>IFERROR(VLOOKUP(AG799,tbFactorMes,2,FALSE),"")</f>
        <v/>
      </c>
      <c r="AI799">
        <f t="shared" si="173"/>
        <v>0</v>
      </c>
      <c r="AL799" t="str">
        <f>IFERROR(VLOOKUP(AK799,tbFactorMes,2,FALSE),"")</f>
        <v/>
      </c>
      <c r="AM799">
        <f t="shared" si="174"/>
        <v>0</v>
      </c>
      <c r="AP799" t="str">
        <f>IFERROR(VLOOKUP(AO799,tbFactorMes,2,FALSE),"")</f>
        <v/>
      </c>
      <c r="AQ799">
        <f t="shared" si="175"/>
        <v>0</v>
      </c>
      <c r="AT799" t="str">
        <f>IFERROR(VLOOKUP(AS799,tbFactorMes,2,FALSE),"")</f>
        <v/>
      </c>
      <c r="AU799">
        <f t="shared" si="176"/>
        <v>0</v>
      </c>
      <c r="AX799" t="str">
        <f>IFERROR(VLOOKUP(AW799,tbFactorMes,2,FALSE),"")</f>
        <v/>
      </c>
      <c r="AY799">
        <f t="shared" si="177"/>
        <v>0</v>
      </c>
      <c r="BB799" t="str">
        <f>IFERROR(VLOOKUP(BA799,tbFactorMes,2,FALSE),"")</f>
        <v/>
      </c>
      <c r="BC799">
        <f t="shared" si="178"/>
        <v>0</v>
      </c>
      <c r="BF799" t="str">
        <f>IFERROR(VLOOKUP(BE799,tbFactorMes,2,FALSE),"")</f>
        <v/>
      </c>
      <c r="BG799">
        <f t="shared" si="179"/>
        <v>0</v>
      </c>
      <c r="BH799">
        <f t="shared" si="180"/>
        <v>0</v>
      </c>
      <c r="BI799">
        <f t="shared" si="181"/>
        <v>0</v>
      </c>
    </row>
    <row r="800" spans="11:61" x14ac:dyDescent="0.35">
      <c r="K800" t="str">
        <f>IFERROR(VLOOKUP(F800,tbTurnos,3,FALSE),"")</f>
        <v/>
      </c>
      <c r="N800" t="str">
        <f>IFERROR(VLOOKUP(M800,tbFactorMes,2,FALSE),"")</f>
        <v/>
      </c>
      <c r="O800">
        <f t="shared" si="168"/>
        <v>0</v>
      </c>
      <c r="R800" t="str">
        <f>IFERROR(VLOOKUP(Q800,tbFactorMes,2,FALSE),"")</f>
        <v/>
      </c>
      <c r="S800">
        <f t="shared" si="169"/>
        <v>0</v>
      </c>
      <c r="V800" t="str">
        <f>IFERROR(VLOOKUP(U800,tbFactorMes,2,FALSE),"")</f>
        <v/>
      </c>
      <c r="W800">
        <f t="shared" si="170"/>
        <v>0</v>
      </c>
      <c r="Z800" t="str">
        <f>IFERROR(VLOOKUP(Y800,tbFactorMes,2,FALSE),"")</f>
        <v/>
      </c>
      <c r="AA800">
        <f t="shared" si="171"/>
        <v>0</v>
      </c>
      <c r="AD800" t="str">
        <f>IFERROR(VLOOKUP(AC800,tbFactorMes,2,FALSE),"")</f>
        <v/>
      </c>
      <c r="AE800">
        <f t="shared" si="172"/>
        <v>0</v>
      </c>
      <c r="AH800" t="str">
        <f>IFERROR(VLOOKUP(AG800,tbFactorMes,2,FALSE),"")</f>
        <v/>
      </c>
      <c r="AI800">
        <f t="shared" si="173"/>
        <v>0</v>
      </c>
      <c r="AL800" t="str">
        <f>IFERROR(VLOOKUP(AK800,tbFactorMes,2,FALSE),"")</f>
        <v/>
      </c>
      <c r="AM800">
        <f t="shared" si="174"/>
        <v>0</v>
      </c>
      <c r="AP800" t="str">
        <f>IFERROR(VLOOKUP(AO800,tbFactorMes,2,FALSE),"")</f>
        <v/>
      </c>
      <c r="AQ800">
        <f t="shared" si="175"/>
        <v>0</v>
      </c>
      <c r="AT800" t="str">
        <f>IFERROR(VLOOKUP(AS800,tbFactorMes,2,FALSE),"")</f>
        <v/>
      </c>
      <c r="AU800">
        <f t="shared" si="176"/>
        <v>0</v>
      </c>
      <c r="AX800" t="str">
        <f>IFERROR(VLOOKUP(AW800,tbFactorMes,2,FALSE),"")</f>
        <v/>
      </c>
      <c r="AY800">
        <f t="shared" si="177"/>
        <v>0</v>
      </c>
      <c r="BB800" t="str">
        <f>IFERROR(VLOOKUP(BA800,tbFactorMes,2,FALSE),"")</f>
        <v/>
      </c>
      <c r="BC800">
        <f t="shared" si="178"/>
        <v>0</v>
      </c>
      <c r="BF800" t="str">
        <f>IFERROR(VLOOKUP(BE800,tbFactorMes,2,FALSE),"")</f>
        <v/>
      </c>
      <c r="BG800">
        <f t="shared" si="179"/>
        <v>0</v>
      </c>
      <c r="BH800">
        <f t="shared" si="180"/>
        <v>0</v>
      </c>
      <c r="BI800">
        <f t="shared" si="181"/>
        <v>0</v>
      </c>
    </row>
    <row r="801" spans="11:61" x14ac:dyDescent="0.35">
      <c r="K801" t="str">
        <f>IFERROR(VLOOKUP(F801,tbTurnos,3,FALSE),"")</f>
        <v/>
      </c>
      <c r="N801" t="str">
        <f>IFERROR(VLOOKUP(M801,tbFactorMes,2,FALSE),"")</f>
        <v/>
      </c>
      <c r="O801">
        <f t="shared" si="168"/>
        <v>0</v>
      </c>
      <c r="R801" t="str">
        <f>IFERROR(VLOOKUP(Q801,tbFactorMes,2,FALSE),"")</f>
        <v/>
      </c>
      <c r="S801">
        <f t="shared" si="169"/>
        <v>0</v>
      </c>
      <c r="V801" t="str">
        <f>IFERROR(VLOOKUP(U801,tbFactorMes,2,FALSE),"")</f>
        <v/>
      </c>
      <c r="W801">
        <f t="shared" si="170"/>
        <v>0</v>
      </c>
      <c r="Z801" t="str">
        <f>IFERROR(VLOOKUP(Y801,tbFactorMes,2,FALSE),"")</f>
        <v/>
      </c>
      <c r="AA801">
        <f t="shared" si="171"/>
        <v>0</v>
      </c>
      <c r="AD801" t="str">
        <f>IFERROR(VLOOKUP(AC801,tbFactorMes,2,FALSE),"")</f>
        <v/>
      </c>
      <c r="AE801">
        <f t="shared" si="172"/>
        <v>0</v>
      </c>
      <c r="AH801" t="str">
        <f>IFERROR(VLOOKUP(AG801,tbFactorMes,2,FALSE),"")</f>
        <v/>
      </c>
      <c r="AI801">
        <f t="shared" si="173"/>
        <v>0</v>
      </c>
      <c r="AL801" t="str">
        <f>IFERROR(VLOOKUP(AK801,tbFactorMes,2,FALSE),"")</f>
        <v/>
      </c>
      <c r="AM801">
        <f t="shared" si="174"/>
        <v>0</v>
      </c>
      <c r="AP801" t="str">
        <f>IFERROR(VLOOKUP(AO801,tbFactorMes,2,FALSE),"")</f>
        <v/>
      </c>
      <c r="AQ801">
        <f t="shared" si="175"/>
        <v>0</v>
      </c>
      <c r="AT801" t="str">
        <f>IFERROR(VLOOKUP(AS801,tbFactorMes,2,FALSE),"")</f>
        <v/>
      </c>
      <c r="AU801">
        <f t="shared" si="176"/>
        <v>0</v>
      </c>
      <c r="AX801" t="str">
        <f>IFERROR(VLOOKUP(AW801,tbFactorMes,2,FALSE),"")</f>
        <v/>
      </c>
      <c r="AY801">
        <f t="shared" si="177"/>
        <v>0</v>
      </c>
      <c r="BB801" t="str">
        <f>IFERROR(VLOOKUP(BA801,tbFactorMes,2,FALSE),"")</f>
        <v/>
      </c>
      <c r="BC801">
        <f t="shared" si="178"/>
        <v>0</v>
      </c>
      <c r="BF801" t="str">
        <f>IFERROR(VLOOKUP(BE801,tbFactorMes,2,FALSE),"")</f>
        <v/>
      </c>
      <c r="BG801">
        <f t="shared" si="179"/>
        <v>0</v>
      </c>
      <c r="BH801">
        <f t="shared" si="180"/>
        <v>0</v>
      </c>
      <c r="BI801">
        <f t="shared" si="181"/>
        <v>0</v>
      </c>
    </row>
    <row r="802" spans="11:61" x14ac:dyDescent="0.35">
      <c r="K802" t="str">
        <f>IFERROR(VLOOKUP(F802,tbTurnos,3,FALSE),"")</f>
        <v/>
      </c>
      <c r="N802" t="str">
        <f>IFERROR(VLOOKUP(M802,tbFactorMes,2,FALSE),"")</f>
        <v/>
      </c>
      <c r="O802">
        <f t="shared" si="168"/>
        <v>0</v>
      </c>
      <c r="R802" t="str">
        <f>IFERROR(VLOOKUP(Q802,tbFactorMes,2,FALSE),"")</f>
        <v/>
      </c>
      <c r="S802">
        <f t="shared" si="169"/>
        <v>0</v>
      </c>
      <c r="V802" t="str">
        <f>IFERROR(VLOOKUP(U802,tbFactorMes,2,FALSE),"")</f>
        <v/>
      </c>
      <c r="W802">
        <f t="shared" si="170"/>
        <v>0</v>
      </c>
      <c r="Z802" t="str">
        <f>IFERROR(VLOOKUP(Y802,tbFactorMes,2,FALSE),"")</f>
        <v/>
      </c>
      <c r="AA802">
        <f t="shared" si="171"/>
        <v>0</v>
      </c>
      <c r="AD802" t="str">
        <f>IFERROR(VLOOKUP(AC802,tbFactorMes,2,FALSE),"")</f>
        <v/>
      </c>
      <c r="AE802">
        <f t="shared" si="172"/>
        <v>0</v>
      </c>
      <c r="AH802" t="str">
        <f>IFERROR(VLOOKUP(AG802,tbFactorMes,2,FALSE),"")</f>
        <v/>
      </c>
      <c r="AI802">
        <f t="shared" si="173"/>
        <v>0</v>
      </c>
      <c r="AL802" t="str">
        <f>IFERROR(VLOOKUP(AK802,tbFactorMes,2,FALSE),"")</f>
        <v/>
      </c>
      <c r="AM802">
        <f t="shared" si="174"/>
        <v>0</v>
      </c>
      <c r="AP802" t="str">
        <f>IFERROR(VLOOKUP(AO802,tbFactorMes,2,FALSE),"")</f>
        <v/>
      </c>
      <c r="AQ802">
        <f t="shared" si="175"/>
        <v>0</v>
      </c>
      <c r="AT802" t="str">
        <f>IFERROR(VLOOKUP(AS802,tbFactorMes,2,FALSE),"")</f>
        <v/>
      </c>
      <c r="AU802">
        <f t="shared" si="176"/>
        <v>0</v>
      </c>
      <c r="AX802" t="str">
        <f>IFERROR(VLOOKUP(AW802,tbFactorMes,2,FALSE),"")</f>
        <v/>
      </c>
      <c r="AY802">
        <f t="shared" si="177"/>
        <v>0</v>
      </c>
      <c r="BB802" t="str">
        <f>IFERROR(VLOOKUP(BA802,tbFactorMes,2,FALSE),"")</f>
        <v/>
      </c>
      <c r="BC802">
        <f t="shared" si="178"/>
        <v>0</v>
      </c>
      <c r="BF802" t="str">
        <f>IFERROR(VLOOKUP(BE802,tbFactorMes,2,FALSE),"")</f>
        <v/>
      </c>
      <c r="BG802">
        <f t="shared" si="179"/>
        <v>0</v>
      </c>
      <c r="BH802">
        <f t="shared" si="180"/>
        <v>0</v>
      </c>
      <c r="BI802">
        <f t="shared" si="181"/>
        <v>0</v>
      </c>
    </row>
    <row r="803" spans="11:61" x14ac:dyDescent="0.35">
      <c r="K803" t="str">
        <f>IFERROR(VLOOKUP(F803,tbTurnos,3,FALSE),"")</f>
        <v/>
      </c>
      <c r="N803" t="str">
        <f>IFERROR(VLOOKUP(M803,tbFactorMes,2,FALSE),"")</f>
        <v/>
      </c>
      <c r="O803">
        <f t="shared" si="168"/>
        <v>0</v>
      </c>
      <c r="R803" t="str">
        <f>IFERROR(VLOOKUP(Q803,tbFactorMes,2,FALSE),"")</f>
        <v/>
      </c>
      <c r="S803">
        <f t="shared" si="169"/>
        <v>0</v>
      </c>
      <c r="V803" t="str">
        <f>IFERROR(VLOOKUP(U803,tbFactorMes,2,FALSE),"")</f>
        <v/>
      </c>
      <c r="W803">
        <f t="shared" si="170"/>
        <v>0</v>
      </c>
      <c r="Z803" t="str">
        <f>IFERROR(VLOOKUP(Y803,tbFactorMes,2,FALSE),"")</f>
        <v/>
      </c>
      <c r="AA803">
        <f t="shared" si="171"/>
        <v>0</v>
      </c>
      <c r="AD803" t="str">
        <f>IFERROR(VLOOKUP(AC803,tbFactorMes,2,FALSE),"")</f>
        <v/>
      </c>
      <c r="AE803">
        <f t="shared" si="172"/>
        <v>0</v>
      </c>
      <c r="AH803" t="str">
        <f>IFERROR(VLOOKUP(AG803,tbFactorMes,2,FALSE),"")</f>
        <v/>
      </c>
      <c r="AI803">
        <f t="shared" si="173"/>
        <v>0</v>
      </c>
      <c r="AL803" t="str">
        <f>IFERROR(VLOOKUP(AK803,tbFactorMes,2,FALSE),"")</f>
        <v/>
      </c>
      <c r="AM803">
        <f t="shared" si="174"/>
        <v>0</v>
      </c>
      <c r="AP803" t="str">
        <f>IFERROR(VLOOKUP(AO803,tbFactorMes,2,FALSE),"")</f>
        <v/>
      </c>
      <c r="AQ803">
        <f t="shared" si="175"/>
        <v>0</v>
      </c>
      <c r="AT803" t="str">
        <f>IFERROR(VLOOKUP(AS803,tbFactorMes,2,FALSE),"")</f>
        <v/>
      </c>
      <c r="AU803">
        <f t="shared" si="176"/>
        <v>0</v>
      </c>
      <c r="AX803" t="str">
        <f>IFERROR(VLOOKUP(AW803,tbFactorMes,2,FALSE),"")</f>
        <v/>
      </c>
      <c r="AY803">
        <f t="shared" si="177"/>
        <v>0</v>
      </c>
      <c r="BB803" t="str">
        <f>IFERROR(VLOOKUP(BA803,tbFactorMes,2,FALSE),"")</f>
        <v/>
      </c>
      <c r="BC803">
        <f t="shared" si="178"/>
        <v>0</v>
      </c>
      <c r="BF803" t="str">
        <f>IFERROR(VLOOKUP(BE803,tbFactorMes,2,FALSE),"")</f>
        <v/>
      </c>
      <c r="BG803">
        <f t="shared" si="179"/>
        <v>0</v>
      </c>
      <c r="BH803">
        <f t="shared" si="180"/>
        <v>0</v>
      </c>
      <c r="BI803">
        <f t="shared" si="181"/>
        <v>0</v>
      </c>
    </row>
    <row r="804" spans="11:61" x14ac:dyDescent="0.35">
      <c r="K804" t="str">
        <f>IFERROR(VLOOKUP(F804,tbTurnos,3,FALSE),"")</f>
        <v/>
      </c>
      <c r="N804" t="str">
        <f>IFERROR(VLOOKUP(M804,tbFactorMes,2,FALSE),"")</f>
        <v/>
      </c>
      <c r="O804">
        <f t="shared" si="168"/>
        <v>0</v>
      </c>
      <c r="R804" t="str">
        <f>IFERROR(VLOOKUP(Q804,tbFactorMes,2,FALSE),"")</f>
        <v/>
      </c>
      <c r="S804">
        <f t="shared" si="169"/>
        <v>0</v>
      </c>
      <c r="V804" t="str">
        <f>IFERROR(VLOOKUP(U804,tbFactorMes,2,FALSE),"")</f>
        <v/>
      </c>
      <c r="W804">
        <f t="shared" si="170"/>
        <v>0</v>
      </c>
      <c r="Z804" t="str">
        <f>IFERROR(VLOOKUP(Y804,tbFactorMes,2,FALSE),"")</f>
        <v/>
      </c>
      <c r="AA804">
        <f t="shared" si="171"/>
        <v>0</v>
      </c>
      <c r="AD804" t="str">
        <f>IFERROR(VLOOKUP(AC804,tbFactorMes,2,FALSE),"")</f>
        <v/>
      </c>
      <c r="AE804">
        <f t="shared" si="172"/>
        <v>0</v>
      </c>
      <c r="AH804" t="str">
        <f>IFERROR(VLOOKUP(AG804,tbFactorMes,2,FALSE),"")</f>
        <v/>
      </c>
      <c r="AI804">
        <f t="shared" si="173"/>
        <v>0</v>
      </c>
      <c r="AL804" t="str">
        <f>IFERROR(VLOOKUP(AK804,tbFactorMes,2,FALSE),"")</f>
        <v/>
      </c>
      <c r="AM804">
        <f t="shared" si="174"/>
        <v>0</v>
      </c>
      <c r="AP804" t="str">
        <f>IFERROR(VLOOKUP(AO804,tbFactorMes,2,FALSE),"")</f>
        <v/>
      </c>
      <c r="AQ804">
        <f t="shared" si="175"/>
        <v>0</v>
      </c>
      <c r="AT804" t="str">
        <f>IFERROR(VLOOKUP(AS804,tbFactorMes,2,FALSE),"")</f>
        <v/>
      </c>
      <c r="AU804">
        <f t="shared" si="176"/>
        <v>0</v>
      </c>
      <c r="AX804" t="str">
        <f>IFERROR(VLOOKUP(AW804,tbFactorMes,2,FALSE),"")</f>
        <v/>
      </c>
      <c r="AY804">
        <f t="shared" si="177"/>
        <v>0</v>
      </c>
      <c r="BB804" t="str">
        <f>IFERROR(VLOOKUP(BA804,tbFactorMes,2,FALSE),"")</f>
        <v/>
      </c>
      <c r="BC804">
        <f t="shared" si="178"/>
        <v>0</v>
      </c>
      <c r="BF804" t="str">
        <f>IFERROR(VLOOKUP(BE804,tbFactorMes,2,FALSE),"")</f>
        <v/>
      </c>
      <c r="BG804">
        <f t="shared" si="179"/>
        <v>0</v>
      </c>
      <c r="BH804">
        <f t="shared" si="180"/>
        <v>0</v>
      </c>
      <c r="BI804">
        <f t="shared" si="181"/>
        <v>0</v>
      </c>
    </row>
    <row r="805" spans="11:61" x14ac:dyDescent="0.35">
      <c r="K805" t="str">
        <f>IFERROR(VLOOKUP(F805,tbTurnos,3,FALSE),"")</f>
        <v/>
      </c>
      <c r="N805" t="str">
        <f>IFERROR(VLOOKUP(M805,tbFactorMes,2,FALSE),"")</f>
        <v/>
      </c>
      <c r="O805">
        <f t="shared" si="168"/>
        <v>0</v>
      </c>
      <c r="R805" t="str">
        <f>IFERROR(VLOOKUP(Q805,tbFactorMes,2,FALSE),"")</f>
        <v/>
      </c>
      <c r="S805">
        <f t="shared" si="169"/>
        <v>0</v>
      </c>
      <c r="V805" t="str">
        <f>IFERROR(VLOOKUP(U805,tbFactorMes,2,FALSE),"")</f>
        <v/>
      </c>
      <c r="W805">
        <f t="shared" si="170"/>
        <v>0</v>
      </c>
      <c r="Z805" t="str">
        <f>IFERROR(VLOOKUP(Y805,tbFactorMes,2,FALSE),"")</f>
        <v/>
      </c>
      <c r="AA805">
        <f t="shared" si="171"/>
        <v>0</v>
      </c>
      <c r="AD805" t="str">
        <f>IFERROR(VLOOKUP(AC805,tbFactorMes,2,FALSE),"")</f>
        <v/>
      </c>
      <c r="AE805">
        <f t="shared" si="172"/>
        <v>0</v>
      </c>
      <c r="AH805" t="str">
        <f>IFERROR(VLOOKUP(AG805,tbFactorMes,2,FALSE),"")</f>
        <v/>
      </c>
      <c r="AI805">
        <f t="shared" si="173"/>
        <v>0</v>
      </c>
      <c r="AL805" t="str">
        <f>IFERROR(VLOOKUP(AK805,tbFactorMes,2,FALSE),"")</f>
        <v/>
      </c>
      <c r="AM805">
        <f t="shared" si="174"/>
        <v>0</v>
      </c>
      <c r="AP805" t="str">
        <f>IFERROR(VLOOKUP(AO805,tbFactorMes,2,FALSE),"")</f>
        <v/>
      </c>
      <c r="AQ805">
        <f t="shared" si="175"/>
        <v>0</v>
      </c>
      <c r="AT805" t="str">
        <f>IFERROR(VLOOKUP(AS805,tbFactorMes,2,FALSE),"")</f>
        <v/>
      </c>
      <c r="AU805">
        <f t="shared" si="176"/>
        <v>0</v>
      </c>
      <c r="AX805" t="str">
        <f>IFERROR(VLOOKUP(AW805,tbFactorMes,2,FALSE),"")</f>
        <v/>
      </c>
      <c r="AY805">
        <f t="shared" si="177"/>
        <v>0</v>
      </c>
      <c r="BB805" t="str">
        <f>IFERROR(VLOOKUP(BA805,tbFactorMes,2,FALSE),"")</f>
        <v/>
      </c>
      <c r="BC805">
        <f t="shared" si="178"/>
        <v>0</v>
      </c>
      <c r="BF805" t="str">
        <f>IFERROR(VLOOKUP(BE805,tbFactorMes,2,FALSE),"")</f>
        <v/>
      </c>
      <c r="BG805">
        <f t="shared" si="179"/>
        <v>0</v>
      </c>
      <c r="BH805">
        <f t="shared" si="180"/>
        <v>0</v>
      </c>
      <c r="BI805">
        <f t="shared" si="181"/>
        <v>0</v>
      </c>
    </row>
    <row r="806" spans="11:61" x14ac:dyDescent="0.35">
      <c r="K806" t="str">
        <f>IFERROR(VLOOKUP(F806,tbTurnos,3,FALSE),"")</f>
        <v/>
      </c>
      <c r="N806" t="str">
        <f>IFERROR(VLOOKUP(M806,tbFactorMes,2,FALSE),"")</f>
        <v/>
      </c>
      <c r="O806">
        <f t="shared" si="168"/>
        <v>0</v>
      </c>
      <c r="R806" t="str">
        <f>IFERROR(VLOOKUP(Q806,tbFactorMes,2,FALSE),"")</f>
        <v/>
      </c>
      <c r="S806">
        <f t="shared" si="169"/>
        <v>0</v>
      </c>
      <c r="V806" t="str">
        <f>IFERROR(VLOOKUP(U806,tbFactorMes,2,FALSE),"")</f>
        <v/>
      </c>
      <c r="W806">
        <f t="shared" si="170"/>
        <v>0</v>
      </c>
      <c r="Z806" t="str">
        <f>IFERROR(VLOOKUP(Y806,tbFactorMes,2,FALSE),"")</f>
        <v/>
      </c>
      <c r="AA806">
        <f t="shared" si="171"/>
        <v>0</v>
      </c>
      <c r="AD806" t="str">
        <f>IFERROR(VLOOKUP(AC806,tbFactorMes,2,FALSE),"")</f>
        <v/>
      </c>
      <c r="AE806">
        <f t="shared" si="172"/>
        <v>0</v>
      </c>
      <c r="AH806" t="str">
        <f>IFERROR(VLOOKUP(AG806,tbFactorMes,2,FALSE),"")</f>
        <v/>
      </c>
      <c r="AI806">
        <f t="shared" si="173"/>
        <v>0</v>
      </c>
      <c r="AL806" t="str">
        <f>IFERROR(VLOOKUP(AK806,tbFactorMes,2,FALSE),"")</f>
        <v/>
      </c>
      <c r="AM806">
        <f t="shared" si="174"/>
        <v>0</v>
      </c>
      <c r="AP806" t="str">
        <f>IFERROR(VLOOKUP(AO806,tbFactorMes,2,FALSE),"")</f>
        <v/>
      </c>
      <c r="AQ806">
        <f t="shared" si="175"/>
        <v>0</v>
      </c>
      <c r="AT806" t="str">
        <f>IFERROR(VLOOKUP(AS806,tbFactorMes,2,FALSE),"")</f>
        <v/>
      </c>
      <c r="AU806">
        <f t="shared" si="176"/>
        <v>0</v>
      </c>
      <c r="AX806" t="str">
        <f>IFERROR(VLOOKUP(AW806,tbFactorMes,2,FALSE),"")</f>
        <v/>
      </c>
      <c r="AY806">
        <f t="shared" si="177"/>
        <v>0</v>
      </c>
      <c r="BB806" t="str">
        <f>IFERROR(VLOOKUP(BA806,tbFactorMes,2,FALSE),"")</f>
        <v/>
      </c>
      <c r="BC806">
        <f t="shared" si="178"/>
        <v>0</v>
      </c>
      <c r="BF806" t="str">
        <f>IFERROR(VLOOKUP(BE806,tbFactorMes,2,FALSE),"")</f>
        <v/>
      </c>
      <c r="BG806">
        <f t="shared" si="179"/>
        <v>0</v>
      </c>
      <c r="BH806">
        <f t="shared" si="180"/>
        <v>0</v>
      </c>
      <c r="BI806">
        <f t="shared" si="181"/>
        <v>0</v>
      </c>
    </row>
    <row r="807" spans="11:61" x14ac:dyDescent="0.35">
      <c r="K807" t="str">
        <f>IFERROR(VLOOKUP(F807,tbTurnos,3,FALSE),"")</f>
        <v/>
      </c>
      <c r="N807" t="str">
        <f>IFERROR(VLOOKUP(M807,tbFactorMes,2,FALSE),"")</f>
        <v/>
      </c>
      <c r="O807">
        <f t="shared" si="168"/>
        <v>0</v>
      </c>
      <c r="R807" t="str">
        <f>IFERROR(VLOOKUP(Q807,tbFactorMes,2,FALSE),"")</f>
        <v/>
      </c>
      <c r="S807">
        <f t="shared" si="169"/>
        <v>0</v>
      </c>
      <c r="V807" t="str">
        <f>IFERROR(VLOOKUP(U807,tbFactorMes,2,FALSE),"")</f>
        <v/>
      </c>
      <c r="W807">
        <f t="shared" si="170"/>
        <v>0</v>
      </c>
      <c r="Z807" t="str">
        <f>IFERROR(VLOOKUP(Y807,tbFactorMes,2,FALSE),"")</f>
        <v/>
      </c>
      <c r="AA807">
        <f t="shared" si="171"/>
        <v>0</v>
      </c>
      <c r="AD807" t="str">
        <f>IFERROR(VLOOKUP(AC807,tbFactorMes,2,FALSE),"")</f>
        <v/>
      </c>
      <c r="AE807">
        <f t="shared" si="172"/>
        <v>0</v>
      </c>
      <c r="AH807" t="str">
        <f>IFERROR(VLOOKUP(AG807,tbFactorMes,2,FALSE),"")</f>
        <v/>
      </c>
      <c r="AI807">
        <f t="shared" si="173"/>
        <v>0</v>
      </c>
      <c r="AL807" t="str">
        <f>IFERROR(VLOOKUP(AK807,tbFactorMes,2,FALSE),"")</f>
        <v/>
      </c>
      <c r="AM807">
        <f t="shared" si="174"/>
        <v>0</v>
      </c>
      <c r="AP807" t="str">
        <f>IFERROR(VLOOKUP(AO807,tbFactorMes,2,FALSE),"")</f>
        <v/>
      </c>
      <c r="AQ807">
        <f t="shared" si="175"/>
        <v>0</v>
      </c>
      <c r="AT807" t="str">
        <f>IFERROR(VLOOKUP(AS807,tbFactorMes,2,FALSE),"")</f>
        <v/>
      </c>
      <c r="AU807">
        <f t="shared" si="176"/>
        <v>0</v>
      </c>
      <c r="AX807" t="str">
        <f>IFERROR(VLOOKUP(AW807,tbFactorMes,2,FALSE),"")</f>
        <v/>
      </c>
      <c r="AY807">
        <f t="shared" si="177"/>
        <v>0</v>
      </c>
      <c r="BB807" t="str">
        <f>IFERROR(VLOOKUP(BA807,tbFactorMes,2,FALSE),"")</f>
        <v/>
      </c>
      <c r="BC807">
        <f t="shared" si="178"/>
        <v>0</v>
      </c>
      <c r="BF807" t="str">
        <f>IFERROR(VLOOKUP(BE807,tbFactorMes,2,FALSE),"")</f>
        <v/>
      </c>
      <c r="BG807">
        <f t="shared" si="179"/>
        <v>0</v>
      </c>
      <c r="BH807">
        <f t="shared" si="180"/>
        <v>0</v>
      </c>
      <c r="BI807">
        <f t="shared" si="181"/>
        <v>0</v>
      </c>
    </row>
    <row r="808" spans="11:61" x14ac:dyDescent="0.35">
      <c r="K808" t="str">
        <f>IFERROR(VLOOKUP(F808,tbTurnos,3,FALSE),"")</f>
        <v/>
      </c>
      <c r="N808" t="str">
        <f>IFERROR(VLOOKUP(M808,tbFactorMes,2,FALSE),"")</f>
        <v/>
      </c>
      <c r="O808">
        <f t="shared" si="168"/>
        <v>0</v>
      </c>
      <c r="R808" t="str">
        <f>IFERROR(VLOOKUP(Q808,tbFactorMes,2,FALSE),"")</f>
        <v/>
      </c>
      <c r="S808">
        <f t="shared" si="169"/>
        <v>0</v>
      </c>
      <c r="V808" t="str">
        <f>IFERROR(VLOOKUP(U808,tbFactorMes,2,FALSE),"")</f>
        <v/>
      </c>
      <c r="W808">
        <f t="shared" si="170"/>
        <v>0</v>
      </c>
      <c r="Z808" t="str">
        <f>IFERROR(VLOOKUP(Y808,tbFactorMes,2,FALSE),"")</f>
        <v/>
      </c>
      <c r="AA808">
        <f t="shared" si="171"/>
        <v>0</v>
      </c>
      <c r="AD808" t="str">
        <f>IFERROR(VLOOKUP(AC808,tbFactorMes,2,FALSE),"")</f>
        <v/>
      </c>
      <c r="AE808">
        <f t="shared" si="172"/>
        <v>0</v>
      </c>
      <c r="AH808" t="str">
        <f>IFERROR(VLOOKUP(AG808,tbFactorMes,2,FALSE),"")</f>
        <v/>
      </c>
      <c r="AI808">
        <f t="shared" si="173"/>
        <v>0</v>
      </c>
      <c r="AL808" t="str">
        <f>IFERROR(VLOOKUP(AK808,tbFactorMes,2,FALSE),"")</f>
        <v/>
      </c>
      <c r="AM808">
        <f t="shared" si="174"/>
        <v>0</v>
      </c>
      <c r="AP808" t="str">
        <f>IFERROR(VLOOKUP(AO808,tbFactorMes,2,FALSE),"")</f>
        <v/>
      </c>
      <c r="AQ808">
        <f t="shared" si="175"/>
        <v>0</v>
      </c>
      <c r="AT808" t="str">
        <f>IFERROR(VLOOKUP(AS808,tbFactorMes,2,FALSE),"")</f>
        <v/>
      </c>
      <c r="AU808">
        <f t="shared" si="176"/>
        <v>0</v>
      </c>
      <c r="AX808" t="str">
        <f>IFERROR(VLOOKUP(AW808,tbFactorMes,2,FALSE),"")</f>
        <v/>
      </c>
      <c r="AY808">
        <f t="shared" si="177"/>
        <v>0</v>
      </c>
      <c r="BB808" t="str">
        <f>IFERROR(VLOOKUP(BA808,tbFactorMes,2,FALSE),"")</f>
        <v/>
      </c>
      <c r="BC808">
        <f t="shared" si="178"/>
        <v>0</v>
      </c>
      <c r="BF808" t="str">
        <f>IFERROR(VLOOKUP(BE808,tbFactorMes,2,FALSE),"")</f>
        <v/>
      </c>
      <c r="BG808">
        <f t="shared" si="179"/>
        <v>0</v>
      </c>
      <c r="BH808">
        <f t="shared" si="180"/>
        <v>0</v>
      </c>
      <c r="BI808">
        <f t="shared" si="181"/>
        <v>0</v>
      </c>
    </row>
    <row r="809" spans="11:61" x14ac:dyDescent="0.35">
      <c r="K809" t="str">
        <f>IFERROR(VLOOKUP(F809,tbTurnos,3,FALSE),"")</f>
        <v/>
      </c>
      <c r="N809" t="str">
        <f>IFERROR(VLOOKUP(M809,tbFactorMes,2,FALSE),"")</f>
        <v/>
      </c>
      <c r="O809">
        <f t="shared" si="168"/>
        <v>0</v>
      </c>
      <c r="R809" t="str">
        <f>IFERROR(VLOOKUP(Q809,tbFactorMes,2,FALSE),"")</f>
        <v/>
      </c>
      <c r="S809">
        <f t="shared" si="169"/>
        <v>0</v>
      </c>
      <c r="V809" t="str">
        <f>IFERROR(VLOOKUP(U809,tbFactorMes,2,FALSE),"")</f>
        <v/>
      </c>
      <c r="W809">
        <f t="shared" si="170"/>
        <v>0</v>
      </c>
      <c r="Z809" t="str">
        <f>IFERROR(VLOOKUP(Y809,tbFactorMes,2,FALSE),"")</f>
        <v/>
      </c>
      <c r="AA809">
        <f t="shared" si="171"/>
        <v>0</v>
      </c>
      <c r="AD809" t="str">
        <f>IFERROR(VLOOKUP(AC809,tbFactorMes,2,FALSE),"")</f>
        <v/>
      </c>
      <c r="AE809">
        <f t="shared" si="172"/>
        <v>0</v>
      </c>
      <c r="AH809" t="str">
        <f>IFERROR(VLOOKUP(AG809,tbFactorMes,2,FALSE),"")</f>
        <v/>
      </c>
      <c r="AI809">
        <f t="shared" si="173"/>
        <v>0</v>
      </c>
      <c r="AL809" t="str">
        <f>IFERROR(VLOOKUP(AK809,tbFactorMes,2,FALSE),"")</f>
        <v/>
      </c>
      <c r="AM809">
        <f t="shared" si="174"/>
        <v>0</v>
      </c>
      <c r="AP809" t="str">
        <f>IFERROR(VLOOKUP(AO809,tbFactorMes,2,FALSE),"")</f>
        <v/>
      </c>
      <c r="AQ809">
        <f t="shared" si="175"/>
        <v>0</v>
      </c>
      <c r="AT809" t="str">
        <f>IFERROR(VLOOKUP(AS809,tbFactorMes,2,FALSE),"")</f>
        <v/>
      </c>
      <c r="AU809">
        <f t="shared" si="176"/>
        <v>0</v>
      </c>
      <c r="AX809" t="str">
        <f>IFERROR(VLOOKUP(AW809,tbFactorMes,2,FALSE),"")</f>
        <v/>
      </c>
      <c r="AY809">
        <f t="shared" si="177"/>
        <v>0</v>
      </c>
      <c r="BB809" t="str">
        <f>IFERROR(VLOOKUP(BA809,tbFactorMes,2,FALSE),"")</f>
        <v/>
      </c>
      <c r="BC809">
        <f t="shared" si="178"/>
        <v>0</v>
      </c>
      <c r="BF809" t="str">
        <f>IFERROR(VLOOKUP(BE809,tbFactorMes,2,FALSE),"")</f>
        <v/>
      </c>
      <c r="BG809">
        <f t="shared" si="179"/>
        <v>0</v>
      </c>
      <c r="BH809">
        <f t="shared" si="180"/>
        <v>0</v>
      </c>
      <c r="BI809">
        <f t="shared" si="181"/>
        <v>0</v>
      </c>
    </row>
    <row r="810" spans="11:61" x14ac:dyDescent="0.35">
      <c r="K810" t="str">
        <f>IFERROR(VLOOKUP(F810,tbTurnos,3,FALSE),"")</f>
        <v/>
      </c>
      <c r="N810" t="str">
        <f>IFERROR(VLOOKUP(M810,tbFactorMes,2,FALSE),"")</f>
        <v/>
      </c>
      <c r="O810">
        <f t="shared" si="168"/>
        <v>0</v>
      </c>
      <c r="R810" t="str">
        <f>IFERROR(VLOOKUP(Q810,tbFactorMes,2,FALSE),"")</f>
        <v/>
      </c>
      <c r="S810">
        <f t="shared" si="169"/>
        <v>0</v>
      </c>
      <c r="V810" t="str">
        <f>IFERROR(VLOOKUP(U810,tbFactorMes,2,FALSE),"")</f>
        <v/>
      </c>
      <c r="W810">
        <f t="shared" si="170"/>
        <v>0</v>
      </c>
      <c r="Z810" t="str">
        <f>IFERROR(VLOOKUP(Y810,tbFactorMes,2,FALSE),"")</f>
        <v/>
      </c>
      <c r="AA810">
        <f t="shared" si="171"/>
        <v>0</v>
      </c>
      <c r="AD810" t="str">
        <f>IFERROR(VLOOKUP(AC810,tbFactorMes,2,FALSE),"")</f>
        <v/>
      </c>
      <c r="AE810">
        <f t="shared" si="172"/>
        <v>0</v>
      </c>
      <c r="AH810" t="str">
        <f>IFERROR(VLOOKUP(AG810,tbFactorMes,2,FALSE),"")</f>
        <v/>
      </c>
      <c r="AI810">
        <f t="shared" si="173"/>
        <v>0</v>
      </c>
      <c r="AL810" t="str">
        <f>IFERROR(VLOOKUP(AK810,tbFactorMes,2,FALSE),"")</f>
        <v/>
      </c>
      <c r="AM810">
        <f t="shared" si="174"/>
        <v>0</v>
      </c>
      <c r="AP810" t="str">
        <f>IFERROR(VLOOKUP(AO810,tbFactorMes,2,FALSE),"")</f>
        <v/>
      </c>
      <c r="AQ810">
        <f t="shared" si="175"/>
        <v>0</v>
      </c>
      <c r="AT810" t="str">
        <f>IFERROR(VLOOKUP(AS810,tbFactorMes,2,FALSE),"")</f>
        <v/>
      </c>
      <c r="AU810">
        <f t="shared" si="176"/>
        <v>0</v>
      </c>
      <c r="AX810" t="str">
        <f>IFERROR(VLOOKUP(AW810,tbFactorMes,2,FALSE),"")</f>
        <v/>
      </c>
      <c r="AY810">
        <f t="shared" si="177"/>
        <v>0</v>
      </c>
      <c r="BB810" t="str">
        <f>IFERROR(VLOOKUP(BA810,tbFactorMes,2,FALSE),"")</f>
        <v/>
      </c>
      <c r="BC810">
        <f t="shared" si="178"/>
        <v>0</v>
      </c>
      <c r="BF810" t="str">
        <f>IFERROR(VLOOKUP(BE810,tbFactorMes,2,FALSE),"")</f>
        <v/>
      </c>
      <c r="BG810">
        <f t="shared" si="179"/>
        <v>0</v>
      </c>
      <c r="BH810">
        <f t="shared" si="180"/>
        <v>0</v>
      </c>
      <c r="BI810">
        <f t="shared" si="181"/>
        <v>0</v>
      </c>
    </row>
    <row r="811" spans="11:61" x14ac:dyDescent="0.35">
      <c r="K811" t="str">
        <f>IFERROR(VLOOKUP(F811,tbTurnos,3,FALSE),"")</f>
        <v/>
      </c>
      <c r="N811" t="str">
        <f>IFERROR(VLOOKUP(M811,tbFactorMes,2,FALSE),"")</f>
        <v/>
      </c>
      <c r="O811">
        <f t="shared" si="168"/>
        <v>0</v>
      </c>
      <c r="R811" t="str">
        <f>IFERROR(VLOOKUP(Q811,tbFactorMes,2,FALSE),"")</f>
        <v/>
      </c>
      <c r="S811">
        <f t="shared" si="169"/>
        <v>0</v>
      </c>
      <c r="V811" t="str">
        <f>IFERROR(VLOOKUP(U811,tbFactorMes,2,FALSE),"")</f>
        <v/>
      </c>
      <c r="W811">
        <f t="shared" si="170"/>
        <v>0</v>
      </c>
      <c r="Z811" t="str">
        <f>IFERROR(VLOOKUP(Y811,tbFactorMes,2,FALSE),"")</f>
        <v/>
      </c>
      <c r="AA811">
        <f t="shared" si="171"/>
        <v>0</v>
      </c>
      <c r="AD811" t="str">
        <f>IFERROR(VLOOKUP(AC811,tbFactorMes,2,FALSE),"")</f>
        <v/>
      </c>
      <c r="AE811">
        <f t="shared" si="172"/>
        <v>0</v>
      </c>
      <c r="AH811" t="str">
        <f>IFERROR(VLOOKUP(AG811,tbFactorMes,2,FALSE),"")</f>
        <v/>
      </c>
      <c r="AI811">
        <f t="shared" si="173"/>
        <v>0</v>
      </c>
      <c r="AL811" t="str">
        <f>IFERROR(VLOOKUP(AK811,tbFactorMes,2,FALSE),"")</f>
        <v/>
      </c>
      <c r="AM811">
        <f t="shared" si="174"/>
        <v>0</v>
      </c>
      <c r="AP811" t="str">
        <f>IFERROR(VLOOKUP(AO811,tbFactorMes,2,FALSE),"")</f>
        <v/>
      </c>
      <c r="AQ811">
        <f t="shared" si="175"/>
        <v>0</v>
      </c>
      <c r="AT811" t="str">
        <f>IFERROR(VLOOKUP(AS811,tbFactorMes,2,FALSE),"")</f>
        <v/>
      </c>
      <c r="AU811">
        <f t="shared" si="176"/>
        <v>0</v>
      </c>
      <c r="AX811" t="str">
        <f>IFERROR(VLOOKUP(AW811,tbFactorMes,2,FALSE),"")</f>
        <v/>
      </c>
      <c r="AY811">
        <f t="shared" si="177"/>
        <v>0</v>
      </c>
      <c r="BB811" t="str">
        <f>IFERROR(VLOOKUP(BA811,tbFactorMes,2,FALSE),"")</f>
        <v/>
      </c>
      <c r="BC811">
        <f t="shared" si="178"/>
        <v>0</v>
      </c>
      <c r="BF811" t="str">
        <f>IFERROR(VLOOKUP(BE811,tbFactorMes,2,FALSE),"")</f>
        <v/>
      </c>
      <c r="BG811">
        <f t="shared" si="179"/>
        <v>0</v>
      </c>
      <c r="BH811">
        <f t="shared" si="180"/>
        <v>0</v>
      </c>
      <c r="BI811">
        <f t="shared" si="181"/>
        <v>0</v>
      </c>
    </row>
    <row r="812" spans="11:61" x14ac:dyDescent="0.35">
      <c r="K812" t="str">
        <f>IFERROR(VLOOKUP(F812,tbTurnos,3,FALSE),"")</f>
        <v/>
      </c>
      <c r="N812" t="str">
        <f>IFERROR(VLOOKUP(M812,tbFactorMes,2,FALSE),"")</f>
        <v/>
      </c>
      <c r="O812">
        <f t="shared" si="168"/>
        <v>0</v>
      </c>
      <c r="R812" t="str">
        <f>IFERROR(VLOOKUP(Q812,tbFactorMes,2,FALSE),"")</f>
        <v/>
      </c>
      <c r="S812">
        <f t="shared" si="169"/>
        <v>0</v>
      </c>
      <c r="V812" t="str">
        <f>IFERROR(VLOOKUP(U812,tbFactorMes,2,FALSE),"")</f>
        <v/>
      </c>
      <c r="W812">
        <f t="shared" si="170"/>
        <v>0</v>
      </c>
      <c r="Z812" t="str">
        <f>IFERROR(VLOOKUP(Y812,tbFactorMes,2,FALSE),"")</f>
        <v/>
      </c>
      <c r="AA812">
        <f t="shared" si="171"/>
        <v>0</v>
      </c>
      <c r="AD812" t="str">
        <f>IFERROR(VLOOKUP(AC812,tbFactorMes,2,FALSE),"")</f>
        <v/>
      </c>
      <c r="AE812">
        <f t="shared" si="172"/>
        <v>0</v>
      </c>
      <c r="AH812" t="str">
        <f>IFERROR(VLOOKUP(AG812,tbFactorMes,2,FALSE),"")</f>
        <v/>
      </c>
      <c r="AI812">
        <f t="shared" si="173"/>
        <v>0</v>
      </c>
      <c r="AL812" t="str">
        <f>IFERROR(VLOOKUP(AK812,tbFactorMes,2,FALSE),"")</f>
        <v/>
      </c>
      <c r="AM812">
        <f t="shared" si="174"/>
        <v>0</v>
      </c>
      <c r="AP812" t="str">
        <f>IFERROR(VLOOKUP(AO812,tbFactorMes,2,FALSE),"")</f>
        <v/>
      </c>
      <c r="AQ812">
        <f t="shared" si="175"/>
        <v>0</v>
      </c>
      <c r="AT812" t="str">
        <f>IFERROR(VLOOKUP(AS812,tbFactorMes,2,FALSE),"")</f>
        <v/>
      </c>
      <c r="AU812">
        <f t="shared" si="176"/>
        <v>0</v>
      </c>
      <c r="AX812" t="str">
        <f>IFERROR(VLOOKUP(AW812,tbFactorMes,2,FALSE),"")</f>
        <v/>
      </c>
      <c r="AY812">
        <f t="shared" si="177"/>
        <v>0</v>
      </c>
      <c r="BB812" t="str">
        <f>IFERROR(VLOOKUP(BA812,tbFactorMes,2,FALSE),"")</f>
        <v/>
      </c>
      <c r="BC812">
        <f t="shared" si="178"/>
        <v>0</v>
      </c>
      <c r="BF812" t="str">
        <f>IFERROR(VLOOKUP(BE812,tbFactorMes,2,FALSE),"")</f>
        <v/>
      </c>
      <c r="BG812">
        <f t="shared" si="179"/>
        <v>0</v>
      </c>
      <c r="BH812">
        <f t="shared" si="180"/>
        <v>0</v>
      </c>
      <c r="BI812">
        <f t="shared" si="181"/>
        <v>0</v>
      </c>
    </row>
    <row r="813" spans="11:61" x14ac:dyDescent="0.35">
      <c r="K813" t="str">
        <f>IFERROR(VLOOKUP(F813,tbTurnos,3,FALSE),"")</f>
        <v/>
      </c>
      <c r="N813" t="str">
        <f>IFERROR(VLOOKUP(M813,tbFactorMes,2,FALSE),"")</f>
        <v/>
      </c>
      <c r="O813">
        <f t="shared" si="168"/>
        <v>0</v>
      </c>
      <c r="R813" t="str">
        <f>IFERROR(VLOOKUP(Q813,tbFactorMes,2,FALSE),"")</f>
        <v/>
      </c>
      <c r="S813">
        <f t="shared" si="169"/>
        <v>0</v>
      </c>
      <c r="V813" t="str">
        <f>IFERROR(VLOOKUP(U813,tbFactorMes,2,FALSE),"")</f>
        <v/>
      </c>
      <c r="W813">
        <f t="shared" si="170"/>
        <v>0</v>
      </c>
      <c r="Z813" t="str">
        <f>IFERROR(VLOOKUP(Y813,tbFactorMes,2,FALSE),"")</f>
        <v/>
      </c>
      <c r="AA813">
        <f t="shared" si="171"/>
        <v>0</v>
      </c>
      <c r="AD813" t="str">
        <f>IFERROR(VLOOKUP(AC813,tbFactorMes,2,FALSE),"")</f>
        <v/>
      </c>
      <c r="AE813">
        <f t="shared" si="172"/>
        <v>0</v>
      </c>
      <c r="AH813" t="str">
        <f>IFERROR(VLOOKUP(AG813,tbFactorMes,2,FALSE),"")</f>
        <v/>
      </c>
      <c r="AI813">
        <f t="shared" si="173"/>
        <v>0</v>
      </c>
      <c r="AL813" t="str">
        <f>IFERROR(VLOOKUP(AK813,tbFactorMes,2,FALSE),"")</f>
        <v/>
      </c>
      <c r="AM813">
        <f t="shared" si="174"/>
        <v>0</v>
      </c>
      <c r="AP813" t="str">
        <f>IFERROR(VLOOKUP(AO813,tbFactorMes,2,FALSE),"")</f>
        <v/>
      </c>
      <c r="AQ813">
        <f t="shared" si="175"/>
        <v>0</v>
      </c>
      <c r="AT813" t="str">
        <f>IFERROR(VLOOKUP(AS813,tbFactorMes,2,FALSE),"")</f>
        <v/>
      </c>
      <c r="AU813">
        <f t="shared" si="176"/>
        <v>0</v>
      </c>
      <c r="AX813" t="str">
        <f>IFERROR(VLOOKUP(AW813,tbFactorMes,2,FALSE),"")</f>
        <v/>
      </c>
      <c r="AY813">
        <f t="shared" si="177"/>
        <v>0</v>
      </c>
      <c r="BB813" t="str">
        <f>IFERROR(VLOOKUP(BA813,tbFactorMes,2,FALSE),"")</f>
        <v/>
      </c>
      <c r="BC813">
        <f t="shared" si="178"/>
        <v>0</v>
      </c>
      <c r="BF813" t="str">
        <f>IFERROR(VLOOKUP(BE813,tbFactorMes,2,FALSE),"")</f>
        <v/>
      </c>
      <c r="BG813">
        <f t="shared" si="179"/>
        <v>0</v>
      </c>
      <c r="BH813">
        <f t="shared" si="180"/>
        <v>0</v>
      </c>
      <c r="BI813">
        <f t="shared" si="181"/>
        <v>0</v>
      </c>
    </row>
    <row r="814" spans="11:61" x14ac:dyDescent="0.35">
      <c r="K814" t="str">
        <f>IFERROR(VLOOKUP(F814,tbTurnos,3,FALSE),"")</f>
        <v/>
      </c>
      <c r="N814" t="str">
        <f>IFERROR(VLOOKUP(M814,tbFactorMes,2,FALSE),"")</f>
        <v/>
      </c>
      <c r="O814">
        <f t="shared" si="168"/>
        <v>0</v>
      </c>
      <c r="R814" t="str">
        <f>IFERROR(VLOOKUP(Q814,tbFactorMes,2,FALSE),"")</f>
        <v/>
      </c>
      <c r="S814">
        <f t="shared" si="169"/>
        <v>0</v>
      </c>
      <c r="V814" t="str">
        <f>IFERROR(VLOOKUP(U814,tbFactorMes,2,FALSE),"")</f>
        <v/>
      </c>
      <c r="W814">
        <f t="shared" si="170"/>
        <v>0</v>
      </c>
      <c r="Z814" t="str">
        <f>IFERROR(VLOOKUP(Y814,tbFactorMes,2,FALSE),"")</f>
        <v/>
      </c>
      <c r="AA814">
        <f t="shared" si="171"/>
        <v>0</v>
      </c>
      <c r="AD814" t="str">
        <f>IFERROR(VLOOKUP(AC814,tbFactorMes,2,FALSE),"")</f>
        <v/>
      </c>
      <c r="AE814">
        <f t="shared" si="172"/>
        <v>0</v>
      </c>
      <c r="AH814" t="str">
        <f>IFERROR(VLOOKUP(AG814,tbFactorMes,2,FALSE),"")</f>
        <v/>
      </c>
      <c r="AI814">
        <f t="shared" si="173"/>
        <v>0</v>
      </c>
      <c r="AL814" t="str">
        <f>IFERROR(VLOOKUP(AK814,tbFactorMes,2,FALSE),"")</f>
        <v/>
      </c>
      <c r="AM814">
        <f t="shared" si="174"/>
        <v>0</v>
      </c>
      <c r="AP814" t="str">
        <f>IFERROR(VLOOKUP(AO814,tbFactorMes,2,FALSE),"")</f>
        <v/>
      </c>
      <c r="AQ814">
        <f t="shared" si="175"/>
        <v>0</v>
      </c>
      <c r="AT814" t="str">
        <f>IFERROR(VLOOKUP(AS814,tbFactorMes,2,FALSE),"")</f>
        <v/>
      </c>
      <c r="AU814">
        <f t="shared" si="176"/>
        <v>0</v>
      </c>
      <c r="AX814" t="str">
        <f>IFERROR(VLOOKUP(AW814,tbFactorMes,2,FALSE),"")</f>
        <v/>
      </c>
      <c r="AY814">
        <f t="shared" si="177"/>
        <v>0</v>
      </c>
      <c r="BB814" t="str">
        <f>IFERROR(VLOOKUP(BA814,tbFactorMes,2,FALSE),"")</f>
        <v/>
      </c>
      <c r="BC814">
        <f t="shared" si="178"/>
        <v>0</v>
      </c>
      <c r="BF814" t="str">
        <f>IFERROR(VLOOKUP(BE814,tbFactorMes,2,FALSE),"")</f>
        <v/>
      </c>
      <c r="BG814">
        <f t="shared" si="179"/>
        <v>0</v>
      </c>
      <c r="BH814">
        <f t="shared" si="180"/>
        <v>0</v>
      </c>
      <c r="BI814">
        <f t="shared" si="181"/>
        <v>0</v>
      </c>
    </row>
    <row r="815" spans="11:61" x14ac:dyDescent="0.35">
      <c r="K815" t="str">
        <f>IFERROR(VLOOKUP(F815,tbTurnos,3,FALSE),"")</f>
        <v/>
      </c>
      <c r="N815" t="str">
        <f>IFERROR(VLOOKUP(M815,tbFactorMes,2,FALSE),"")</f>
        <v/>
      </c>
      <c r="O815">
        <f t="shared" si="168"/>
        <v>0</v>
      </c>
      <c r="R815" t="str">
        <f>IFERROR(VLOOKUP(Q815,tbFactorMes,2,FALSE),"")</f>
        <v/>
      </c>
      <c r="S815">
        <f t="shared" si="169"/>
        <v>0</v>
      </c>
      <c r="V815" t="str">
        <f>IFERROR(VLOOKUP(U815,tbFactorMes,2,FALSE),"")</f>
        <v/>
      </c>
      <c r="W815">
        <f t="shared" si="170"/>
        <v>0</v>
      </c>
      <c r="Z815" t="str">
        <f>IFERROR(VLOOKUP(Y815,tbFactorMes,2,FALSE),"")</f>
        <v/>
      </c>
      <c r="AA815">
        <f t="shared" si="171"/>
        <v>0</v>
      </c>
      <c r="AD815" t="str">
        <f>IFERROR(VLOOKUP(AC815,tbFactorMes,2,FALSE),"")</f>
        <v/>
      </c>
      <c r="AE815">
        <f t="shared" si="172"/>
        <v>0</v>
      </c>
      <c r="AH815" t="str">
        <f>IFERROR(VLOOKUP(AG815,tbFactorMes,2,FALSE),"")</f>
        <v/>
      </c>
      <c r="AI815">
        <f t="shared" si="173"/>
        <v>0</v>
      </c>
      <c r="AL815" t="str">
        <f>IFERROR(VLOOKUP(AK815,tbFactorMes,2,FALSE),"")</f>
        <v/>
      </c>
      <c r="AM815">
        <f t="shared" si="174"/>
        <v>0</v>
      </c>
      <c r="AP815" t="str">
        <f>IFERROR(VLOOKUP(AO815,tbFactorMes,2,FALSE),"")</f>
        <v/>
      </c>
      <c r="AQ815">
        <f t="shared" si="175"/>
        <v>0</v>
      </c>
      <c r="AT815" t="str">
        <f>IFERROR(VLOOKUP(AS815,tbFactorMes,2,FALSE),"")</f>
        <v/>
      </c>
      <c r="AU815">
        <f t="shared" si="176"/>
        <v>0</v>
      </c>
      <c r="AX815" t="str">
        <f>IFERROR(VLOOKUP(AW815,tbFactorMes,2,FALSE),"")</f>
        <v/>
      </c>
      <c r="AY815">
        <f t="shared" si="177"/>
        <v>0</v>
      </c>
      <c r="BB815" t="str">
        <f>IFERROR(VLOOKUP(BA815,tbFactorMes,2,FALSE),"")</f>
        <v/>
      </c>
      <c r="BC815">
        <f t="shared" si="178"/>
        <v>0</v>
      </c>
      <c r="BF815" t="str">
        <f>IFERROR(VLOOKUP(BE815,tbFactorMes,2,FALSE),"")</f>
        <v/>
      </c>
      <c r="BG815">
        <f t="shared" si="179"/>
        <v>0</v>
      </c>
      <c r="BH815">
        <f t="shared" si="180"/>
        <v>0</v>
      </c>
      <c r="BI815">
        <f t="shared" si="181"/>
        <v>0</v>
      </c>
    </row>
    <row r="816" spans="11:61" x14ac:dyDescent="0.35">
      <c r="K816" t="str">
        <f>IFERROR(VLOOKUP(F816,tbTurnos,3,FALSE),"")</f>
        <v/>
      </c>
      <c r="N816" t="str">
        <f>IFERROR(VLOOKUP(M816,tbFactorMes,2,FALSE),"")</f>
        <v/>
      </c>
      <c r="O816">
        <f t="shared" si="168"/>
        <v>0</v>
      </c>
      <c r="R816" t="str">
        <f>IFERROR(VLOOKUP(Q816,tbFactorMes,2,FALSE),"")</f>
        <v/>
      </c>
      <c r="S816">
        <f t="shared" si="169"/>
        <v>0</v>
      </c>
      <c r="V816" t="str">
        <f>IFERROR(VLOOKUP(U816,tbFactorMes,2,FALSE),"")</f>
        <v/>
      </c>
      <c r="W816">
        <f t="shared" si="170"/>
        <v>0</v>
      </c>
      <c r="Z816" t="str">
        <f>IFERROR(VLOOKUP(Y816,tbFactorMes,2,FALSE),"")</f>
        <v/>
      </c>
      <c r="AA816">
        <f t="shared" si="171"/>
        <v>0</v>
      </c>
      <c r="AD816" t="str">
        <f>IFERROR(VLOOKUP(AC816,tbFactorMes,2,FALSE),"")</f>
        <v/>
      </c>
      <c r="AE816">
        <f t="shared" si="172"/>
        <v>0</v>
      </c>
      <c r="AH816" t="str">
        <f>IFERROR(VLOOKUP(AG816,tbFactorMes,2,FALSE),"")</f>
        <v/>
      </c>
      <c r="AI816">
        <f t="shared" si="173"/>
        <v>0</v>
      </c>
      <c r="AL816" t="str">
        <f>IFERROR(VLOOKUP(AK816,tbFactorMes,2,FALSE),"")</f>
        <v/>
      </c>
      <c r="AM816">
        <f t="shared" si="174"/>
        <v>0</v>
      </c>
      <c r="AP816" t="str">
        <f>IFERROR(VLOOKUP(AO816,tbFactorMes,2,FALSE),"")</f>
        <v/>
      </c>
      <c r="AQ816">
        <f t="shared" si="175"/>
        <v>0</v>
      </c>
      <c r="AT816" t="str">
        <f>IFERROR(VLOOKUP(AS816,tbFactorMes,2,FALSE),"")</f>
        <v/>
      </c>
      <c r="AU816">
        <f t="shared" si="176"/>
        <v>0</v>
      </c>
      <c r="AX816" t="str">
        <f>IFERROR(VLOOKUP(AW816,tbFactorMes,2,FALSE),"")</f>
        <v/>
      </c>
      <c r="AY816">
        <f t="shared" si="177"/>
        <v>0</v>
      </c>
      <c r="BB816" t="str">
        <f>IFERROR(VLOOKUP(BA816,tbFactorMes,2,FALSE),"")</f>
        <v/>
      </c>
      <c r="BC816">
        <f t="shared" si="178"/>
        <v>0</v>
      </c>
      <c r="BF816" t="str">
        <f>IFERROR(VLOOKUP(BE816,tbFactorMes,2,FALSE),"")</f>
        <v/>
      </c>
      <c r="BG816">
        <f t="shared" si="179"/>
        <v>0</v>
      </c>
      <c r="BH816">
        <f t="shared" si="180"/>
        <v>0</v>
      </c>
      <c r="BI816">
        <f t="shared" si="181"/>
        <v>0</v>
      </c>
    </row>
    <row r="817" spans="11:61" x14ac:dyDescent="0.35">
      <c r="K817" t="str">
        <f>IFERROR(VLOOKUP(F817,tbTurnos,3,FALSE),"")</f>
        <v/>
      </c>
      <c r="N817" t="str">
        <f>IFERROR(VLOOKUP(M817,tbFactorMes,2,FALSE),"")</f>
        <v/>
      </c>
      <c r="O817">
        <f t="shared" si="168"/>
        <v>0</v>
      </c>
      <c r="R817" t="str">
        <f>IFERROR(VLOOKUP(Q817,tbFactorMes,2,FALSE),"")</f>
        <v/>
      </c>
      <c r="S817">
        <f t="shared" si="169"/>
        <v>0</v>
      </c>
      <c r="V817" t="str">
        <f>IFERROR(VLOOKUP(U817,tbFactorMes,2,FALSE),"")</f>
        <v/>
      </c>
      <c r="W817">
        <f t="shared" si="170"/>
        <v>0</v>
      </c>
      <c r="Z817" t="str">
        <f>IFERROR(VLOOKUP(Y817,tbFactorMes,2,FALSE),"")</f>
        <v/>
      </c>
      <c r="AA817">
        <f t="shared" si="171"/>
        <v>0</v>
      </c>
      <c r="AD817" t="str">
        <f>IFERROR(VLOOKUP(AC817,tbFactorMes,2,FALSE),"")</f>
        <v/>
      </c>
      <c r="AE817">
        <f t="shared" si="172"/>
        <v>0</v>
      </c>
      <c r="AH817" t="str">
        <f>IFERROR(VLOOKUP(AG817,tbFactorMes,2,FALSE),"")</f>
        <v/>
      </c>
      <c r="AI817">
        <f t="shared" si="173"/>
        <v>0</v>
      </c>
      <c r="AL817" t="str">
        <f>IFERROR(VLOOKUP(AK817,tbFactorMes,2,FALSE),"")</f>
        <v/>
      </c>
      <c r="AM817">
        <f t="shared" si="174"/>
        <v>0</v>
      </c>
      <c r="AP817" t="str">
        <f>IFERROR(VLOOKUP(AO817,tbFactorMes,2,FALSE),"")</f>
        <v/>
      </c>
      <c r="AQ817">
        <f t="shared" si="175"/>
        <v>0</v>
      </c>
      <c r="AT817" t="str">
        <f>IFERROR(VLOOKUP(AS817,tbFactorMes,2,FALSE),"")</f>
        <v/>
      </c>
      <c r="AU817">
        <f t="shared" si="176"/>
        <v>0</v>
      </c>
      <c r="AX817" t="str">
        <f>IFERROR(VLOOKUP(AW817,tbFactorMes,2,FALSE),"")</f>
        <v/>
      </c>
      <c r="AY817">
        <f t="shared" si="177"/>
        <v>0</v>
      </c>
      <c r="BB817" t="str">
        <f>IFERROR(VLOOKUP(BA817,tbFactorMes,2,FALSE),"")</f>
        <v/>
      </c>
      <c r="BC817">
        <f t="shared" si="178"/>
        <v>0</v>
      </c>
      <c r="BF817" t="str">
        <f>IFERROR(VLOOKUP(BE817,tbFactorMes,2,FALSE),"")</f>
        <v/>
      </c>
      <c r="BG817">
        <f t="shared" si="179"/>
        <v>0</v>
      </c>
      <c r="BH817">
        <f t="shared" si="180"/>
        <v>0</v>
      </c>
      <c r="BI817">
        <f t="shared" si="181"/>
        <v>0</v>
      </c>
    </row>
    <row r="818" spans="11:61" x14ac:dyDescent="0.35">
      <c r="K818" t="str">
        <f>IFERROR(VLOOKUP(F818,tbTurnos,3,FALSE),"")</f>
        <v/>
      </c>
      <c r="N818" t="str">
        <f>IFERROR(VLOOKUP(M818,tbFactorMes,2,FALSE),"")</f>
        <v/>
      </c>
      <c r="O818">
        <f t="shared" si="168"/>
        <v>0</v>
      </c>
      <c r="R818" t="str">
        <f>IFERROR(VLOOKUP(Q818,tbFactorMes,2,FALSE),"")</f>
        <v/>
      </c>
      <c r="S818">
        <f t="shared" si="169"/>
        <v>0</v>
      </c>
      <c r="V818" t="str">
        <f>IFERROR(VLOOKUP(U818,tbFactorMes,2,FALSE),"")</f>
        <v/>
      </c>
      <c r="W818">
        <f t="shared" si="170"/>
        <v>0</v>
      </c>
      <c r="Z818" t="str">
        <f>IFERROR(VLOOKUP(Y818,tbFactorMes,2,FALSE),"")</f>
        <v/>
      </c>
      <c r="AA818">
        <f t="shared" si="171"/>
        <v>0</v>
      </c>
      <c r="AD818" t="str">
        <f>IFERROR(VLOOKUP(AC818,tbFactorMes,2,FALSE),"")</f>
        <v/>
      </c>
      <c r="AE818">
        <f t="shared" si="172"/>
        <v>0</v>
      </c>
      <c r="AH818" t="str">
        <f>IFERROR(VLOOKUP(AG818,tbFactorMes,2,FALSE),"")</f>
        <v/>
      </c>
      <c r="AI818">
        <f t="shared" si="173"/>
        <v>0</v>
      </c>
      <c r="AL818" t="str">
        <f>IFERROR(VLOOKUP(AK818,tbFactorMes,2,FALSE),"")</f>
        <v/>
      </c>
      <c r="AM818">
        <f t="shared" si="174"/>
        <v>0</v>
      </c>
      <c r="AP818" t="str">
        <f>IFERROR(VLOOKUP(AO818,tbFactorMes,2,FALSE),"")</f>
        <v/>
      </c>
      <c r="AQ818">
        <f t="shared" si="175"/>
        <v>0</v>
      </c>
      <c r="AT818" t="str">
        <f>IFERROR(VLOOKUP(AS818,tbFactorMes,2,FALSE),"")</f>
        <v/>
      </c>
      <c r="AU818">
        <f t="shared" si="176"/>
        <v>0</v>
      </c>
      <c r="AX818" t="str">
        <f>IFERROR(VLOOKUP(AW818,tbFactorMes,2,FALSE),"")</f>
        <v/>
      </c>
      <c r="AY818">
        <f t="shared" si="177"/>
        <v>0</v>
      </c>
      <c r="BB818" t="str">
        <f>IFERROR(VLOOKUP(BA818,tbFactorMes,2,FALSE),"")</f>
        <v/>
      </c>
      <c r="BC818">
        <f t="shared" si="178"/>
        <v>0</v>
      </c>
      <c r="BF818" t="str">
        <f>IFERROR(VLOOKUP(BE818,tbFactorMes,2,FALSE),"")</f>
        <v/>
      </c>
      <c r="BG818">
        <f t="shared" si="179"/>
        <v>0</v>
      </c>
      <c r="BH818">
        <f t="shared" si="180"/>
        <v>0</v>
      </c>
      <c r="BI818">
        <f t="shared" si="181"/>
        <v>0</v>
      </c>
    </row>
    <row r="819" spans="11:61" x14ac:dyDescent="0.35">
      <c r="K819" t="str">
        <f>IFERROR(VLOOKUP(F819,tbTurnos,3,FALSE),"")</f>
        <v/>
      </c>
      <c r="N819" t="str">
        <f>IFERROR(VLOOKUP(M819,tbFactorMes,2,FALSE),"")</f>
        <v/>
      </c>
      <c r="O819">
        <f t="shared" si="168"/>
        <v>0</v>
      </c>
      <c r="R819" t="str">
        <f>IFERROR(VLOOKUP(Q819,tbFactorMes,2,FALSE),"")</f>
        <v/>
      </c>
      <c r="S819">
        <f t="shared" si="169"/>
        <v>0</v>
      </c>
      <c r="V819" t="str">
        <f>IFERROR(VLOOKUP(U819,tbFactorMes,2,FALSE),"")</f>
        <v/>
      </c>
      <c r="W819">
        <f t="shared" si="170"/>
        <v>0</v>
      </c>
      <c r="Z819" t="str">
        <f>IFERROR(VLOOKUP(Y819,tbFactorMes,2,FALSE),"")</f>
        <v/>
      </c>
      <c r="AA819">
        <f t="shared" si="171"/>
        <v>0</v>
      </c>
      <c r="AD819" t="str">
        <f>IFERROR(VLOOKUP(AC819,tbFactorMes,2,FALSE),"")</f>
        <v/>
      </c>
      <c r="AE819">
        <f t="shared" si="172"/>
        <v>0</v>
      </c>
      <c r="AH819" t="str">
        <f>IFERROR(VLOOKUP(AG819,tbFactorMes,2,FALSE),"")</f>
        <v/>
      </c>
      <c r="AI819">
        <f t="shared" si="173"/>
        <v>0</v>
      </c>
      <c r="AL819" t="str">
        <f>IFERROR(VLOOKUP(AK819,tbFactorMes,2,FALSE),"")</f>
        <v/>
      </c>
      <c r="AM819">
        <f t="shared" si="174"/>
        <v>0</v>
      </c>
      <c r="AP819" t="str">
        <f>IFERROR(VLOOKUP(AO819,tbFactorMes,2,FALSE),"")</f>
        <v/>
      </c>
      <c r="AQ819">
        <f t="shared" si="175"/>
        <v>0</v>
      </c>
      <c r="AT819" t="str">
        <f>IFERROR(VLOOKUP(AS819,tbFactorMes,2,FALSE),"")</f>
        <v/>
      </c>
      <c r="AU819">
        <f t="shared" si="176"/>
        <v>0</v>
      </c>
      <c r="AX819" t="str">
        <f>IFERROR(VLOOKUP(AW819,tbFactorMes,2,FALSE),"")</f>
        <v/>
      </c>
      <c r="AY819">
        <f t="shared" si="177"/>
        <v>0</v>
      </c>
      <c r="BB819" t="str">
        <f>IFERROR(VLOOKUP(BA819,tbFactorMes,2,FALSE),"")</f>
        <v/>
      </c>
      <c r="BC819">
        <f t="shared" si="178"/>
        <v>0</v>
      </c>
      <c r="BF819" t="str">
        <f>IFERROR(VLOOKUP(BE819,tbFactorMes,2,FALSE),"")</f>
        <v/>
      </c>
      <c r="BG819">
        <f t="shared" si="179"/>
        <v>0</v>
      </c>
      <c r="BH819">
        <f t="shared" si="180"/>
        <v>0</v>
      </c>
      <c r="BI819">
        <f t="shared" si="181"/>
        <v>0</v>
      </c>
    </row>
    <row r="820" spans="11:61" x14ac:dyDescent="0.35">
      <c r="K820" t="str">
        <f>IFERROR(VLOOKUP(F820,tbTurnos,3,FALSE),"")</f>
        <v/>
      </c>
      <c r="N820" t="str">
        <f>IFERROR(VLOOKUP(M820,tbFactorMes,2,FALSE),"")</f>
        <v/>
      </c>
      <c r="O820">
        <f t="shared" si="168"/>
        <v>0</v>
      </c>
      <c r="R820" t="str">
        <f>IFERROR(VLOOKUP(Q820,tbFactorMes,2,FALSE),"")</f>
        <v/>
      </c>
      <c r="S820">
        <f t="shared" si="169"/>
        <v>0</v>
      </c>
      <c r="V820" t="str">
        <f>IFERROR(VLOOKUP(U820,tbFactorMes,2,FALSE),"")</f>
        <v/>
      </c>
      <c r="W820">
        <f t="shared" si="170"/>
        <v>0</v>
      </c>
      <c r="Z820" t="str">
        <f>IFERROR(VLOOKUP(Y820,tbFactorMes,2,FALSE),"")</f>
        <v/>
      </c>
      <c r="AA820">
        <f t="shared" si="171"/>
        <v>0</v>
      </c>
      <c r="AD820" t="str">
        <f>IFERROR(VLOOKUP(AC820,tbFactorMes,2,FALSE),"")</f>
        <v/>
      </c>
      <c r="AE820">
        <f t="shared" si="172"/>
        <v>0</v>
      </c>
      <c r="AH820" t="str">
        <f>IFERROR(VLOOKUP(AG820,tbFactorMes,2,FALSE),"")</f>
        <v/>
      </c>
      <c r="AI820">
        <f t="shared" si="173"/>
        <v>0</v>
      </c>
      <c r="AL820" t="str">
        <f>IFERROR(VLOOKUP(AK820,tbFactorMes,2,FALSE),"")</f>
        <v/>
      </c>
      <c r="AM820">
        <f t="shared" si="174"/>
        <v>0</v>
      </c>
      <c r="AP820" t="str">
        <f>IFERROR(VLOOKUP(AO820,tbFactorMes,2,FALSE),"")</f>
        <v/>
      </c>
      <c r="AQ820">
        <f t="shared" si="175"/>
        <v>0</v>
      </c>
      <c r="AT820" t="str">
        <f>IFERROR(VLOOKUP(AS820,tbFactorMes,2,FALSE),"")</f>
        <v/>
      </c>
      <c r="AU820">
        <f t="shared" si="176"/>
        <v>0</v>
      </c>
      <c r="AX820" t="str">
        <f>IFERROR(VLOOKUP(AW820,tbFactorMes,2,FALSE),"")</f>
        <v/>
      </c>
      <c r="AY820">
        <f t="shared" si="177"/>
        <v>0</v>
      </c>
      <c r="BB820" t="str">
        <f>IFERROR(VLOOKUP(BA820,tbFactorMes,2,FALSE),"")</f>
        <v/>
      </c>
      <c r="BC820">
        <f t="shared" si="178"/>
        <v>0</v>
      </c>
      <c r="BF820" t="str">
        <f>IFERROR(VLOOKUP(BE820,tbFactorMes,2,FALSE),"")</f>
        <v/>
      </c>
      <c r="BG820">
        <f t="shared" si="179"/>
        <v>0</v>
      </c>
      <c r="BH820">
        <f t="shared" si="180"/>
        <v>0</v>
      </c>
      <c r="BI820">
        <f t="shared" si="181"/>
        <v>0</v>
      </c>
    </row>
    <row r="821" spans="11:61" x14ac:dyDescent="0.35">
      <c r="K821" t="str">
        <f>IFERROR(VLOOKUP(F821,tbTurnos,3,FALSE),"")</f>
        <v/>
      </c>
      <c r="N821" t="str">
        <f>IFERROR(VLOOKUP(M821,tbFactorMes,2,FALSE),"")</f>
        <v/>
      </c>
      <c r="O821">
        <f t="shared" si="168"/>
        <v>0</v>
      </c>
      <c r="R821" t="str">
        <f>IFERROR(VLOOKUP(Q821,tbFactorMes,2,FALSE),"")</f>
        <v/>
      </c>
      <c r="S821">
        <f t="shared" si="169"/>
        <v>0</v>
      </c>
      <c r="V821" t="str">
        <f>IFERROR(VLOOKUP(U821,tbFactorMes,2,FALSE),"")</f>
        <v/>
      </c>
      <c r="W821">
        <f t="shared" si="170"/>
        <v>0</v>
      </c>
      <c r="Z821" t="str">
        <f>IFERROR(VLOOKUP(Y821,tbFactorMes,2,FALSE),"")</f>
        <v/>
      </c>
      <c r="AA821">
        <f t="shared" si="171"/>
        <v>0</v>
      </c>
      <c r="AD821" t="str">
        <f>IFERROR(VLOOKUP(AC821,tbFactorMes,2,FALSE),"")</f>
        <v/>
      </c>
      <c r="AE821">
        <f t="shared" si="172"/>
        <v>0</v>
      </c>
      <c r="AH821" t="str">
        <f>IFERROR(VLOOKUP(AG821,tbFactorMes,2,FALSE),"")</f>
        <v/>
      </c>
      <c r="AI821">
        <f t="shared" si="173"/>
        <v>0</v>
      </c>
      <c r="AL821" t="str">
        <f>IFERROR(VLOOKUP(AK821,tbFactorMes,2,FALSE),"")</f>
        <v/>
      </c>
      <c r="AM821">
        <f t="shared" si="174"/>
        <v>0</v>
      </c>
      <c r="AP821" t="str">
        <f>IFERROR(VLOOKUP(AO821,tbFactorMes,2,FALSE),"")</f>
        <v/>
      </c>
      <c r="AQ821">
        <f t="shared" si="175"/>
        <v>0</v>
      </c>
      <c r="AT821" t="str">
        <f>IFERROR(VLOOKUP(AS821,tbFactorMes,2,FALSE),"")</f>
        <v/>
      </c>
      <c r="AU821">
        <f t="shared" si="176"/>
        <v>0</v>
      </c>
      <c r="AX821" t="str">
        <f>IFERROR(VLOOKUP(AW821,tbFactorMes,2,FALSE),"")</f>
        <v/>
      </c>
      <c r="AY821">
        <f t="shared" si="177"/>
        <v>0</v>
      </c>
      <c r="BB821" t="str">
        <f>IFERROR(VLOOKUP(BA821,tbFactorMes,2,FALSE),"")</f>
        <v/>
      </c>
      <c r="BC821">
        <f t="shared" si="178"/>
        <v>0</v>
      </c>
      <c r="BF821" t="str">
        <f>IFERROR(VLOOKUP(BE821,tbFactorMes,2,FALSE),"")</f>
        <v/>
      </c>
      <c r="BG821">
        <f t="shared" si="179"/>
        <v>0</v>
      </c>
      <c r="BH821">
        <f t="shared" si="180"/>
        <v>0</v>
      </c>
      <c r="BI821">
        <f t="shared" si="181"/>
        <v>0</v>
      </c>
    </row>
    <row r="822" spans="11:61" x14ac:dyDescent="0.35">
      <c r="K822" t="str">
        <f>IFERROR(VLOOKUP(F822,tbTurnos,3,FALSE),"")</f>
        <v/>
      </c>
      <c r="N822" t="str">
        <f>IFERROR(VLOOKUP(M822,tbFactorMes,2,FALSE),"")</f>
        <v/>
      </c>
      <c r="O822">
        <f t="shared" si="168"/>
        <v>0</v>
      </c>
      <c r="R822" t="str">
        <f>IFERROR(VLOOKUP(Q822,tbFactorMes,2,FALSE),"")</f>
        <v/>
      </c>
      <c r="S822">
        <f t="shared" si="169"/>
        <v>0</v>
      </c>
      <c r="V822" t="str">
        <f>IFERROR(VLOOKUP(U822,tbFactorMes,2,FALSE),"")</f>
        <v/>
      </c>
      <c r="W822">
        <f t="shared" si="170"/>
        <v>0</v>
      </c>
      <c r="Z822" t="str">
        <f>IFERROR(VLOOKUP(Y822,tbFactorMes,2,FALSE),"")</f>
        <v/>
      </c>
      <c r="AA822">
        <f t="shared" si="171"/>
        <v>0</v>
      </c>
      <c r="AD822" t="str">
        <f>IFERROR(VLOOKUP(AC822,tbFactorMes,2,FALSE),"")</f>
        <v/>
      </c>
      <c r="AE822">
        <f t="shared" si="172"/>
        <v>0</v>
      </c>
      <c r="AH822" t="str">
        <f>IFERROR(VLOOKUP(AG822,tbFactorMes,2,FALSE),"")</f>
        <v/>
      </c>
      <c r="AI822">
        <f t="shared" si="173"/>
        <v>0</v>
      </c>
      <c r="AL822" t="str">
        <f>IFERROR(VLOOKUP(AK822,tbFactorMes,2,FALSE),"")</f>
        <v/>
      </c>
      <c r="AM822">
        <f t="shared" si="174"/>
        <v>0</v>
      </c>
      <c r="AP822" t="str">
        <f>IFERROR(VLOOKUP(AO822,tbFactorMes,2,FALSE),"")</f>
        <v/>
      </c>
      <c r="AQ822">
        <f t="shared" si="175"/>
        <v>0</v>
      </c>
      <c r="AT822" t="str">
        <f>IFERROR(VLOOKUP(AS822,tbFactorMes,2,FALSE),"")</f>
        <v/>
      </c>
      <c r="AU822">
        <f t="shared" si="176"/>
        <v>0</v>
      </c>
      <c r="AX822" t="str">
        <f>IFERROR(VLOOKUP(AW822,tbFactorMes,2,FALSE),"")</f>
        <v/>
      </c>
      <c r="AY822">
        <f t="shared" si="177"/>
        <v>0</v>
      </c>
      <c r="BB822" t="str">
        <f>IFERROR(VLOOKUP(BA822,tbFactorMes,2,FALSE),"")</f>
        <v/>
      </c>
      <c r="BC822">
        <f t="shared" si="178"/>
        <v>0</v>
      </c>
      <c r="BF822" t="str">
        <f>IFERROR(VLOOKUP(BE822,tbFactorMes,2,FALSE),"")</f>
        <v/>
      </c>
      <c r="BG822">
        <f t="shared" si="179"/>
        <v>0</v>
      </c>
      <c r="BH822">
        <f t="shared" si="180"/>
        <v>0</v>
      </c>
      <c r="BI822">
        <f t="shared" si="181"/>
        <v>0</v>
      </c>
    </row>
    <row r="823" spans="11:61" x14ac:dyDescent="0.35">
      <c r="K823" t="str">
        <f>IFERROR(VLOOKUP(F823,tbTurnos,3,FALSE),"")</f>
        <v/>
      </c>
      <c r="N823" t="str">
        <f>IFERROR(VLOOKUP(M823,tbFactorMes,2,FALSE),"")</f>
        <v/>
      </c>
      <c r="O823">
        <f t="shared" si="168"/>
        <v>0</v>
      </c>
      <c r="R823" t="str">
        <f>IFERROR(VLOOKUP(Q823,tbFactorMes,2,FALSE),"")</f>
        <v/>
      </c>
      <c r="S823">
        <f t="shared" si="169"/>
        <v>0</v>
      </c>
      <c r="V823" t="str">
        <f>IFERROR(VLOOKUP(U823,tbFactorMes,2,FALSE),"")</f>
        <v/>
      </c>
      <c r="W823">
        <f t="shared" si="170"/>
        <v>0</v>
      </c>
      <c r="Z823" t="str">
        <f>IFERROR(VLOOKUP(Y823,tbFactorMes,2,FALSE),"")</f>
        <v/>
      </c>
      <c r="AA823">
        <f t="shared" si="171"/>
        <v>0</v>
      </c>
      <c r="AD823" t="str">
        <f>IFERROR(VLOOKUP(AC823,tbFactorMes,2,FALSE),"")</f>
        <v/>
      </c>
      <c r="AE823">
        <f t="shared" si="172"/>
        <v>0</v>
      </c>
      <c r="AH823" t="str">
        <f>IFERROR(VLOOKUP(AG823,tbFactorMes,2,FALSE),"")</f>
        <v/>
      </c>
      <c r="AI823">
        <f t="shared" si="173"/>
        <v>0</v>
      </c>
      <c r="AL823" t="str">
        <f>IFERROR(VLOOKUP(AK823,tbFactorMes,2,FALSE),"")</f>
        <v/>
      </c>
      <c r="AM823">
        <f t="shared" si="174"/>
        <v>0</v>
      </c>
      <c r="AP823" t="str">
        <f>IFERROR(VLOOKUP(AO823,tbFactorMes,2,FALSE),"")</f>
        <v/>
      </c>
      <c r="AQ823">
        <f t="shared" si="175"/>
        <v>0</v>
      </c>
      <c r="AT823" t="str">
        <f>IFERROR(VLOOKUP(AS823,tbFactorMes,2,FALSE),"")</f>
        <v/>
      </c>
      <c r="AU823">
        <f t="shared" si="176"/>
        <v>0</v>
      </c>
      <c r="AX823" t="str">
        <f>IFERROR(VLOOKUP(AW823,tbFactorMes,2,FALSE),"")</f>
        <v/>
      </c>
      <c r="AY823">
        <f t="shared" si="177"/>
        <v>0</v>
      </c>
      <c r="BB823" t="str">
        <f>IFERROR(VLOOKUP(BA823,tbFactorMes,2,FALSE),"")</f>
        <v/>
      </c>
      <c r="BC823">
        <f t="shared" si="178"/>
        <v>0</v>
      </c>
      <c r="BF823" t="str">
        <f>IFERROR(VLOOKUP(BE823,tbFactorMes,2,FALSE),"")</f>
        <v/>
      </c>
      <c r="BG823">
        <f t="shared" si="179"/>
        <v>0</v>
      </c>
      <c r="BH823">
        <f t="shared" si="180"/>
        <v>0</v>
      </c>
      <c r="BI823">
        <f t="shared" si="181"/>
        <v>0</v>
      </c>
    </row>
    <row r="824" spans="11:61" x14ac:dyDescent="0.35">
      <c r="K824" t="str">
        <f>IFERROR(VLOOKUP(F824,tbTurnos,3,FALSE),"")</f>
        <v/>
      </c>
      <c r="N824" t="str">
        <f>IFERROR(VLOOKUP(M824,tbFactorMes,2,FALSE),"")</f>
        <v/>
      </c>
      <c r="O824">
        <f t="shared" si="168"/>
        <v>0</v>
      </c>
      <c r="R824" t="str">
        <f>IFERROR(VLOOKUP(Q824,tbFactorMes,2,FALSE),"")</f>
        <v/>
      </c>
      <c r="S824">
        <f t="shared" si="169"/>
        <v>0</v>
      </c>
      <c r="V824" t="str">
        <f>IFERROR(VLOOKUP(U824,tbFactorMes,2,FALSE),"")</f>
        <v/>
      </c>
      <c r="W824">
        <f t="shared" si="170"/>
        <v>0</v>
      </c>
      <c r="Z824" t="str">
        <f>IFERROR(VLOOKUP(Y824,tbFactorMes,2,FALSE),"")</f>
        <v/>
      </c>
      <c r="AA824">
        <f t="shared" si="171"/>
        <v>0</v>
      </c>
      <c r="AD824" t="str">
        <f>IFERROR(VLOOKUP(AC824,tbFactorMes,2,FALSE),"")</f>
        <v/>
      </c>
      <c r="AE824">
        <f t="shared" si="172"/>
        <v>0</v>
      </c>
      <c r="AH824" t="str">
        <f>IFERROR(VLOOKUP(AG824,tbFactorMes,2,FALSE),"")</f>
        <v/>
      </c>
      <c r="AI824">
        <f t="shared" si="173"/>
        <v>0</v>
      </c>
      <c r="AL824" t="str">
        <f>IFERROR(VLOOKUP(AK824,tbFactorMes,2,FALSE),"")</f>
        <v/>
      </c>
      <c r="AM824">
        <f t="shared" si="174"/>
        <v>0</v>
      </c>
      <c r="AP824" t="str">
        <f>IFERROR(VLOOKUP(AO824,tbFactorMes,2,FALSE),"")</f>
        <v/>
      </c>
      <c r="AQ824">
        <f t="shared" si="175"/>
        <v>0</v>
      </c>
      <c r="AT824" t="str">
        <f>IFERROR(VLOOKUP(AS824,tbFactorMes,2,FALSE),"")</f>
        <v/>
      </c>
      <c r="AU824">
        <f t="shared" si="176"/>
        <v>0</v>
      </c>
      <c r="AX824" t="str">
        <f>IFERROR(VLOOKUP(AW824,tbFactorMes,2,FALSE),"")</f>
        <v/>
      </c>
      <c r="AY824">
        <f t="shared" si="177"/>
        <v>0</v>
      </c>
      <c r="BB824" t="str">
        <f>IFERROR(VLOOKUP(BA824,tbFactorMes,2,FALSE),"")</f>
        <v/>
      </c>
      <c r="BC824">
        <f t="shared" si="178"/>
        <v>0</v>
      </c>
      <c r="BF824" t="str">
        <f>IFERROR(VLOOKUP(BE824,tbFactorMes,2,FALSE),"")</f>
        <v/>
      </c>
      <c r="BG824">
        <f t="shared" si="179"/>
        <v>0</v>
      </c>
      <c r="BH824">
        <f t="shared" si="180"/>
        <v>0</v>
      </c>
      <c r="BI824">
        <f t="shared" si="181"/>
        <v>0</v>
      </c>
    </row>
    <row r="825" spans="11:61" x14ac:dyDescent="0.35">
      <c r="K825" t="str">
        <f>IFERROR(VLOOKUP(F825,tbTurnos,3,FALSE),"")</f>
        <v/>
      </c>
      <c r="N825" t="str">
        <f>IFERROR(VLOOKUP(M825,tbFactorMes,2,FALSE),"")</f>
        <v/>
      </c>
      <c r="O825">
        <f t="shared" si="168"/>
        <v>0</v>
      </c>
      <c r="R825" t="str">
        <f>IFERROR(VLOOKUP(Q825,tbFactorMes,2,FALSE),"")</f>
        <v/>
      </c>
      <c r="S825">
        <f t="shared" si="169"/>
        <v>0</v>
      </c>
      <c r="V825" t="str">
        <f>IFERROR(VLOOKUP(U825,tbFactorMes,2,FALSE),"")</f>
        <v/>
      </c>
      <c r="W825">
        <f t="shared" si="170"/>
        <v>0</v>
      </c>
      <c r="Z825" t="str">
        <f>IFERROR(VLOOKUP(Y825,tbFactorMes,2,FALSE),"")</f>
        <v/>
      </c>
      <c r="AA825">
        <f t="shared" si="171"/>
        <v>0</v>
      </c>
      <c r="AD825" t="str">
        <f>IFERROR(VLOOKUP(AC825,tbFactorMes,2,FALSE),"")</f>
        <v/>
      </c>
      <c r="AE825">
        <f t="shared" si="172"/>
        <v>0</v>
      </c>
      <c r="AH825" t="str">
        <f>IFERROR(VLOOKUP(AG825,tbFactorMes,2,FALSE),"")</f>
        <v/>
      </c>
      <c r="AI825">
        <f t="shared" si="173"/>
        <v>0</v>
      </c>
      <c r="AL825" t="str">
        <f>IFERROR(VLOOKUP(AK825,tbFactorMes,2,FALSE),"")</f>
        <v/>
      </c>
      <c r="AM825">
        <f t="shared" si="174"/>
        <v>0</v>
      </c>
      <c r="AP825" t="str">
        <f>IFERROR(VLOOKUP(AO825,tbFactorMes,2,FALSE),"")</f>
        <v/>
      </c>
      <c r="AQ825">
        <f t="shared" si="175"/>
        <v>0</v>
      </c>
      <c r="AT825" t="str">
        <f>IFERROR(VLOOKUP(AS825,tbFactorMes,2,FALSE),"")</f>
        <v/>
      </c>
      <c r="AU825">
        <f t="shared" si="176"/>
        <v>0</v>
      </c>
      <c r="AX825" t="str">
        <f>IFERROR(VLOOKUP(AW825,tbFactorMes,2,FALSE),"")</f>
        <v/>
      </c>
      <c r="AY825">
        <f t="shared" si="177"/>
        <v>0</v>
      </c>
      <c r="BB825" t="str">
        <f>IFERROR(VLOOKUP(BA825,tbFactorMes,2,FALSE),"")</f>
        <v/>
      </c>
      <c r="BC825">
        <f t="shared" si="178"/>
        <v>0</v>
      </c>
      <c r="BF825" t="str">
        <f>IFERROR(VLOOKUP(BE825,tbFactorMes,2,FALSE),"")</f>
        <v/>
      </c>
      <c r="BG825">
        <f t="shared" si="179"/>
        <v>0</v>
      </c>
      <c r="BH825">
        <f t="shared" si="180"/>
        <v>0</v>
      </c>
      <c r="BI825">
        <f t="shared" si="181"/>
        <v>0</v>
      </c>
    </row>
    <row r="826" spans="11:61" x14ac:dyDescent="0.35">
      <c r="K826" t="str">
        <f>IFERROR(VLOOKUP(F826,tbTurnos,3,FALSE),"")</f>
        <v/>
      </c>
      <c r="N826" t="str">
        <f>IFERROR(VLOOKUP(M826,tbFactorMes,2,FALSE),"")</f>
        <v/>
      </c>
      <c r="O826">
        <f t="shared" si="168"/>
        <v>0</v>
      </c>
      <c r="R826" t="str">
        <f>IFERROR(VLOOKUP(Q826,tbFactorMes,2,FALSE),"")</f>
        <v/>
      </c>
      <c r="S826">
        <f t="shared" si="169"/>
        <v>0</v>
      </c>
      <c r="V826" t="str">
        <f>IFERROR(VLOOKUP(U826,tbFactorMes,2,FALSE),"")</f>
        <v/>
      </c>
      <c r="W826">
        <f t="shared" si="170"/>
        <v>0</v>
      </c>
      <c r="Z826" t="str">
        <f>IFERROR(VLOOKUP(Y826,tbFactorMes,2,FALSE),"")</f>
        <v/>
      </c>
      <c r="AA826">
        <f t="shared" si="171"/>
        <v>0</v>
      </c>
      <c r="AD826" t="str">
        <f>IFERROR(VLOOKUP(AC826,tbFactorMes,2,FALSE),"")</f>
        <v/>
      </c>
      <c r="AE826">
        <f t="shared" si="172"/>
        <v>0</v>
      </c>
      <c r="AH826" t="str">
        <f>IFERROR(VLOOKUP(AG826,tbFactorMes,2,FALSE),"")</f>
        <v/>
      </c>
      <c r="AI826">
        <f t="shared" si="173"/>
        <v>0</v>
      </c>
      <c r="AL826" t="str">
        <f>IFERROR(VLOOKUP(AK826,tbFactorMes,2,FALSE),"")</f>
        <v/>
      </c>
      <c r="AM826">
        <f t="shared" si="174"/>
        <v>0</v>
      </c>
      <c r="AP826" t="str">
        <f>IFERROR(VLOOKUP(AO826,tbFactorMes,2,FALSE),"")</f>
        <v/>
      </c>
      <c r="AQ826">
        <f t="shared" si="175"/>
        <v>0</v>
      </c>
      <c r="AT826" t="str">
        <f>IFERROR(VLOOKUP(AS826,tbFactorMes,2,FALSE),"")</f>
        <v/>
      </c>
      <c r="AU826">
        <f t="shared" si="176"/>
        <v>0</v>
      </c>
      <c r="AX826" t="str">
        <f>IFERROR(VLOOKUP(AW826,tbFactorMes,2,FALSE),"")</f>
        <v/>
      </c>
      <c r="AY826">
        <f t="shared" si="177"/>
        <v>0</v>
      </c>
      <c r="BB826" t="str">
        <f>IFERROR(VLOOKUP(BA826,tbFactorMes,2,FALSE),"")</f>
        <v/>
      </c>
      <c r="BC826">
        <f t="shared" si="178"/>
        <v>0</v>
      </c>
      <c r="BF826" t="str">
        <f>IFERROR(VLOOKUP(BE826,tbFactorMes,2,FALSE),"")</f>
        <v/>
      </c>
      <c r="BG826">
        <f t="shared" si="179"/>
        <v>0</v>
      </c>
      <c r="BH826">
        <f t="shared" si="180"/>
        <v>0</v>
      </c>
      <c r="BI826">
        <f t="shared" si="181"/>
        <v>0</v>
      </c>
    </row>
    <row r="827" spans="11:61" x14ac:dyDescent="0.35">
      <c r="K827" t="str">
        <f>IFERROR(VLOOKUP(F827,tbTurnos,3,FALSE),"")</f>
        <v/>
      </c>
      <c r="N827" t="str">
        <f>IFERROR(VLOOKUP(M827,tbFactorMes,2,FALSE),"")</f>
        <v/>
      </c>
      <c r="O827">
        <f t="shared" si="168"/>
        <v>0</v>
      </c>
      <c r="R827" t="str">
        <f>IFERROR(VLOOKUP(Q827,tbFactorMes,2,FALSE),"")</f>
        <v/>
      </c>
      <c r="S827">
        <f t="shared" si="169"/>
        <v>0</v>
      </c>
      <c r="V827" t="str">
        <f>IFERROR(VLOOKUP(U827,tbFactorMes,2,FALSE),"")</f>
        <v/>
      </c>
      <c r="W827">
        <f t="shared" si="170"/>
        <v>0</v>
      </c>
      <c r="Z827" t="str">
        <f>IFERROR(VLOOKUP(Y827,tbFactorMes,2,FALSE),"")</f>
        <v/>
      </c>
      <c r="AA827">
        <f t="shared" si="171"/>
        <v>0</v>
      </c>
      <c r="AD827" t="str">
        <f>IFERROR(VLOOKUP(AC827,tbFactorMes,2,FALSE),"")</f>
        <v/>
      </c>
      <c r="AE827">
        <f t="shared" si="172"/>
        <v>0</v>
      </c>
      <c r="AH827" t="str">
        <f>IFERROR(VLOOKUP(AG827,tbFactorMes,2,FALSE),"")</f>
        <v/>
      </c>
      <c r="AI827">
        <f t="shared" si="173"/>
        <v>0</v>
      </c>
      <c r="AL827" t="str">
        <f>IFERROR(VLOOKUP(AK827,tbFactorMes,2,FALSE),"")</f>
        <v/>
      </c>
      <c r="AM827">
        <f t="shared" si="174"/>
        <v>0</v>
      </c>
      <c r="AP827" t="str">
        <f>IFERROR(VLOOKUP(AO827,tbFactorMes,2,FALSE),"")</f>
        <v/>
      </c>
      <c r="AQ827">
        <f t="shared" si="175"/>
        <v>0</v>
      </c>
      <c r="AT827" t="str">
        <f>IFERROR(VLOOKUP(AS827,tbFactorMes,2,FALSE),"")</f>
        <v/>
      </c>
      <c r="AU827">
        <f t="shared" si="176"/>
        <v>0</v>
      </c>
      <c r="AX827" t="str">
        <f>IFERROR(VLOOKUP(AW827,tbFactorMes,2,FALSE),"")</f>
        <v/>
      </c>
      <c r="AY827">
        <f t="shared" si="177"/>
        <v>0</v>
      </c>
      <c r="BB827" t="str">
        <f>IFERROR(VLOOKUP(BA827,tbFactorMes,2,FALSE),"")</f>
        <v/>
      </c>
      <c r="BC827">
        <f t="shared" si="178"/>
        <v>0</v>
      </c>
      <c r="BF827" t="str">
        <f>IFERROR(VLOOKUP(BE827,tbFactorMes,2,FALSE),"")</f>
        <v/>
      </c>
      <c r="BG827">
        <f t="shared" si="179"/>
        <v>0</v>
      </c>
      <c r="BH827">
        <f t="shared" si="180"/>
        <v>0</v>
      </c>
      <c r="BI827">
        <f t="shared" si="181"/>
        <v>0</v>
      </c>
    </row>
    <row r="828" spans="11:61" x14ac:dyDescent="0.35">
      <c r="K828" t="str">
        <f>IFERROR(VLOOKUP(F828,tbTurnos,3,FALSE),"")</f>
        <v/>
      </c>
      <c r="N828" t="str">
        <f>IFERROR(VLOOKUP(M828,tbFactorMes,2,FALSE),"")</f>
        <v/>
      </c>
      <c r="O828">
        <f t="shared" si="168"/>
        <v>0</v>
      </c>
      <c r="R828" t="str">
        <f>IFERROR(VLOOKUP(Q828,tbFactorMes,2,FALSE),"")</f>
        <v/>
      </c>
      <c r="S828">
        <f t="shared" si="169"/>
        <v>0</v>
      </c>
      <c r="V828" t="str">
        <f>IFERROR(VLOOKUP(U828,tbFactorMes,2,FALSE),"")</f>
        <v/>
      </c>
      <c r="W828">
        <f t="shared" si="170"/>
        <v>0</v>
      </c>
      <c r="Z828" t="str">
        <f>IFERROR(VLOOKUP(Y828,tbFactorMes,2,FALSE),"")</f>
        <v/>
      </c>
      <c r="AA828">
        <f t="shared" si="171"/>
        <v>0</v>
      </c>
      <c r="AD828" t="str">
        <f>IFERROR(VLOOKUP(AC828,tbFactorMes,2,FALSE),"")</f>
        <v/>
      </c>
      <c r="AE828">
        <f t="shared" si="172"/>
        <v>0</v>
      </c>
      <c r="AH828" t="str">
        <f>IFERROR(VLOOKUP(AG828,tbFactorMes,2,FALSE),"")</f>
        <v/>
      </c>
      <c r="AI828">
        <f t="shared" si="173"/>
        <v>0</v>
      </c>
      <c r="AL828" t="str">
        <f>IFERROR(VLOOKUP(AK828,tbFactorMes,2,FALSE),"")</f>
        <v/>
      </c>
      <c r="AM828">
        <f t="shared" si="174"/>
        <v>0</v>
      </c>
      <c r="AP828" t="str">
        <f>IFERROR(VLOOKUP(AO828,tbFactorMes,2,FALSE),"")</f>
        <v/>
      </c>
      <c r="AQ828">
        <f t="shared" si="175"/>
        <v>0</v>
      </c>
      <c r="AT828" t="str">
        <f>IFERROR(VLOOKUP(AS828,tbFactorMes,2,FALSE),"")</f>
        <v/>
      </c>
      <c r="AU828">
        <f t="shared" si="176"/>
        <v>0</v>
      </c>
      <c r="AX828" t="str">
        <f>IFERROR(VLOOKUP(AW828,tbFactorMes,2,FALSE),"")</f>
        <v/>
      </c>
      <c r="AY828">
        <f t="shared" si="177"/>
        <v>0</v>
      </c>
      <c r="BB828" t="str">
        <f>IFERROR(VLOOKUP(BA828,tbFactorMes,2,FALSE),"")</f>
        <v/>
      </c>
      <c r="BC828">
        <f t="shared" si="178"/>
        <v>0</v>
      </c>
      <c r="BF828" t="str">
        <f>IFERROR(VLOOKUP(BE828,tbFactorMes,2,FALSE),"")</f>
        <v/>
      </c>
      <c r="BG828">
        <f t="shared" si="179"/>
        <v>0</v>
      </c>
      <c r="BH828">
        <f t="shared" si="180"/>
        <v>0</v>
      </c>
      <c r="BI828">
        <f t="shared" si="181"/>
        <v>0</v>
      </c>
    </row>
    <row r="829" spans="11:61" x14ac:dyDescent="0.35">
      <c r="K829" t="str">
        <f>IFERROR(VLOOKUP(F829,tbTurnos,3,FALSE),"")</f>
        <v/>
      </c>
      <c r="N829" t="str">
        <f>IFERROR(VLOOKUP(M829,tbFactorMes,2,FALSE),"")</f>
        <v/>
      </c>
      <c r="O829">
        <f t="shared" si="168"/>
        <v>0</v>
      </c>
      <c r="R829" t="str">
        <f>IFERROR(VLOOKUP(Q829,tbFactorMes,2,FALSE),"")</f>
        <v/>
      </c>
      <c r="S829">
        <f t="shared" si="169"/>
        <v>0</v>
      </c>
      <c r="V829" t="str">
        <f>IFERROR(VLOOKUP(U829,tbFactorMes,2,FALSE),"")</f>
        <v/>
      </c>
      <c r="W829">
        <f t="shared" si="170"/>
        <v>0</v>
      </c>
      <c r="Z829" t="str">
        <f>IFERROR(VLOOKUP(Y829,tbFactorMes,2,FALSE),"")</f>
        <v/>
      </c>
      <c r="AA829">
        <f t="shared" si="171"/>
        <v>0</v>
      </c>
      <c r="AD829" t="str">
        <f>IFERROR(VLOOKUP(AC829,tbFactorMes,2,FALSE),"")</f>
        <v/>
      </c>
      <c r="AE829">
        <f t="shared" si="172"/>
        <v>0</v>
      </c>
      <c r="AH829" t="str">
        <f>IFERROR(VLOOKUP(AG829,tbFactorMes,2,FALSE),"")</f>
        <v/>
      </c>
      <c r="AI829">
        <f t="shared" si="173"/>
        <v>0</v>
      </c>
      <c r="AL829" t="str">
        <f>IFERROR(VLOOKUP(AK829,tbFactorMes,2,FALSE),"")</f>
        <v/>
      </c>
      <c r="AM829">
        <f t="shared" si="174"/>
        <v>0</v>
      </c>
      <c r="AP829" t="str">
        <f>IFERROR(VLOOKUP(AO829,tbFactorMes,2,FALSE),"")</f>
        <v/>
      </c>
      <c r="AQ829">
        <f t="shared" si="175"/>
        <v>0</v>
      </c>
      <c r="AT829" t="str">
        <f>IFERROR(VLOOKUP(AS829,tbFactorMes,2,FALSE),"")</f>
        <v/>
      </c>
      <c r="AU829">
        <f t="shared" si="176"/>
        <v>0</v>
      </c>
      <c r="AX829" t="str">
        <f>IFERROR(VLOOKUP(AW829,tbFactorMes,2,FALSE),"")</f>
        <v/>
      </c>
      <c r="AY829">
        <f t="shared" si="177"/>
        <v>0</v>
      </c>
      <c r="BB829" t="str">
        <f>IFERROR(VLOOKUP(BA829,tbFactorMes,2,FALSE),"")</f>
        <v/>
      </c>
      <c r="BC829">
        <f t="shared" si="178"/>
        <v>0</v>
      </c>
      <c r="BF829" t="str">
        <f>IFERROR(VLOOKUP(BE829,tbFactorMes,2,FALSE),"")</f>
        <v/>
      </c>
      <c r="BG829">
        <f t="shared" si="179"/>
        <v>0</v>
      </c>
      <c r="BH829">
        <f t="shared" si="180"/>
        <v>0</v>
      </c>
      <c r="BI829">
        <f t="shared" si="181"/>
        <v>0</v>
      </c>
    </row>
    <row r="830" spans="11:61" x14ac:dyDescent="0.35">
      <c r="K830" t="str">
        <f>IFERROR(VLOOKUP(F830,tbTurnos,3,FALSE),"")</f>
        <v/>
      </c>
      <c r="N830" t="str">
        <f>IFERROR(VLOOKUP(M830,tbFactorMes,2,FALSE),"")</f>
        <v/>
      </c>
      <c r="O830">
        <f t="shared" si="168"/>
        <v>0</v>
      </c>
      <c r="R830" t="str">
        <f>IFERROR(VLOOKUP(Q830,tbFactorMes,2,FALSE),"")</f>
        <v/>
      </c>
      <c r="S830">
        <f t="shared" si="169"/>
        <v>0</v>
      </c>
      <c r="V830" t="str">
        <f>IFERROR(VLOOKUP(U830,tbFactorMes,2,FALSE),"")</f>
        <v/>
      </c>
      <c r="W830">
        <f t="shared" si="170"/>
        <v>0</v>
      </c>
      <c r="Z830" t="str">
        <f>IFERROR(VLOOKUP(Y830,tbFactorMes,2,FALSE),"")</f>
        <v/>
      </c>
      <c r="AA830">
        <f t="shared" si="171"/>
        <v>0</v>
      </c>
      <c r="AD830" t="str">
        <f>IFERROR(VLOOKUP(AC830,tbFactorMes,2,FALSE),"")</f>
        <v/>
      </c>
      <c r="AE830">
        <f t="shared" si="172"/>
        <v>0</v>
      </c>
      <c r="AH830" t="str">
        <f>IFERROR(VLOOKUP(AG830,tbFactorMes,2,FALSE),"")</f>
        <v/>
      </c>
      <c r="AI830">
        <f t="shared" si="173"/>
        <v>0</v>
      </c>
      <c r="AL830" t="str">
        <f>IFERROR(VLOOKUP(AK830,tbFactorMes,2,FALSE),"")</f>
        <v/>
      </c>
      <c r="AM830">
        <f t="shared" si="174"/>
        <v>0</v>
      </c>
      <c r="AP830" t="str">
        <f>IFERROR(VLOOKUP(AO830,tbFactorMes,2,FALSE),"")</f>
        <v/>
      </c>
      <c r="AQ830">
        <f t="shared" si="175"/>
        <v>0</v>
      </c>
      <c r="AT830" t="str">
        <f>IFERROR(VLOOKUP(AS830,tbFactorMes,2,FALSE),"")</f>
        <v/>
      </c>
      <c r="AU830">
        <f t="shared" si="176"/>
        <v>0</v>
      </c>
      <c r="AX830" t="str">
        <f>IFERROR(VLOOKUP(AW830,tbFactorMes,2,FALSE),"")</f>
        <v/>
      </c>
      <c r="AY830">
        <f t="shared" si="177"/>
        <v>0</v>
      </c>
      <c r="BB830" t="str">
        <f>IFERROR(VLOOKUP(BA830,tbFactorMes,2,FALSE),"")</f>
        <v/>
      </c>
      <c r="BC830">
        <f t="shared" si="178"/>
        <v>0</v>
      </c>
      <c r="BF830" t="str">
        <f>IFERROR(VLOOKUP(BE830,tbFactorMes,2,FALSE),"")</f>
        <v/>
      </c>
      <c r="BG830">
        <f t="shared" si="179"/>
        <v>0</v>
      </c>
      <c r="BH830">
        <f t="shared" si="180"/>
        <v>0</v>
      </c>
      <c r="BI830">
        <f t="shared" si="181"/>
        <v>0</v>
      </c>
    </row>
    <row r="831" spans="11:61" x14ac:dyDescent="0.35">
      <c r="K831" t="str">
        <f>IFERROR(VLOOKUP(F831,tbTurnos,3,FALSE),"")</f>
        <v/>
      </c>
      <c r="N831" t="str">
        <f>IFERROR(VLOOKUP(M831,tbFactorMes,2,FALSE),"")</f>
        <v/>
      </c>
      <c r="O831">
        <f t="shared" si="168"/>
        <v>0</v>
      </c>
      <c r="R831" t="str">
        <f>IFERROR(VLOOKUP(Q831,tbFactorMes,2,FALSE),"")</f>
        <v/>
      </c>
      <c r="S831">
        <f t="shared" si="169"/>
        <v>0</v>
      </c>
      <c r="V831" t="str">
        <f>IFERROR(VLOOKUP(U831,tbFactorMes,2,FALSE),"")</f>
        <v/>
      </c>
      <c r="W831">
        <f t="shared" si="170"/>
        <v>0</v>
      </c>
      <c r="Z831" t="str">
        <f>IFERROR(VLOOKUP(Y831,tbFactorMes,2,FALSE),"")</f>
        <v/>
      </c>
      <c r="AA831">
        <f t="shared" si="171"/>
        <v>0</v>
      </c>
      <c r="AD831" t="str">
        <f>IFERROR(VLOOKUP(AC831,tbFactorMes,2,FALSE),"")</f>
        <v/>
      </c>
      <c r="AE831">
        <f t="shared" si="172"/>
        <v>0</v>
      </c>
      <c r="AH831" t="str">
        <f>IFERROR(VLOOKUP(AG831,tbFactorMes,2,FALSE),"")</f>
        <v/>
      </c>
      <c r="AI831">
        <f t="shared" si="173"/>
        <v>0</v>
      </c>
      <c r="AL831" t="str">
        <f>IFERROR(VLOOKUP(AK831,tbFactorMes,2,FALSE),"")</f>
        <v/>
      </c>
      <c r="AM831">
        <f t="shared" si="174"/>
        <v>0</v>
      </c>
      <c r="AP831" t="str">
        <f>IFERROR(VLOOKUP(AO831,tbFactorMes,2,FALSE),"")</f>
        <v/>
      </c>
      <c r="AQ831">
        <f t="shared" si="175"/>
        <v>0</v>
      </c>
      <c r="AT831" t="str">
        <f>IFERROR(VLOOKUP(AS831,tbFactorMes,2,FALSE),"")</f>
        <v/>
      </c>
      <c r="AU831">
        <f t="shared" si="176"/>
        <v>0</v>
      </c>
      <c r="AX831" t="str">
        <f>IFERROR(VLOOKUP(AW831,tbFactorMes,2,FALSE),"")</f>
        <v/>
      </c>
      <c r="AY831">
        <f t="shared" si="177"/>
        <v>0</v>
      </c>
      <c r="BB831" t="str">
        <f>IFERROR(VLOOKUP(BA831,tbFactorMes,2,FALSE),"")</f>
        <v/>
      </c>
      <c r="BC831">
        <f t="shared" si="178"/>
        <v>0</v>
      </c>
      <c r="BF831" t="str">
        <f>IFERROR(VLOOKUP(BE831,tbFactorMes,2,FALSE),"")</f>
        <v/>
      </c>
      <c r="BG831">
        <f t="shared" si="179"/>
        <v>0</v>
      </c>
      <c r="BH831">
        <f t="shared" si="180"/>
        <v>0</v>
      </c>
      <c r="BI831">
        <f t="shared" si="181"/>
        <v>0</v>
      </c>
    </row>
    <row r="832" spans="11:61" x14ac:dyDescent="0.35">
      <c r="K832" t="str">
        <f>IFERROR(VLOOKUP(F832,tbTurnos,3,FALSE),"")</f>
        <v/>
      </c>
      <c r="N832" t="str">
        <f>IFERROR(VLOOKUP(M832,tbFactorMes,2,FALSE),"")</f>
        <v/>
      </c>
      <c r="O832">
        <f t="shared" si="168"/>
        <v>0</v>
      </c>
      <c r="R832" t="str">
        <f>IFERROR(VLOOKUP(Q832,tbFactorMes,2,FALSE),"")</f>
        <v/>
      </c>
      <c r="S832">
        <f t="shared" si="169"/>
        <v>0</v>
      </c>
      <c r="V832" t="str">
        <f>IFERROR(VLOOKUP(U832,tbFactorMes,2,FALSE),"")</f>
        <v/>
      </c>
      <c r="W832">
        <f t="shared" si="170"/>
        <v>0</v>
      </c>
      <c r="Z832" t="str">
        <f>IFERROR(VLOOKUP(Y832,tbFactorMes,2,FALSE),"")</f>
        <v/>
      </c>
      <c r="AA832">
        <f t="shared" si="171"/>
        <v>0</v>
      </c>
      <c r="AD832" t="str">
        <f>IFERROR(VLOOKUP(AC832,tbFactorMes,2,FALSE),"")</f>
        <v/>
      </c>
      <c r="AE832">
        <f t="shared" si="172"/>
        <v>0</v>
      </c>
      <c r="AH832" t="str">
        <f>IFERROR(VLOOKUP(AG832,tbFactorMes,2,FALSE),"")</f>
        <v/>
      </c>
      <c r="AI832">
        <f t="shared" si="173"/>
        <v>0</v>
      </c>
      <c r="AL832" t="str">
        <f>IFERROR(VLOOKUP(AK832,tbFactorMes,2,FALSE),"")</f>
        <v/>
      </c>
      <c r="AM832">
        <f t="shared" si="174"/>
        <v>0</v>
      </c>
      <c r="AP832" t="str">
        <f>IFERROR(VLOOKUP(AO832,tbFactorMes,2,FALSE),"")</f>
        <v/>
      </c>
      <c r="AQ832">
        <f t="shared" si="175"/>
        <v>0</v>
      </c>
      <c r="AT832" t="str">
        <f>IFERROR(VLOOKUP(AS832,tbFactorMes,2,FALSE),"")</f>
        <v/>
      </c>
      <c r="AU832">
        <f t="shared" si="176"/>
        <v>0</v>
      </c>
      <c r="AX832" t="str">
        <f>IFERROR(VLOOKUP(AW832,tbFactorMes,2,FALSE),"")</f>
        <v/>
      </c>
      <c r="AY832">
        <f t="shared" si="177"/>
        <v>0</v>
      </c>
      <c r="BB832" t="str">
        <f>IFERROR(VLOOKUP(BA832,tbFactorMes,2,FALSE),"")</f>
        <v/>
      </c>
      <c r="BC832">
        <f t="shared" si="178"/>
        <v>0</v>
      </c>
      <c r="BF832" t="str">
        <f>IFERROR(VLOOKUP(BE832,tbFactorMes,2,FALSE),"")</f>
        <v/>
      </c>
      <c r="BG832">
        <f t="shared" si="179"/>
        <v>0</v>
      </c>
      <c r="BH832">
        <f t="shared" si="180"/>
        <v>0</v>
      </c>
      <c r="BI832">
        <f t="shared" si="181"/>
        <v>0</v>
      </c>
    </row>
    <row r="833" spans="11:61" x14ac:dyDescent="0.35">
      <c r="K833" t="str">
        <f>IFERROR(VLOOKUP(F833,tbTurnos,3,FALSE),"")</f>
        <v/>
      </c>
      <c r="N833" t="str">
        <f>IFERROR(VLOOKUP(M833,tbFactorMes,2,FALSE),"")</f>
        <v/>
      </c>
      <c r="O833">
        <f t="shared" si="168"/>
        <v>0</v>
      </c>
      <c r="R833" t="str">
        <f>IFERROR(VLOOKUP(Q833,tbFactorMes,2,FALSE),"")</f>
        <v/>
      </c>
      <c r="S833">
        <f t="shared" si="169"/>
        <v>0</v>
      </c>
      <c r="V833" t="str">
        <f>IFERROR(VLOOKUP(U833,tbFactorMes,2,FALSE),"")</f>
        <v/>
      </c>
      <c r="W833">
        <f t="shared" si="170"/>
        <v>0</v>
      </c>
      <c r="Z833" t="str">
        <f>IFERROR(VLOOKUP(Y833,tbFactorMes,2,FALSE),"")</f>
        <v/>
      </c>
      <c r="AA833">
        <f t="shared" si="171"/>
        <v>0</v>
      </c>
      <c r="AD833" t="str">
        <f>IFERROR(VLOOKUP(AC833,tbFactorMes,2,FALSE),"")</f>
        <v/>
      </c>
      <c r="AE833">
        <f t="shared" si="172"/>
        <v>0</v>
      </c>
      <c r="AH833" t="str">
        <f>IFERROR(VLOOKUP(AG833,tbFactorMes,2,FALSE),"")</f>
        <v/>
      </c>
      <c r="AI833">
        <f t="shared" si="173"/>
        <v>0</v>
      </c>
      <c r="AL833" t="str">
        <f>IFERROR(VLOOKUP(AK833,tbFactorMes,2,FALSE),"")</f>
        <v/>
      </c>
      <c r="AM833">
        <f t="shared" si="174"/>
        <v>0</v>
      </c>
      <c r="AP833" t="str">
        <f>IFERROR(VLOOKUP(AO833,tbFactorMes,2,FALSE),"")</f>
        <v/>
      </c>
      <c r="AQ833">
        <f t="shared" si="175"/>
        <v>0</v>
      </c>
      <c r="AT833" t="str">
        <f>IFERROR(VLOOKUP(AS833,tbFactorMes,2,FALSE),"")</f>
        <v/>
      </c>
      <c r="AU833">
        <f t="shared" si="176"/>
        <v>0</v>
      </c>
      <c r="AX833" t="str">
        <f>IFERROR(VLOOKUP(AW833,tbFactorMes,2,FALSE),"")</f>
        <v/>
      </c>
      <c r="AY833">
        <f t="shared" si="177"/>
        <v>0</v>
      </c>
      <c r="BB833" t="str">
        <f>IFERROR(VLOOKUP(BA833,tbFactorMes,2,FALSE),"")</f>
        <v/>
      </c>
      <c r="BC833">
        <f t="shared" si="178"/>
        <v>0</v>
      </c>
      <c r="BF833" t="str">
        <f>IFERROR(VLOOKUP(BE833,tbFactorMes,2,FALSE),"")</f>
        <v/>
      </c>
      <c r="BG833">
        <f t="shared" si="179"/>
        <v>0</v>
      </c>
      <c r="BH833">
        <f t="shared" si="180"/>
        <v>0</v>
      </c>
      <c r="BI833">
        <f t="shared" si="181"/>
        <v>0</v>
      </c>
    </row>
    <row r="834" spans="11:61" x14ac:dyDescent="0.35">
      <c r="K834" t="str">
        <f>IFERROR(VLOOKUP(F834,tbTurnos,3,FALSE),"")</f>
        <v/>
      </c>
      <c r="N834" t="str">
        <f>IFERROR(VLOOKUP(M834,tbFactorMes,2,FALSE),"")</f>
        <v/>
      </c>
      <c r="O834">
        <f t="shared" ref="O834:O897" si="182">IFERROR((L834*$K834)/N834,0)*$J834</f>
        <v>0</v>
      </c>
      <c r="R834" t="str">
        <f>IFERROR(VLOOKUP(Q834,tbFactorMes,2,FALSE),"")</f>
        <v/>
      </c>
      <c r="S834">
        <f t="shared" ref="S834:S897" si="183">IFERROR((P834*$K834)/R834,0)*$J834</f>
        <v>0</v>
      </c>
      <c r="V834" t="str">
        <f>IFERROR(VLOOKUP(U834,tbFactorMes,2,FALSE),"")</f>
        <v/>
      </c>
      <c r="W834">
        <f t="shared" ref="W834:W897" si="184">IFERROR((T834*$K834)/V834,0)*$J834</f>
        <v>0</v>
      </c>
      <c r="Z834" t="str">
        <f>IFERROR(VLOOKUP(Y834,tbFactorMes,2,FALSE),"")</f>
        <v/>
      </c>
      <c r="AA834">
        <f t="shared" ref="AA834:AA897" si="185">IFERROR((X834*$K834)/Z834,0)*$J834</f>
        <v>0</v>
      </c>
      <c r="AD834" t="str">
        <f>IFERROR(VLOOKUP(AC834,tbFactorMes,2,FALSE),"")</f>
        <v/>
      </c>
      <c r="AE834">
        <f t="shared" ref="AE834:AE897" si="186">IFERROR((AB834*$K834)/AD834,0)*$J834</f>
        <v>0</v>
      </c>
      <c r="AH834" t="str">
        <f>IFERROR(VLOOKUP(AG834,tbFactorMes,2,FALSE),"")</f>
        <v/>
      </c>
      <c r="AI834">
        <f t="shared" ref="AI834:AI897" si="187">IFERROR((AF834*$K834)/AH834,0)*$J834</f>
        <v>0</v>
      </c>
      <c r="AL834" t="str">
        <f>IFERROR(VLOOKUP(AK834,tbFactorMes,2,FALSE),"")</f>
        <v/>
      </c>
      <c r="AM834">
        <f t="shared" ref="AM834:AM897" si="188">IFERROR((AJ834*$K834)/AL834,0)*$J834</f>
        <v>0</v>
      </c>
      <c r="AP834" t="str">
        <f>IFERROR(VLOOKUP(AO834,tbFactorMes,2,FALSE),"")</f>
        <v/>
      </c>
      <c r="AQ834">
        <f t="shared" ref="AQ834:AQ897" si="189">IFERROR((AN834*$K834)/AP834,0)*$J834</f>
        <v>0</v>
      </c>
      <c r="AT834" t="str">
        <f>IFERROR(VLOOKUP(AS834,tbFactorMes,2,FALSE),"")</f>
        <v/>
      </c>
      <c r="AU834">
        <f t="shared" ref="AU834:AU897" si="190">IFERROR((AR834*$K834)/AT834,0)*$J834</f>
        <v>0</v>
      </c>
      <c r="AX834" t="str">
        <f>IFERROR(VLOOKUP(AW834,tbFactorMes,2,FALSE),"")</f>
        <v/>
      </c>
      <c r="AY834">
        <f t="shared" ref="AY834:AY897" si="191">IFERROR((AV834*$K834)/AX834,0)*$J834</f>
        <v>0</v>
      </c>
      <c r="BB834" t="str">
        <f>IFERROR(VLOOKUP(BA834,tbFactorMes,2,FALSE),"")</f>
        <v/>
      </c>
      <c r="BC834">
        <f t="shared" ref="BC834:BC897" si="192">IFERROR((AZ834*$K834)/BB834,0)*$J834</f>
        <v>0</v>
      </c>
      <c r="BF834" t="str">
        <f>IFERROR(VLOOKUP(BE834,tbFactorMes,2,FALSE),"")</f>
        <v/>
      </c>
      <c r="BG834">
        <f t="shared" ref="BG834:BG897" si="193">IFERROR((BD834*$K834)/BF834,0)*$J834</f>
        <v>0</v>
      </c>
      <c r="BH834">
        <f t="shared" ref="BH834:BH897" si="194">IFERROR(SUM(O834,S834,W834,AA834,AE834,AI834,AM834,AQ834,AU834,AY834,BC834,BG834),0)</f>
        <v>0</v>
      </c>
      <c r="BI834">
        <f t="shared" ref="BI834:BI897" si="195">IFERROR(BH834*(1-$I834),0)</f>
        <v>0</v>
      </c>
    </row>
    <row r="835" spans="11:61" x14ac:dyDescent="0.35">
      <c r="K835" t="str">
        <f>IFERROR(VLOOKUP(F835,tbTurnos,3,FALSE),"")</f>
        <v/>
      </c>
      <c r="N835" t="str">
        <f>IFERROR(VLOOKUP(M835,tbFactorMes,2,FALSE),"")</f>
        <v/>
      </c>
      <c r="O835">
        <f t="shared" si="182"/>
        <v>0</v>
      </c>
      <c r="R835" t="str">
        <f>IFERROR(VLOOKUP(Q835,tbFactorMes,2,FALSE),"")</f>
        <v/>
      </c>
      <c r="S835">
        <f t="shared" si="183"/>
        <v>0</v>
      </c>
      <c r="V835" t="str">
        <f>IFERROR(VLOOKUP(U835,tbFactorMes,2,FALSE),"")</f>
        <v/>
      </c>
      <c r="W835">
        <f t="shared" si="184"/>
        <v>0</v>
      </c>
      <c r="Z835" t="str">
        <f>IFERROR(VLOOKUP(Y835,tbFactorMes,2,FALSE),"")</f>
        <v/>
      </c>
      <c r="AA835">
        <f t="shared" si="185"/>
        <v>0</v>
      </c>
      <c r="AD835" t="str">
        <f>IFERROR(VLOOKUP(AC835,tbFactorMes,2,FALSE),"")</f>
        <v/>
      </c>
      <c r="AE835">
        <f t="shared" si="186"/>
        <v>0</v>
      </c>
      <c r="AH835" t="str">
        <f>IFERROR(VLOOKUP(AG835,tbFactorMes,2,FALSE),"")</f>
        <v/>
      </c>
      <c r="AI835">
        <f t="shared" si="187"/>
        <v>0</v>
      </c>
      <c r="AL835" t="str">
        <f>IFERROR(VLOOKUP(AK835,tbFactorMes,2,FALSE),"")</f>
        <v/>
      </c>
      <c r="AM835">
        <f t="shared" si="188"/>
        <v>0</v>
      </c>
      <c r="AP835" t="str">
        <f>IFERROR(VLOOKUP(AO835,tbFactorMes,2,FALSE),"")</f>
        <v/>
      </c>
      <c r="AQ835">
        <f t="shared" si="189"/>
        <v>0</v>
      </c>
      <c r="AT835" t="str">
        <f>IFERROR(VLOOKUP(AS835,tbFactorMes,2,FALSE),"")</f>
        <v/>
      </c>
      <c r="AU835">
        <f t="shared" si="190"/>
        <v>0</v>
      </c>
      <c r="AX835" t="str">
        <f>IFERROR(VLOOKUP(AW835,tbFactorMes,2,FALSE),"")</f>
        <v/>
      </c>
      <c r="AY835">
        <f t="shared" si="191"/>
        <v>0</v>
      </c>
      <c r="BB835" t="str">
        <f>IFERROR(VLOOKUP(BA835,tbFactorMes,2,FALSE),"")</f>
        <v/>
      </c>
      <c r="BC835">
        <f t="shared" si="192"/>
        <v>0</v>
      </c>
      <c r="BF835" t="str">
        <f>IFERROR(VLOOKUP(BE835,tbFactorMes,2,FALSE),"")</f>
        <v/>
      </c>
      <c r="BG835">
        <f t="shared" si="193"/>
        <v>0</v>
      </c>
      <c r="BH835">
        <f t="shared" si="194"/>
        <v>0</v>
      </c>
      <c r="BI835">
        <f t="shared" si="195"/>
        <v>0</v>
      </c>
    </row>
    <row r="836" spans="11:61" x14ac:dyDescent="0.35">
      <c r="K836" t="str">
        <f>IFERROR(VLOOKUP(F836,tbTurnos,3,FALSE),"")</f>
        <v/>
      </c>
      <c r="N836" t="str">
        <f>IFERROR(VLOOKUP(M836,tbFactorMes,2,FALSE),"")</f>
        <v/>
      </c>
      <c r="O836">
        <f t="shared" si="182"/>
        <v>0</v>
      </c>
      <c r="R836" t="str">
        <f>IFERROR(VLOOKUP(Q836,tbFactorMes,2,FALSE),"")</f>
        <v/>
      </c>
      <c r="S836">
        <f t="shared" si="183"/>
        <v>0</v>
      </c>
      <c r="V836" t="str">
        <f>IFERROR(VLOOKUP(U836,tbFactorMes,2,FALSE),"")</f>
        <v/>
      </c>
      <c r="W836">
        <f t="shared" si="184"/>
        <v>0</v>
      </c>
      <c r="Z836" t="str">
        <f>IFERROR(VLOOKUP(Y836,tbFactorMes,2,FALSE),"")</f>
        <v/>
      </c>
      <c r="AA836">
        <f t="shared" si="185"/>
        <v>0</v>
      </c>
      <c r="AD836" t="str">
        <f>IFERROR(VLOOKUP(AC836,tbFactorMes,2,FALSE),"")</f>
        <v/>
      </c>
      <c r="AE836">
        <f t="shared" si="186"/>
        <v>0</v>
      </c>
      <c r="AH836" t="str">
        <f>IFERROR(VLOOKUP(AG836,tbFactorMes,2,FALSE),"")</f>
        <v/>
      </c>
      <c r="AI836">
        <f t="shared" si="187"/>
        <v>0</v>
      </c>
      <c r="AL836" t="str">
        <f>IFERROR(VLOOKUP(AK836,tbFactorMes,2,FALSE),"")</f>
        <v/>
      </c>
      <c r="AM836">
        <f t="shared" si="188"/>
        <v>0</v>
      </c>
      <c r="AP836" t="str">
        <f>IFERROR(VLOOKUP(AO836,tbFactorMes,2,FALSE),"")</f>
        <v/>
      </c>
      <c r="AQ836">
        <f t="shared" si="189"/>
        <v>0</v>
      </c>
      <c r="AT836" t="str">
        <f>IFERROR(VLOOKUP(AS836,tbFactorMes,2,FALSE),"")</f>
        <v/>
      </c>
      <c r="AU836">
        <f t="shared" si="190"/>
        <v>0</v>
      </c>
      <c r="AX836" t="str">
        <f>IFERROR(VLOOKUP(AW836,tbFactorMes,2,FALSE),"")</f>
        <v/>
      </c>
      <c r="AY836">
        <f t="shared" si="191"/>
        <v>0</v>
      </c>
      <c r="BB836" t="str">
        <f>IFERROR(VLOOKUP(BA836,tbFactorMes,2,FALSE),"")</f>
        <v/>
      </c>
      <c r="BC836">
        <f t="shared" si="192"/>
        <v>0</v>
      </c>
      <c r="BF836" t="str">
        <f>IFERROR(VLOOKUP(BE836,tbFactorMes,2,FALSE),"")</f>
        <v/>
      </c>
      <c r="BG836">
        <f t="shared" si="193"/>
        <v>0</v>
      </c>
      <c r="BH836">
        <f t="shared" si="194"/>
        <v>0</v>
      </c>
      <c r="BI836">
        <f t="shared" si="195"/>
        <v>0</v>
      </c>
    </row>
    <row r="837" spans="11:61" x14ac:dyDescent="0.35">
      <c r="K837" t="str">
        <f>IFERROR(VLOOKUP(F837,tbTurnos,3,FALSE),"")</f>
        <v/>
      </c>
      <c r="N837" t="str">
        <f>IFERROR(VLOOKUP(M837,tbFactorMes,2,FALSE),"")</f>
        <v/>
      </c>
      <c r="O837">
        <f t="shared" si="182"/>
        <v>0</v>
      </c>
      <c r="R837" t="str">
        <f>IFERROR(VLOOKUP(Q837,tbFactorMes,2,FALSE),"")</f>
        <v/>
      </c>
      <c r="S837">
        <f t="shared" si="183"/>
        <v>0</v>
      </c>
      <c r="V837" t="str">
        <f>IFERROR(VLOOKUP(U837,tbFactorMes,2,FALSE),"")</f>
        <v/>
      </c>
      <c r="W837">
        <f t="shared" si="184"/>
        <v>0</v>
      </c>
      <c r="Z837" t="str">
        <f>IFERROR(VLOOKUP(Y837,tbFactorMes,2,FALSE),"")</f>
        <v/>
      </c>
      <c r="AA837">
        <f t="shared" si="185"/>
        <v>0</v>
      </c>
      <c r="AD837" t="str">
        <f>IFERROR(VLOOKUP(AC837,tbFactorMes,2,FALSE),"")</f>
        <v/>
      </c>
      <c r="AE837">
        <f t="shared" si="186"/>
        <v>0</v>
      </c>
      <c r="AH837" t="str">
        <f>IFERROR(VLOOKUP(AG837,tbFactorMes,2,FALSE),"")</f>
        <v/>
      </c>
      <c r="AI837">
        <f t="shared" si="187"/>
        <v>0</v>
      </c>
      <c r="AL837" t="str">
        <f>IFERROR(VLOOKUP(AK837,tbFactorMes,2,FALSE),"")</f>
        <v/>
      </c>
      <c r="AM837">
        <f t="shared" si="188"/>
        <v>0</v>
      </c>
      <c r="AP837" t="str">
        <f>IFERROR(VLOOKUP(AO837,tbFactorMes,2,FALSE),"")</f>
        <v/>
      </c>
      <c r="AQ837">
        <f t="shared" si="189"/>
        <v>0</v>
      </c>
      <c r="AT837" t="str">
        <f>IFERROR(VLOOKUP(AS837,tbFactorMes,2,FALSE),"")</f>
        <v/>
      </c>
      <c r="AU837">
        <f t="shared" si="190"/>
        <v>0</v>
      </c>
      <c r="AX837" t="str">
        <f>IFERROR(VLOOKUP(AW837,tbFactorMes,2,FALSE),"")</f>
        <v/>
      </c>
      <c r="AY837">
        <f t="shared" si="191"/>
        <v>0</v>
      </c>
      <c r="BB837" t="str">
        <f>IFERROR(VLOOKUP(BA837,tbFactorMes,2,FALSE),"")</f>
        <v/>
      </c>
      <c r="BC837">
        <f t="shared" si="192"/>
        <v>0</v>
      </c>
      <c r="BF837" t="str">
        <f>IFERROR(VLOOKUP(BE837,tbFactorMes,2,FALSE),"")</f>
        <v/>
      </c>
      <c r="BG837">
        <f t="shared" si="193"/>
        <v>0</v>
      </c>
      <c r="BH837">
        <f t="shared" si="194"/>
        <v>0</v>
      </c>
      <c r="BI837">
        <f t="shared" si="195"/>
        <v>0</v>
      </c>
    </row>
    <row r="838" spans="11:61" x14ac:dyDescent="0.35">
      <c r="K838" t="str">
        <f>IFERROR(VLOOKUP(F838,tbTurnos,3,FALSE),"")</f>
        <v/>
      </c>
      <c r="N838" t="str">
        <f>IFERROR(VLOOKUP(M838,tbFactorMes,2,FALSE),"")</f>
        <v/>
      </c>
      <c r="O838">
        <f t="shared" si="182"/>
        <v>0</v>
      </c>
      <c r="R838" t="str">
        <f>IFERROR(VLOOKUP(Q838,tbFactorMes,2,FALSE),"")</f>
        <v/>
      </c>
      <c r="S838">
        <f t="shared" si="183"/>
        <v>0</v>
      </c>
      <c r="V838" t="str">
        <f>IFERROR(VLOOKUP(U838,tbFactorMes,2,FALSE),"")</f>
        <v/>
      </c>
      <c r="W838">
        <f t="shared" si="184"/>
        <v>0</v>
      </c>
      <c r="Z838" t="str">
        <f>IFERROR(VLOOKUP(Y838,tbFactorMes,2,FALSE),"")</f>
        <v/>
      </c>
      <c r="AA838">
        <f t="shared" si="185"/>
        <v>0</v>
      </c>
      <c r="AD838" t="str">
        <f>IFERROR(VLOOKUP(AC838,tbFactorMes,2,FALSE),"")</f>
        <v/>
      </c>
      <c r="AE838">
        <f t="shared" si="186"/>
        <v>0</v>
      </c>
      <c r="AH838" t="str">
        <f>IFERROR(VLOOKUP(AG838,tbFactorMes,2,FALSE),"")</f>
        <v/>
      </c>
      <c r="AI838">
        <f t="shared" si="187"/>
        <v>0</v>
      </c>
      <c r="AL838" t="str">
        <f>IFERROR(VLOOKUP(AK838,tbFactorMes,2,FALSE),"")</f>
        <v/>
      </c>
      <c r="AM838">
        <f t="shared" si="188"/>
        <v>0</v>
      </c>
      <c r="AP838" t="str">
        <f>IFERROR(VLOOKUP(AO838,tbFactorMes,2,FALSE),"")</f>
        <v/>
      </c>
      <c r="AQ838">
        <f t="shared" si="189"/>
        <v>0</v>
      </c>
      <c r="AT838" t="str">
        <f>IFERROR(VLOOKUP(AS838,tbFactorMes,2,FALSE),"")</f>
        <v/>
      </c>
      <c r="AU838">
        <f t="shared" si="190"/>
        <v>0</v>
      </c>
      <c r="AX838" t="str">
        <f>IFERROR(VLOOKUP(AW838,tbFactorMes,2,FALSE),"")</f>
        <v/>
      </c>
      <c r="AY838">
        <f t="shared" si="191"/>
        <v>0</v>
      </c>
      <c r="BB838" t="str">
        <f>IFERROR(VLOOKUP(BA838,tbFactorMes,2,FALSE),"")</f>
        <v/>
      </c>
      <c r="BC838">
        <f t="shared" si="192"/>
        <v>0</v>
      </c>
      <c r="BF838" t="str">
        <f>IFERROR(VLOOKUP(BE838,tbFactorMes,2,FALSE),"")</f>
        <v/>
      </c>
      <c r="BG838">
        <f t="shared" si="193"/>
        <v>0</v>
      </c>
      <c r="BH838">
        <f t="shared" si="194"/>
        <v>0</v>
      </c>
      <c r="BI838">
        <f t="shared" si="195"/>
        <v>0</v>
      </c>
    </row>
    <row r="839" spans="11:61" x14ac:dyDescent="0.35">
      <c r="K839" t="str">
        <f>IFERROR(VLOOKUP(F839,tbTurnos,3,FALSE),"")</f>
        <v/>
      </c>
      <c r="N839" t="str">
        <f>IFERROR(VLOOKUP(M839,tbFactorMes,2,FALSE),"")</f>
        <v/>
      </c>
      <c r="O839">
        <f t="shared" si="182"/>
        <v>0</v>
      </c>
      <c r="R839" t="str">
        <f>IFERROR(VLOOKUP(Q839,tbFactorMes,2,FALSE),"")</f>
        <v/>
      </c>
      <c r="S839">
        <f t="shared" si="183"/>
        <v>0</v>
      </c>
      <c r="V839" t="str">
        <f>IFERROR(VLOOKUP(U839,tbFactorMes,2,FALSE),"")</f>
        <v/>
      </c>
      <c r="W839">
        <f t="shared" si="184"/>
        <v>0</v>
      </c>
      <c r="Z839" t="str">
        <f>IFERROR(VLOOKUP(Y839,tbFactorMes,2,FALSE),"")</f>
        <v/>
      </c>
      <c r="AA839">
        <f t="shared" si="185"/>
        <v>0</v>
      </c>
      <c r="AD839" t="str">
        <f>IFERROR(VLOOKUP(AC839,tbFactorMes,2,FALSE),"")</f>
        <v/>
      </c>
      <c r="AE839">
        <f t="shared" si="186"/>
        <v>0</v>
      </c>
      <c r="AH839" t="str">
        <f>IFERROR(VLOOKUP(AG839,tbFactorMes,2,FALSE),"")</f>
        <v/>
      </c>
      <c r="AI839">
        <f t="shared" si="187"/>
        <v>0</v>
      </c>
      <c r="AL839" t="str">
        <f>IFERROR(VLOOKUP(AK839,tbFactorMes,2,FALSE),"")</f>
        <v/>
      </c>
      <c r="AM839">
        <f t="shared" si="188"/>
        <v>0</v>
      </c>
      <c r="AP839" t="str">
        <f>IFERROR(VLOOKUP(AO839,tbFactorMes,2,FALSE),"")</f>
        <v/>
      </c>
      <c r="AQ839">
        <f t="shared" si="189"/>
        <v>0</v>
      </c>
      <c r="AT839" t="str">
        <f>IFERROR(VLOOKUP(AS839,tbFactorMes,2,FALSE),"")</f>
        <v/>
      </c>
      <c r="AU839">
        <f t="shared" si="190"/>
        <v>0</v>
      </c>
      <c r="AX839" t="str">
        <f>IFERROR(VLOOKUP(AW839,tbFactorMes,2,FALSE),"")</f>
        <v/>
      </c>
      <c r="AY839">
        <f t="shared" si="191"/>
        <v>0</v>
      </c>
      <c r="BB839" t="str">
        <f>IFERROR(VLOOKUP(BA839,tbFactorMes,2,FALSE),"")</f>
        <v/>
      </c>
      <c r="BC839">
        <f t="shared" si="192"/>
        <v>0</v>
      </c>
      <c r="BF839" t="str">
        <f>IFERROR(VLOOKUP(BE839,tbFactorMes,2,FALSE),"")</f>
        <v/>
      </c>
      <c r="BG839">
        <f t="shared" si="193"/>
        <v>0</v>
      </c>
      <c r="BH839">
        <f t="shared" si="194"/>
        <v>0</v>
      </c>
      <c r="BI839">
        <f t="shared" si="195"/>
        <v>0</v>
      </c>
    </row>
    <row r="840" spans="11:61" x14ac:dyDescent="0.35">
      <c r="K840" t="str">
        <f>IFERROR(VLOOKUP(F840,tbTurnos,3,FALSE),"")</f>
        <v/>
      </c>
      <c r="N840" t="str">
        <f>IFERROR(VLOOKUP(M840,tbFactorMes,2,FALSE),"")</f>
        <v/>
      </c>
      <c r="O840">
        <f t="shared" si="182"/>
        <v>0</v>
      </c>
      <c r="R840" t="str">
        <f>IFERROR(VLOOKUP(Q840,tbFactorMes,2,FALSE),"")</f>
        <v/>
      </c>
      <c r="S840">
        <f t="shared" si="183"/>
        <v>0</v>
      </c>
      <c r="V840" t="str">
        <f>IFERROR(VLOOKUP(U840,tbFactorMes,2,FALSE),"")</f>
        <v/>
      </c>
      <c r="W840">
        <f t="shared" si="184"/>
        <v>0</v>
      </c>
      <c r="Z840" t="str">
        <f>IFERROR(VLOOKUP(Y840,tbFactorMes,2,FALSE),"")</f>
        <v/>
      </c>
      <c r="AA840">
        <f t="shared" si="185"/>
        <v>0</v>
      </c>
      <c r="AD840" t="str">
        <f>IFERROR(VLOOKUP(AC840,tbFactorMes,2,FALSE),"")</f>
        <v/>
      </c>
      <c r="AE840">
        <f t="shared" si="186"/>
        <v>0</v>
      </c>
      <c r="AH840" t="str">
        <f>IFERROR(VLOOKUP(AG840,tbFactorMes,2,FALSE),"")</f>
        <v/>
      </c>
      <c r="AI840">
        <f t="shared" si="187"/>
        <v>0</v>
      </c>
      <c r="AL840" t="str">
        <f>IFERROR(VLOOKUP(AK840,tbFactorMes,2,FALSE),"")</f>
        <v/>
      </c>
      <c r="AM840">
        <f t="shared" si="188"/>
        <v>0</v>
      </c>
      <c r="AP840" t="str">
        <f>IFERROR(VLOOKUP(AO840,tbFactorMes,2,FALSE),"")</f>
        <v/>
      </c>
      <c r="AQ840">
        <f t="shared" si="189"/>
        <v>0</v>
      </c>
      <c r="AT840" t="str">
        <f>IFERROR(VLOOKUP(AS840,tbFactorMes,2,FALSE),"")</f>
        <v/>
      </c>
      <c r="AU840">
        <f t="shared" si="190"/>
        <v>0</v>
      </c>
      <c r="AX840" t="str">
        <f>IFERROR(VLOOKUP(AW840,tbFactorMes,2,FALSE),"")</f>
        <v/>
      </c>
      <c r="AY840">
        <f t="shared" si="191"/>
        <v>0</v>
      </c>
      <c r="BB840" t="str">
        <f>IFERROR(VLOOKUP(BA840,tbFactorMes,2,FALSE),"")</f>
        <v/>
      </c>
      <c r="BC840">
        <f t="shared" si="192"/>
        <v>0</v>
      </c>
      <c r="BF840" t="str">
        <f>IFERROR(VLOOKUP(BE840,tbFactorMes,2,FALSE),"")</f>
        <v/>
      </c>
      <c r="BG840">
        <f t="shared" si="193"/>
        <v>0</v>
      </c>
      <c r="BH840">
        <f t="shared" si="194"/>
        <v>0</v>
      </c>
      <c r="BI840">
        <f t="shared" si="195"/>
        <v>0</v>
      </c>
    </row>
    <row r="841" spans="11:61" x14ac:dyDescent="0.35">
      <c r="K841" t="str">
        <f>IFERROR(VLOOKUP(F841,tbTurnos,3,FALSE),"")</f>
        <v/>
      </c>
      <c r="N841" t="str">
        <f>IFERROR(VLOOKUP(M841,tbFactorMes,2,FALSE),"")</f>
        <v/>
      </c>
      <c r="O841">
        <f t="shared" si="182"/>
        <v>0</v>
      </c>
      <c r="R841" t="str">
        <f>IFERROR(VLOOKUP(Q841,tbFactorMes,2,FALSE),"")</f>
        <v/>
      </c>
      <c r="S841">
        <f t="shared" si="183"/>
        <v>0</v>
      </c>
      <c r="V841" t="str">
        <f>IFERROR(VLOOKUP(U841,tbFactorMes,2,FALSE),"")</f>
        <v/>
      </c>
      <c r="W841">
        <f t="shared" si="184"/>
        <v>0</v>
      </c>
      <c r="Z841" t="str">
        <f>IFERROR(VLOOKUP(Y841,tbFactorMes,2,FALSE),"")</f>
        <v/>
      </c>
      <c r="AA841">
        <f t="shared" si="185"/>
        <v>0</v>
      </c>
      <c r="AD841" t="str">
        <f>IFERROR(VLOOKUP(AC841,tbFactorMes,2,FALSE),"")</f>
        <v/>
      </c>
      <c r="AE841">
        <f t="shared" si="186"/>
        <v>0</v>
      </c>
      <c r="AH841" t="str">
        <f>IFERROR(VLOOKUP(AG841,tbFactorMes,2,FALSE),"")</f>
        <v/>
      </c>
      <c r="AI841">
        <f t="shared" si="187"/>
        <v>0</v>
      </c>
      <c r="AL841" t="str">
        <f>IFERROR(VLOOKUP(AK841,tbFactorMes,2,FALSE),"")</f>
        <v/>
      </c>
      <c r="AM841">
        <f t="shared" si="188"/>
        <v>0</v>
      </c>
      <c r="AP841" t="str">
        <f>IFERROR(VLOOKUP(AO841,tbFactorMes,2,FALSE),"")</f>
        <v/>
      </c>
      <c r="AQ841">
        <f t="shared" si="189"/>
        <v>0</v>
      </c>
      <c r="AT841" t="str">
        <f>IFERROR(VLOOKUP(AS841,tbFactorMes,2,FALSE),"")</f>
        <v/>
      </c>
      <c r="AU841">
        <f t="shared" si="190"/>
        <v>0</v>
      </c>
      <c r="AX841" t="str">
        <f>IFERROR(VLOOKUP(AW841,tbFactorMes,2,FALSE),"")</f>
        <v/>
      </c>
      <c r="AY841">
        <f t="shared" si="191"/>
        <v>0</v>
      </c>
      <c r="BB841" t="str">
        <f>IFERROR(VLOOKUP(BA841,tbFactorMes,2,FALSE),"")</f>
        <v/>
      </c>
      <c r="BC841">
        <f t="shared" si="192"/>
        <v>0</v>
      </c>
      <c r="BF841" t="str">
        <f>IFERROR(VLOOKUP(BE841,tbFactorMes,2,FALSE),"")</f>
        <v/>
      </c>
      <c r="BG841">
        <f t="shared" si="193"/>
        <v>0</v>
      </c>
      <c r="BH841">
        <f t="shared" si="194"/>
        <v>0</v>
      </c>
      <c r="BI841">
        <f t="shared" si="195"/>
        <v>0</v>
      </c>
    </row>
    <row r="842" spans="11:61" x14ac:dyDescent="0.35">
      <c r="K842" t="str">
        <f>IFERROR(VLOOKUP(F842,tbTurnos,3,FALSE),"")</f>
        <v/>
      </c>
      <c r="N842" t="str">
        <f>IFERROR(VLOOKUP(M842,tbFactorMes,2,FALSE),"")</f>
        <v/>
      </c>
      <c r="O842">
        <f t="shared" si="182"/>
        <v>0</v>
      </c>
      <c r="R842" t="str">
        <f>IFERROR(VLOOKUP(Q842,tbFactorMes,2,FALSE),"")</f>
        <v/>
      </c>
      <c r="S842">
        <f t="shared" si="183"/>
        <v>0</v>
      </c>
      <c r="V842" t="str">
        <f>IFERROR(VLOOKUP(U842,tbFactorMes,2,FALSE),"")</f>
        <v/>
      </c>
      <c r="W842">
        <f t="shared" si="184"/>
        <v>0</v>
      </c>
      <c r="Z842" t="str">
        <f>IFERROR(VLOOKUP(Y842,tbFactorMes,2,FALSE),"")</f>
        <v/>
      </c>
      <c r="AA842">
        <f t="shared" si="185"/>
        <v>0</v>
      </c>
      <c r="AD842" t="str">
        <f>IFERROR(VLOOKUP(AC842,tbFactorMes,2,FALSE),"")</f>
        <v/>
      </c>
      <c r="AE842">
        <f t="shared" si="186"/>
        <v>0</v>
      </c>
      <c r="AH842" t="str">
        <f>IFERROR(VLOOKUP(AG842,tbFactorMes,2,FALSE),"")</f>
        <v/>
      </c>
      <c r="AI842">
        <f t="shared" si="187"/>
        <v>0</v>
      </c>
      <c r="AL842" t="str">
        <f>IFERROR(VLOOKUP(AK842,tbFactorMes,2,FALSE),"")</f>
        <v/>
      </c>
      <c r="AM842">
        <f t="shared" si="188"/>
        <v>0</v>
      </c>
      <c r="AP842" t="str">
        <f>IFERROR(VLOOKUP(AO842,tbFactorMes,2,FALSE),"")</f>
        <v/>
      </c>
      <c r="AQ842">
        <f t="shared" si="189"/>
        <v>0</v>
      </c>
      <c r="AT842" t="str">
        <f>IFERROR(VLOOKUP(AS842,tbFactorMes,2,FALSE),"")</f>
        <v/>
      </c>
      <c r="AU842">
        <f t="shared" si="190"/>
        <v>0</v>
      </c>
      <c r="AX842" t="str">
        <f>IFERROR(VLOOKUP(AW842,tbFactorMes,2,FALSE),"")</f>
        <v/>
      </c>
      <c r="AY842">
        <f t="shared" si="191"/>
        <v>0</v>
      </c>
      <c r="BB842" t="str">
        <f>IFERROR(VLOOKUP(BA842,tbFactorMes,2,FALSE),"")</f>
        <v/>
      </c>
      <c r="BC842">
        <f t="shared" si="192"/>
        <v>0</v>
      </c>
      <c r="BF842" t="str">
        <f>IFERROR(VLOOKUP(BE842,tbFactorMes,2,FALSE),"")</f>
        <v/>
      </c>
      <c r="BG842">
        <f t="shared" si="193"/>
        <v>0</v>
      </c>
      <c r="BH842">
        <f t="shared" si="194"/>
        <v>0</v>
      </c>
      <c r="BI842">
        <f t="shared" si="195"/>
        <v>0</v>
      </c>
    </row>
    <row r="843" spans="11:61" x14ac:dyDescent="0.35">
      <c r="K843" t="str">
        <f>IFERROR(VLOOKUP(F843,tbTurnos,3,FALSE),"")</f>
        <v/>
      </c>
      <c r="N843" t="str">
        <f>IFERROR(VLOOKUP(M843,tbFactorMes,2,FALSE),"")</f>
        <v/>
      </c>
      <c r="O843">
        <f t="shared" si="182"/>
        <v>0</v>
      </c>
      <c r="R843" t="str">
        <f>IFERROR(VLOOKUP(Q843,tbFactorMes,2,FALSE),"")</f>
        <v/>
      </c>
      <c r="S843">
        <f t="shared" si="183"/>
        <v>0</v>
      </c>
      <c r="V843" t="str">
        <f>IFERROR(VLOOKUP(U843,tbFactorMes,2,FALSE),"")</f>
        <v/>
      </c>
      <c r="W843">
        <f t="shared" si="184"/>
        <v>0</v>
      </c>
      <c r="Z843" t="str">
        <f>IFERROR(VLOOKUP(Y843,tbFactorMes,2,FALSE),"")</f>
        <v/>
      </c>
      <c r="AA843">
        <f t="shared" si="185"/>
        <v>0</v>
      </c>
      <c r="AD843" t="str">
        <f>IFERROR(VLOOKUP(AC843,tbFactorMes,2,FALSE),"")</f>
        <v/>
      </c>
      <c r="AE843">
        <f t="shared" si="186"/>
        <v>0</v>
      </c>
      <c r="AH843" t="str">
        <f>IFERROR(VLOOKUP(AG843,tbFactorMes,2,FALSE),"")</f>
        <v/>
      </c>
      <c r="AI843">
        <f t="shared" si="187"/>
        <v>0</v>
      </c>
      <c r="AL843" t="str">
        <f>IFERROR(VLOOKUP(AK843,tbFactorMes,2,FALSE),"")</f>
        <v/>
      </c>
      <c r="AM843">
        <f t="shared" si="188"/>
        <v>0</v>
      </c>
      <c r="AP843" t="str">
        <f>IFERROR(VLOOKUP(AO843,tbFactorMes,2,FALSE),"")</f>
        <v/>
      </c>
      <c r="AQ843">
        <f t="shared" si="189"/>
        <v>0</v>
      </c>
      <c r="AT843" t="str">
        <f>IFERROR(VLOOKUP(AS843,tbFactorMes,2,FALSE),"")</f>
        <v/>
      </c>
      <c r="AU843">
        <f t="shared" si="190"/>
        <v>0</v>
      </c>
      <c r="AX843" t="str">
        <f>IFERROR(VLOOKUP(AW843,tbFactorMes,2,FALSE),"")</f>
        <v/>
      </c>
      <c r="AY843">
        <f t="shared" si="191"/>
        <v>0</v>
      </c>
      <c r="BB843" t="str">
        <f>IFERROR(VLOOKUP(BA843,tbFactorMes,2,FALSE),"")</f>
        <v/>
      </c>
      <c r="BC843">
        <f t="shared" si="192"/>
        <v>0</v>
      </c>
      <c r="BF843" t="str">
        <f>IFERROR(VLOOKUP(BE843,tbFactorMes,2,FALSE),"")</f>
        <v/>
      </c>
      <c r="BG843">
        <f t="shared" si="193"/>
        <v>0</v>
      </c>
      <c r="BH843">
        <f t="shared" si="194"/>
        <v>0</v>
      </c>
      <c r="BI843">
        <f t="shared" si="195"/>
        <v>0</v>
      </c>
    </row>
    <row r="844" spans="11:61" x14ac:dyDescent="0.35">
      <c r="K844" t="str">
        <f>IFERROR(VLOOKUP(F844,tbTurnos,3,FALSE),"")</f>
        <v/>
      </c>
      <c r="N844" t="str">
        <f>IFERROR(VLOOKUP(M844,tbFactorMes,2,FALSE),"")</f>
        <v/>
      </c>
      <c r="O844">
        <f t="shared" si="182"/>
        <v>0</v>
      </c>
      <c r="R844" t="str">
        <f>IFERROR(VLOOKUP(Q844,tbFactorMes,2,FALSE),"")</f>
        <v/>
      </c>
      <c r="S844">
        <f t="shared" si="183"/>
        <v>0</v>
      </c>
      <c r="V844" t="str">
        <f>IFERROR(VLOOKUP(U844,tbFactorMes,2,FALSE),"")</f>
        <v/>
      </c>
      <c r="W844">
        <f t="shared" si="184"/>
        <v>0</v>
      </c>
      <c r="Z844" t="str">
        <f>IFERROR(VLOOKUP(Y844,tbFactorMes,2,FALSE),"")</f>
        <v/>
      </c>
      <c r="AA844">
        <f t="shared" si="185"/>
        <v>0</v>
      </c>
      <c r="AD844" t="str">
        <f>IFERROR(VLOOKUP(AC844,tbFactorMes,2,FALSE),"")</f>
        <v/>
      </c>
      <c r="AE844">
        <f t="shared" si="186"/>
        <v>0</v>
      </c>
      <c r="AH844" t="str">
        <f>IFERROR(VLOOKUP(AG844,tbFactorMes,2,FALSE),"")</f>
        <v/>
      </c>
      <c r="AI844">
        <f t="shared" si="187"/>
        <v>0</v>
      </c>
      <c r="AL844" t="str">
        <f>IFERROR(VLOOKUP(AK844,tbFactorMes,2,FALSE),"")</f>
        <v/>
      </c>
      <c r="AM844">
        <f t="shared" si="188"/>
        <v>0</v>
      </c>
      <c r="AP844" t="str">
        <f>IFERROR(VLOOKUP(AO844,tbFactorMes,2,FALSE),"")</f>
        <v/>
      </c>
      <c r="AQ844">
        <f t="shared" si="189"/>
        <v>0</v>
      </c>
      <c r="AT844" t="str">
        <f>IFERROR(VLOOKUP(AS844,tbFactorMes,2,FALSE),"")</f>
        <v/>
      </c>
      <c r="AU844">
        <f t="shared" si="190"/>
        <v>0</v>
      </c>
      <c r="AX844" t="str">
        <f>IFERROR(VLOOKUP(AW844,tbFactorMes,2,FALSE),"")</f>
        <v/>
      </c>
      <c r="AY844">
        <f t="shared" si="191"/>
        <v>0</v>
      </c>
      <c r="BB844" t="str">
        <f>IFERROR(VLOOKUP(BA844,tbFactorMes,2,FALSE),"")</f>
        <v/>
      </c>
      <c r="BC844">
        <f t="shared" si="192"/>
        <v>0</v>
      </c>
      <c r="BF844" t="str">
        <f>IFERROR(VLOOKUP(BE844,tbFactorMes,2,FALSE),"")</f>
        <v/>
      </c>
      <c r="BG844">
        <f t="shared" si="193"/>
        <v>0</v>
      </c>
      <c r="BH844">
        <f t="shared" si="194"/>
        <v>0</v>
      </c>
      <c r="BI844">
        <f t="shared" si="195"/>
        <v>0</v>
      </c>
    </row>
    <row r="845" spans="11:61" x14ac:dyDescent="0.35">
      <c r="K845" t="str">
        <f>IFERROR(VLOOKUP(F845,tbTurnos,3,FALSE),"")</f>
        <v/>
      </c>
      <c r="N845" t="str">
        <f>IFERROR(VLOOKUP(M845,tbFactorMes,2,FALSE),"")</f>
        <v/>
      </c>
      <c r="O845">
        <f t="shared" si="182"/>
        <v>0</v>
      </c>
      <c r="R845" t="str">
        <f>IFERROR(VLOOKUP(Q845,tbFactorMes,2,FALSE),"")</f>
        <v/>
      </c>
      <c r="S845">
        <f t="shared" si="183"/>
        <v>0</v>
      </c>
      <c r="V845" t="str">
        <f>IFERROR(VLOOKUP(U845,tbFactorMes,2,FALSE),"")</f>
        <v/>
      </c>
      <c r="W845">
        <f t="shared" si="184"/>
        <v>0</v>
      </c>
      <c r="Z845" t="str">
        <f>IFERROR(VLOOKUP(Y845,tbFactorMes,2,FALSE),"")</f>
        <v/>
      </c>
      <c r="AA845">
        <f t="shared" si="185"/>
        <v>0</v>
      </c>
      <c r="AD845" t="str">
        <f>IFERROR(VLOOKUP(AC845,tbFactorMes,2,FALSE),"")</f>
        <v/>
      </c>
      <c r="AE845">
        <f t="shared" si="186"/>
        <v>0</v>
      </c>
      <c r="AH845" t="str">
        <f>IFERROR(VLOOKUP(AG845,tbFactorMes,2,FALSE),"")</f>
        <v/>
      </c>
      <c r="AI845">
        <f t="shared" si="187"/>
        <v>0</v>
      </c>
      <c r="AL845" t="str">
        <f>IFERROR(VLOOKUP(AK845,tbFactorMes,2,FALSE),"")</f>
        <v/>
      </c>
      <c r="AM845">
        <f t="shared" si="188"/>
        <v>0</v>
      </c>
      <c r="AP845" t="str">
        <f>IFERROR(VLOOKUP(AO845,tbFactorMes,2,FALSE),"")</f>
        <v/>
      </c>
      <c r="AQ845">
        <f t="shared" si="189"/>
        <v>0</v>
      </c>
      <c r="AT845" t="str">
        <f>IFERROR(VLOOKUP(AS845,tbFactorMes,2,FALSE),"")</f>
        <v/>
      </c>
      <c r="AU845">
        <f t="shared" si="190"/>
        <v>0</v>
      </c>
      <c r="AX845" t="str">
        <f>IFERROR(VLOOKUP(AW845,tbFactorMes,2,FALSE),"")</f>
        <v/>
      </c>
      <c r="AY845">
        <f t="shared" si="191"/>
        <v>0</v>
      </c>
      <c r="BB845" t="str">
        <f>IFERROR(VLOOKUP(BA845,tbFactorMes,2,FALSE),"")</f>
        <v/>
      </c>
      <c r="BC845">
        <f t="shared" si="192"/>
        <v>0</v>
      </c>
      <c r="BF845" t="str">
        <f>IFERROR(VLOOKUP(BE845,tbFactorMes,2,FALSE),"")</f>
        <v/>
      </c>
      <c r="BG845">
        <f t="shared" si="193"/>
        <v>0</v>
      </c>
      <c r="BH845">
        <f t="shared" si="194"/>
        <v>0</v>
      </c>
      <c r="BI845">
        <f t="shared" si="195"/>
        <v>0</v>
      </c>
    </row>
    <row r="846" spans="11:61" x14ac:dyDescent="0.35">
      <c r="K846" t="str">
        <f>IFERROR(VLOOKUP(F846,tbTurnos,3,FALSE),"")</f>
        <v/>
      </c>
      <c r="N846" t="str">
        <f>IFERROR(VLOOKUP(M846,tbFactorMes,2,FALSE),"")</f>
        <v/>
      </c>
      <c r="O846">
        <f t="shared" si="182"/>
        <v>0</v>
      </c>
      <c r="R846" t="str">
        <f>IFERROR(VLOOKUP(Q846,tbFactorMes,2,FALSE),"")</f>
        <v/>
      </c>
      <c r="S846">
        <f t="shared" si="183"/>
        <v>0</v>
      </c>
      <c r="V846" t="str">
        <f>IFERROR(VLOOKUP(U846,tbFactorMes,2,FALSE),"")</f>
        <v/>
      </c>
      <c r="W846">
        <f t="shared" si="184"/>
        <v>0</v>
      </c>
      <c r="Z846" t="str">
        <f>IFERROR(VLOOKUP(Y846,tbFactorMes,2,FALSE),"")</f>
        <v/>
      </c>
      <c r="AA846">
        <f t="shared" si="185"/>
        <v>0</v>
      </c>
      <c r="AD846" t="str">
        <f>IFERROR(VLOOKUP(AC846,tbFactorMes,2,FALSE),"")</f>
        <v/>
      </c>
      <c r="AE846">
        <f t="shared" si="186"/>
        <v>0</v>
      </c>
      <c r="AH846" t="str">
        <f>IFERROR(VLOOKUP(AG846,tbFactorMes,2,FALSE),"")</f>
        <v/>
      </c>
      <c r="AI846">
        <f t="shared" si="187"/>
        <v>0</v>
      </c>
      <c r="AL846" t="str">
        <f>IFERROR(VLOOKUP(AK846,tbFactorMes,2,FALSE),"")</f>
        <v/>
      </c>
      <c r="AM846">
        <f t="shared" si="188"/>
        <v>0</v>
      </c>
      <c r="AP846" t="str">
        <f>IFERROR(VLOOKUP(AO846,tbFactorMes,2,FALSE),"")</f>
        <v/>
      </c>
      <c r="AQ846">
        <f t="shared" si="189"/>
        <v>0</v>
      </c>
      <c r="AT846" t="str">
        <f>IFERROR(VLOOKUP(AS846,tbFactorMes,2,FALSE),"")</f>
        <v/>
      </c>
      <c r="AU846">
        <f t="shared" si="190"/>
        <v>0</v>
      </c>
      <c r="AX846" t="str">
        <f>IFERROR(VLOOKUP(AW846,tbFactorMes,2,FALSE),"")</f>
        <v/>
      </c>
      <c r="AY846">
        <f t="shared" si="191"/>
        <v>0</v>
      </c>
      <c r="BB846" t="str">
        <f>IFERROR(VLOOKUP(BA846,tbFactorMes,2,FALSE),"")</f>
        <v/>
      </c>
      <c r="BC846">
        <f t="shared" si="192"/>
        <v>0</v>
      </c>
      <c r="BF846" t="str">
        <f>IFERROR(VLOOKUP(BE846,tbFactorMes,2,FALSE),"")</f>
        <v/>
      </c>
      <c r="BG846">
        <f t="shared" si="193"/>
        <v>0</v>
      </c>
      <c r="BH846">
        <f t="shared" si="194"/>
        <v>0</v>
      </c>
      <c r="BI846">
        <f t="shared" si="195"/>
        <v>0</v>
      </c>
    </row>
    <row r="847" spans="11:61" x14ac:dyDescent="0.35">
      <c r="K847" t="str">
        <f>IFERROR(VLOOKUP(F847,tbTurnos,3,FALSE),"")</f>
        <v/>
      </c>
      <c r="N847" t="str">
        <f>IFERROR(VLOOKUP(M847,tbFactorMes,2,FALSE),"")</f>
        <v/>
      </c>
      <c r="O847">
        <f t="shared" si="182"/>
        <v>0</v>
      </c>
      <c r="R847" t="str">
        <f>IFERROR(VLOOKUP(Q847,tbFactorMes,2,FALSE),"")</f>
        <v/>
      </c>
      <c r="S847">
        <f t="shared" si="183"/>
        <v>0</v>
      </c>
      <c r="V847" t="str">
        <f>IFERROR(VLOOKUP(U847,tbFactorMes,2,FALSE),"")</f>
        <v/>
      </c>
      <c r="W847">
        <f t="shared" si="184"/>
        <v>0</v>
      </c>
      <c r="Z847" t="str">
        <f>IFERROR(VLOOKUP(Y847,tbFactorMes,2,FALSE),"")</f>
        <v/>
      </c>
      <c r="AA847">
        <f t="shared" si="185"/>
        <v>0</v>
      </c>
      <c r="AD847" t="str">
        <f>IFERROR(VLOOKUP(AC847,tbFactorMes,2,FALSE),"")</f>
        <v/>
      </c>
      <c r="AE847">
        <f t="shared" si="186"/>
        <v>0</v>
      </c>
      <c r="AH847" t="str">
        <f>IFERROR(VLOOKUP(AG847,tbFactorMes,2,FALSE),"")</f>
        <v/>
      </c>
      <c r="AI847">
        <f t="shared" si="187"/>
        <v>0</v>
      </c>
      <c r="AL847" t="str">
        <f>IFERROR(VLOOKUP(AK847,tbFactorMes,2,FALSE),"")</f>
        <v/>
      </c>
      <c r="AM847">
        <f t="shared" si="188"/>
        <v>0</v>
      </c>
      <c r="AP847" t="str">
        <f>IFERROR(VLOOKUP(AO847,tbFactorMes,2,FALSE),"")</f>
        <v/>
      </c>
      <c r="AQ847">
        <f t="shared" si="189"/>
        <v>0</v>
      </c>
      <c r="AT847" t="str">
        <f>IFERROR(VLOOKUP(AS847,tbFactorMes,2,FALSE),"")</f>
        <v/>
      </c>
      <c r="AU847">
        <f t="shared" si="190"/>
        <v>0</v>
      </c>
      <c r="AX847" t="str">
        <f>IFERROR(VLOOKUP(AW847,tbFactorMes,2,FALSE),"")</f>
        <v/>
      </c>
      <c r="AY847">
        <f t="shared" si="191"/>
        <v>0</v>
      </c>
      <c r="BB847" t="str">
        <f>IFERROR(VLOOKUP(BA847,tbFactorMes,2,FALSE),"")</f>
        <v/>
      </c>
      <c r="BC847">
        <f t="shared" si="192"/>
        <v>0</v>
      </c>
      <c r="BF847" t="str">
        <f>IFERROR(VLOOKUP(BE847,tbFactorMes,2,FALSE),"")</f>
        <v/>
      </c>
      <c r="BG847">
        <f t="shared" si="193"/>
        <v>0</v>
      </c>
      <c r="BH847">
        <f t="shared" si="194"/>
        <v>0</v>
      </c>
      <c r="BI847">
        <f t="shared" si="195"/>
        <v>0</v>
      </c>
    </row>
    <row r="848" spans="11:61" x14ac:dyDescent="0.35">
      <c r="K848" t="str">
        <f>IFERROR(VLOOKUP(F848,tbTurnos,3,FALSE),"")</f>
        <v/>
      </c>
      <c r="N848" t="str">
        <f>IFERROR(VLOOKUP(M848,tbFactorMes,2,FALSE),"")</f>
        <v/>
      </c>
      <c r="O848">
        <f t="shared" si="182"/>
        <v>0</v>
      </c>
      <c r="R848" t="str">
        <f>IFERROR(VLOOKUP(Q848,tbFactorMes,2,FALSE),"")</f>
        <v/>
      </c>
      <c r="S848">
        <f t="shared" si="183"/>
        <v>0</v>
      </c>
      <c r="V848" t="str">
        <f>IFERROR(VLOOKUP(U848,tbFactorMes,2,FALSE),"")</f>
        <v/>
      </c>
      <c r="W848">
        <f t="shared" si="184"/>
        <v>0</v>
      </c>
      <c r="Z848" t="str">
        <f>IFERROR(VLOOKUP(Y848,tbFactorMes,2,FALSE),"")</f>
        <v/>
      </c>
      <c r="AA848">
        <f t="shared" si="185"/>
        <v>0</v>
      </c>
      <c r="AD848" t="str">
        <f>IFERROR(VLOOKUP(AC848,tbFactorMes,2,FALSE),"")</f>
        <v/>
      </c>
      <c r="AE848">
        <f t="shared" si="186"/>
        <v>0</v>
      </c>
      <c r="AH848" t="str">
        <f>IFERROR(VLOOKUP(AG848,tbFactorMes,2,FALSE),"")</f>
        <v/>
      </c>
      <c r="AI848">
        <f t="shared" si="187"/>
        <v>0</v>
      </c>
      <c r="AL848" t="str">
        <f>IFERROR(VLOOKUP(AK848,tbFactorMes,2,FALSE),"")</f>
        <v/>
      </c>
      <c r="AM848">
        <f t="shared" si="188"/>
        <v>0</v>
      </c>
      <c r="AP848" t="str">
        <f>IFERROR(VLOOKUP(AO848,tbFactorMes,2,FALSE),"")</f>
        <v/>
      </c>
      <c r="AQ848">
        <f t="shared" si="189"/>
        <v>0</v>
      </c>
      <c r="AT848" t="str">
        <f>IFERROR(VLOOKUP(AS848,tbFactorMes,2,FALSE),"")</f>
        <v/>
      </c>
      <c r="AU848">
        <f t="shared" si="190"/>
        <v>0</v>
      </c>
      <c r="AX848" t="str">
        <f>IFERROR(VLOOKUP(AW848,tbFactorMes,2,FALSE),"")</f>
        <v/>
      </c>
      <c r="AY848">
        <f t="shared" si="191"/>
        <v>0</v>
      </c>
      <c r="BB848" t="str">
        <f>IFERROR(VLOOKUP(BA848,tbFactorMes,2,FALSE),"")</f>
        <v/>
      </c>
      <c r="BC848">
        <f t="shared" si="192"/>
        <v>0</v>
      </c>
      <c r="BF848" t="str">
        <f>IFERROR(VLOOKUP(BE848,tbFactorMes,2,FALSE),"")</f>
        <v/>
      </c>
      <c r="BG848">
        <f t="shared" si="193"/>
        <v>0</v>
      </c>
      <c r="BH848">
        <f t="shared" si="194"/>
        <v>0</v>
      </c>
      <c r="BI848">
        <f t="shared" si="195"/>
        <v>0</v>
      </c>
    </row>
    <row r="849" spans="11:61" x14ac:dyDescent="0.35">
      <c r="K849" t="str">
        <f>IFERROR(VLOOKUP(F849,tbTurnos,3,FALSE),"")</f>
        <v/>
      </c>
      <c r="N849" t="str">
        <f>IFERROR(VLOOKUP(M849,tbFactorMes,2,FALSE),"")</f>
        <v/>
      </c>
      <c r="O849">
        <f t="shared" si="182"/>
        <v>0</v>
      </c>
      <c r="R849" t="str">
        <f>IFERROR(VLOOKUP(Q849,tbFactorMes,2,FALSE),"")</f>
        <v/>
      </c>
      <c r="S849">
        <f t="shared" si="183"/>
        <v>0</v>
      </c>
      <c r="V849" t="str">
        <f>IFERROR(VLOOKUP(U849,tbFactorMes,2,FALSE),"")</f>
        <v/>
      </c>
      <c r="W849">
        <f t="shared" si="184"/>
        <v>0</v>
      </c>
      <c r="Z849" t="str">
        <f>IFERROR(VLOOKUP(Y849,tbFactorMes,2,FALSE),"")</f>
        <v/>
      </c>
      <c r="AA849">
        <f t="shared" si="185"/>
        <v>0</v>
      </c>
      <c r="AD849" t="str">
        <f>IFERROR(VLOOKUP(AC849,tbFactorMes,2,FALSE),"")</f>
        <v/>
      </c>
      <c r="AE849">
        <f t="shared" si="186"/>
        <v>0</v>
      </c>
      <c r="AH849" t="str">
        <f>IFERROR(VLOOKUP(AG849,tbFactorMes,2,FALSE),"")</f>
        <v/>
      </c>
      <c r="AI849">
        <f t="shared" si="187"/>
        <v>0</v>
      </c>
      <c r="AL849" t="str">
        <f>IFERROR(VLOOKUP(AK849,tbFactorMes,2,FALSE),"")</f>
        <v/>
      </c>
      <c r="AM849">
        <f t="shared" si="188"/>
        <v>0</v>
      </c>
      <c r="AP849" t="str">
        <f>IFERROR(VLOOKUP(AO849,tbFactorMes,2,FALSE),"")</f>
        <v/>
      </c>
      <c r="AQ849">
        <f t="shared" si="189"/>
        <v>0</v>
      </c>
      <c r="AT849" t="str">
        <f>IFERROR(VLOOKUP(AS849,tbFactorMes,2,FALSE),"")</f>
        <v/>
      </c>
      <c r="AU849">
        <f t="shared" si="190"/>
        <v>0</v>
      </c>
      <c r="AX849" t="str">
        <f>IFERROR(VLOOKUP(AW849,tbFactorMes,2,FALSE),"")</f>
        <v/>
      </c>
      <c r="AY849">
        <f t="shared" si="191"/>
        <v>0</v>
      </c>
      <c r="BB849" t="str">
        <f>IFERROR(VLOOKUP(BA849,tbFactorMes,2,FALSE),"")</f>
        <v/>
      </c>
      <c r="BC849">
        <f t="shared" si="192"/>
        <v>0</v>
      </c>
      <c r="BF849" t="str">
        <f>IFERROR(VLOOKUP(BE849,tbFactorMes,2,FALSE),"")</f>
        <v/>
      </c>
      <c r="BG849">
        <f t="shared" si="193"/>
        <v>0</v>
      </c>
      <c r="BH849">
        <f t="shared" si="194"/>
        <v>0</v>
      </c>
      <c r="BI849">
        <f t="shared" si="195"/>
        <v>0</v>
      </c>
    </row>
    <row r="850" spans="11:61" x14ac:dyDescent="0.35">
      <c r="K850" t="str">
        <f>IFERROR(VLOOKUP(F850,tbTurnos,3,FALSE),"")</f>
        <v/>
      </c>
      <c r="N850" t="str">
        <f>IFERROR(VLOOKUP(M850,tbFactorMes,2,FALSE),"")</f>
        <v/>
      </c>
      <c r="O850">
        <f t="shared" si="182"/>
        <v>0</v>
      </c>
      <c r="R850" t="str">
        <f>IFERROR(VLOOKUP(Q850,tbFactorMes,2,FALSE),"")</f>
        <v/>
      </c>
      <c r="S850">
        <f t="shared" si="183"/>
        <v>0</v>
      </c>
      <c r="V850" t="str">
        <f>IFERROR(VLOOKUP(U850,tbFactorMes,2,FALSE),"")</f>
        <v/>
      </c>
      <c r="W850">
        <f t="shared" si="184"/>
        <v>0</v>
      </c>
      <c r="Z850" t="str">
        <f>IFERROR(VLOOKUP(Y850,tbFactorMes,2,FALSE),"")</f>
        <v/>
      </c>
      <c r="AA850">
        <f t="shared" si="185"/>
        <v>0</v>
      </c>
      <c r="AD850" t="str">
        <f>IFERROR(VLOOKUP(AC850,tbFactorMes,2,FALSE),"")</f>
        <v/>
      </c>
      <c r="AE850">
        <f t="shared" si="186"/>
        <v>0</v>
      </c>
      <c r="AH850" t="str">
        <f>IFERROR(VLOOKUP(AG850,tbFactorMes,2,FALSE),"")</f>
        <v/>
      </c>
      <c r="AI850">
        <f t="shared" si="187"/>
        <v>0</v>
      </c>
      <c r="AL850" t="str">
        <f>IFERROR(VLOOKUP(AK850,tbFactorMes,2,FALSE),"")</f>
        <v/>
      </c>
      <c r="AM850">
        <f t="shared" si="188"/>
        <v>0</v>
      </c>
      <c r="AP850" t="str">
        <f>IFERROR(VLOOKUP(AO850,tbFactorMes,2,FALSE),"")</f>
        <v/>
      </c>
      <c r="AQ850">
        <f t="shared" si="189"/>
        <v>0</v>
      </c>
      <c r="AT850" t="str">
        <f>IFERROR(VLOOKUP(AS850,tbFactorMes,2,FALSE),"")</f>
        <v/>
      </c>
      <c r="AU850">
        <f t="shared" si="190"/>
        <v>0</v>
      </c>
      <c r="AX850" t="str">
        <f>IFERROR(VLOOKUP(AW850,tbFactorMes,2,FALSE),"")</f>
        <v/>
      </c>
      <c r="AY850">
        <f t="shared" si="191"/>
        <v>0</v>
      </c>
      <c r="BB850" t="str">
        <f>IFERROR(VLOOKUP(BA850,tbFactorMes,2,FALSE),"")</f>
        <v/>
      </c>
      <c r="BC850">
        <f t="shared" si="192"/>
        <v>0</v>
      </c>
      <c r="BF850" t="str">
        <f>IFERROR(VLOOKUP(BE850,tbFactorMes,2,FALSE),"")</f>
        <v/>
      </c>
      <c r="BG850">
        <f t="shared" si="193"/>
        <v>0</v>
      </c>
      <c r="BH850">
        <f t="shared" si="194"/>
        <v>0</v>
      </c>
      <c r="BI850">
        <f t="shared" si="195"/>
        <v>0</v>
      </c>
    </row>
    <row r="851" spans="11:61" x14ac:dyDescent="0.35">
      <c r="K851" t="str">
        <f>IFERROR(VLOOKUP(F851,tbTurnos,3,FALSE),"")</f>
        <v/>
      </c>
      <c r="N851" t="str">
        <f>IFERROR(VLOOKUP(M851,tbFactorMes,2,FALSE),"")</f>
        <v/>
      </c>
      <c r="O851">
        <f t="shared" si="182"/>
        <v>0</v>
      </c>
      <c r="R851" t="str">
        <f>IFERROR(VLOOKUP(Q851,tbFactorMes,2,FALSE),"")</f>
        <v/>
      </c>
      <c r="S851">
        <f t="shared" si="183"/>
        <v>0</v>
      </c>
      <c r="V851" t="str">
        <f>IFERROR(VLOOKUP(U851,tbFactorMes,2,FALSE),"")</f>
        <v/>
      </c>
      <c r="W851">
        <f t="shared" si="184"/>
        <v>0</v>
      </c>
      <c r="Z851" t="str">
        <f>IFERROR(VLOOKUP(Y851,tbFactorMes,2,FALSE),"")</f>
        <v/>
      </c>
      <c r="AA851">
        <f t="shared" si="185"/>
        <v>0</v>
      </c>
      <c r="AD851" t="str">
        <f>IFERROR(VLOOKUP(AC851,tbFactorMes,2,FALSE),"")</f>
        <v/>
      </c>
      <c r="AE851">
        <f t="shared" si="186"/>
        <v>0</v>
      </c>
      <c r="AH851" t="str">
        <f>IFERROR(VLOOKUP(AG851,tbFactorMes,2,FALSE),"")</f>
        <v/>
      </c>
      <c r="AI851">
        <f t="shared" si="187"/>
        <v>0</v>
      </c>
      <c r="AL851" t="str">
        <f>IFERROR(VLOOKUP(AK851,tbFactorMes,2,FALSE),"")</f>
        <v/>
      </c>
      <c r="AM851">
        <f t="shared" si="188"/>
        <v>0</v>
      </c>
      <c r="AP851" t="str">
        <f>IFERROR(VLOOKUP(AO851,tbFactorMes,2,FALSE),"")</f>
        <v/>
      </c>
      <c r="AQ851">
        <f t="shared" si="189"/>
        <v>0</v>
      </c>
      <c r="AT851" t="str">
        <f>IFERROR(VLOOKUP(AS851,tbFactorMes,2,FALSE),"")</f>
        <v/>
      </c>
      <c r="AU851">
        <f t="shared" si="190"/>
        <v>0</v>
      </c>
      <c r="AX851" t="str">
        <f>IFERROR(VLOOKUP(AW851,tbFactorMes,2,FALSE),"")</f>
        <v/>
      </c>
      <c r="AY851">
        <f t="shared" si="191"/>
        <v>0</v>
      </c>
      <c r="BB851" t="str">
        <f>IFERROR(VLOOKUP(BA851,tbFactorMes,2,FALSE),"")</f>
        <v/>
      </c>
      <c r="BC851">
        <f t="shared" si="192"/>
        <v>0</v>
      </c>
      <c r="BF851" t="str">
        <f>IFERROR(VLOOKUP(BE851,tbFactorMes,2,FALSE),"")</f>
        <v/>
      </c>
      <c r="BG851">
        <f t="shared" si="193"/>
        <v>0</v>
      </c>
      <c r="BH851">
        <f t="shared" si="194"/>
        <v>0</v>
      </c>
      <c r="BI851">
        <f t="shared" si="195"/>
        <v>0</v>
      </c>
    </row>
    <row r="852" spans="11:61" x14ac:dyDescent="0.35">
      <c r="K852" t="str">
        <f>IFERROR(VLOOKUP(F852,tbTurnos,3,FALSE),"")</f>
        <v/>
      </c>
      <c r="N852" t="str">
        <f>IFERROR(VLOOKUP(M852,tbFactorMes,2,FALSE),"")</f>
        <v/>
      </c>
      <c r="O852">
        <f t="shared" si="182"/>
        <v>0</v>
      </c>
      <c r="R852" t="str">
        <f>IFERROR(VLOOKUP(Q852,tbFactorMes,2,FALSE),"")</f>
        <v/>
      </c>
      <c r="S852">
        <f t="shared" si="183"/>
        <v>0</v>
      </c>
      <c r="V852" t="str">
        <f>IFERROR(VLOOKUP(U852,tbFactorMes,2,FALSE),"")</f>
        <v/>
      </c>
      <c r="W852">
        <f t="shared" si="184"/>
        <v>0</v>
      </c>
      <c r="Z852" t="str">
        <f>IFERROR(VLOOKUP(Y852,tbFactorMes,2,FALSE),"")</f>
        <v/>
      </c>
      <c r="AA852">
        <f t="shared" si="185"/>
        <v>0</v>
      </c>
      <c r="AD852" t="str">
        <f>IFERROR(VLOOKUP(AC852,tbFactorMes,2,FALSE),"")</f>
        <v/>
      </c>
      <c r="AE852">
        <f t="shared" si="186"/>
        <v>0</v>
      </c>
      <c r="AH852" t="str">
        <f>IFERROR(VLOOKUP(AG852,tbFactorMes,2,FALSE),"")</f>
        <v/>
      </c>
      <c r="AI852">
        <f t="shared" si="187"/>
        <v>0</v>
      </c>
      <c r="AL852" t="str">
        <f>IFERROR(VLOOKUP(AK852,tbFactorMes,2,FALSE),"")</f>
        <v/>
      </c>
      <c r="AM852">
        <f t="shared" si="188"/>
        <v>0</v>
      </c>
      <c r="AP852" t="str">
        <f>IFERROR(VLOOKUP(AO852,tbFactorMes,2,FALSE),"")</f>
        <v/>
      </c>
      <c r="AQ852">
        <f t="shared" si="189"/>
        <v>0</v>
      </c>
      <c r="AT852" t="str">
        <f>IFERROR(VLOOKUP(AS852,tbFactorMes,2,FALSE),"")</f>
        <v/>
      </c>
      <c r="AU852">
        <f t="shared" si="190"/>
        <v>0</v>
      </c>
      <c r="AX852" t="str">
        <f>IFERROR(VLOOKUP(AW852,tbFactorMes,2,FALSE),"")</f>
        <v/>
      </c>
      <c r="AY852">
        <f t="shared" si="191"/>
        <v>0</v>
      </c>
      <c r="BB852" t="str">
        <f>IFERROR(VLOOKUP(BA852,tbFactorMes,2,FALSE),"")</f>
        <v/>
      </c>
      <c r="BC852">
        <f t="shared" si="192"/>
        <v>0</v>
      </c>
      <c r="BF852" t="str">
        <f>IFERROR(VLOOKUP(BE852,tbFactorMes,2,FALSE),"")</f>
        <v/>
      </c>
      <c r="BG852">
        <f t="shared" si="193"/>
        <v>0</v>
      </c>
      <c r="BH852">
        <f t="shared" si="194"/>
        <v>0</v>
      </c>
      <c r="BI852">
        <f t="shared" si="195"/>
        <v>0</v>
      </c>
    </row>
    <row r="853" spans="11:61" x14ac:dyDescent="0.35">
      <c r="K853" t="str">
        <f>IFERROR(VLOOKUP(F853,tbTurnos,3,FALSE),"")</f>
        <v/>
      </c>
      <c r="N853" t="str">
        <f>IFERROR(VLOOKUP(M853,tbFactorMes,2,FALSE),"")</f>
        <v/>
      </c>
      <c r="O853">
        <f t="shared" si="182"/>
        <v>0</v>
      </c>
      <c r="R853" t="str">
        <f>IFERROR(VLOOKUP(Q853,tbFactorMes,2,FALSE),"")</f>
        <v/>
      </c>
      <c r="S853">
        <f t="shared" si="183"/>
        <v>0</v>
      </c>
      <c r="V853" t="str">
        <f>IFERROR(VLOOKUP(U853,tbFactorMes,2,FALSE),"")</f>
        <v/>
      </c>
      <c r="W853">
        <f t="shared" si="184"/>
        <v>0</v>
      </c>
      <c r="Z853" t="str">
        <f>IFERROR(VLOOKUP(Y853,tbFactorMes,2,FALSE),"")</f>
        <v/>
      </c>
      <c r="AA853">
        <f t="shared" si="185"/>
        <v>0</v>
      </c>
      <c r="AD853" t="str">
        <f>IFERROR(VLOOKUP(AC853,tbFactorMes,2,FALSE),"")</f>
        <v/>
      </c>
      <c r="AE853">
        <f t="shared" si="186"/>
        <v>0</v>
      </c>
      <c r="AH853" t="str">
        <f>IFERROR(VLOOKUP(AG853,tbFactorMes,2,FALSE),"")</f>
        <v/>
      </c>
      <c r="AI853">
        <f t="shared" si="187"/>
        <v>0</v>
      </c>
      <c r="AL853" t="str">
        <f>IFERROR(VLOOKUP(AK853,tbFactorMes,2,FALSE),"")</f>
        <v/>
      </c>
      <c r="AM853">
        <f t="shared" si="188"/>
        <v>0</v>
      </c>
      <c r="AP853" t="str">
        <f>IFERROR(VLOOKUP(AO853,tbFactorMes,2,FALSE),"")</f>
        <v/>
      </c>
      <c r="AQ853">
        <f t="shared" si="189"/>
        <v>0</v>
      </c>
      <c r="AT853" t="str">
        <f>IFERROR(VLOOKUP(AS853,tbFactorMes,2,FALSE),"")</f>
        <v/>
      </c>
      <c r="AU853">
        <f t="shared" si="190"/>
        <v>0</v>
      </c>
      <c r="AX853" t="str">
        <f>IFERROR(VLOOKUP(AW853,tbFactorMes,2,FALSE),"")</f>
        <v/>
      </c>
      <c r="AY853">
        <f t="shared" si="191"/>
        <v>0</v>
      </c>
      <c r="BB853" t="str">
        <f>IFERROR(VLOOKUP(BA853,tbFactorMes,2,FALSE),"")</f>
        <v/>
      </c>
      <c r="BC853">
        <f t="shared" si="192"/>
        <v>0</v>
      </c>
      <c r="BF853" t="str">
        <f>IFERROR(VLOOKUP(BE853,tbFactorMes,2,FALSE),"")</f>
        <v/>
      </c>
      <c r="BG853">
        <f t="shared" si="193"/>
        <v>0</v>
      </c>
      <c r="BH853">
        <f t="shared" si="194"/>
        <v>0</v>
      </c>
      <c r="BI853">
        <f t="shared" si="195"/>
        <v>0</v>
      </c>
    </row>
    <row r="854" spans="11:61" x14ac:dyDescent="0.35">
      <c r="K854" t="str">
        <f>IFERROR(VLOOKUP(F854,tbTurnos,3,FALSE),"")</f>
        <v/>
      </c>
      <c r="N854" t="str">
        <f>IFERROR(VLOOKUP(M854,tbFactorMes,2,FALSE),"")</f>
        <v/>
      </c>
      <c r="O854">
        <f t="shared" si="182"/>
        <v>0</v>
      </c>
      <c r="R854" t="str">
        <f>IFERROR(VLOOKUP(Q854,tbFactorMes,2,FALSE),"")</f>
        <v/>
      </c>
      <c r="S854">
        <f t="shared" si="183"/>
        <v>0</v>
      </c>
      <c r="V854" t="str">
        <f>IFERROR(VLOOKUP(U854,tbFactorMes,2,FALSE),"")</f>
        <v/>
      </c>
      <c r="W854">
        <f t="shared" si="184"/>
        <v>0</v>
      </c>
      <c r="Z854" t="str">
        <f>IFERROR(VLOOKUP(Y854,tbFactorMes,2,FALSE),"")</f>
        <v/>
      </c>
      <c r="AA854">
        <f t="shared" si="185"/>
        <v>0</v>
      </c>
      <c r="AD854" t="str">
        <f>IFERROR(VLOOKUP(AC854,tbFactorMes,2,FALSE),"")</f>
        <v/>
      </c>
      <c r="AE854">
        <f t="shared" si="186"/>
        <v>0</v>
      </c>
      <c r="AH854" t="str">
        <f>IFERROR(VLOOKUP(AG854,tbFactorMes,2,FALSE),"")</f>
        <v/>
      </c>
      <c r="AI854">
        <f t="shared" si="187"/>
        <v>0</v>
      </c>
      <c r="AL854" t="str">
        <f>IFERROR(VLOOKUP(AK854,tbFactorMes,2,FALSE),"")</f>
        <v/>
      </c>
      <c r="AM854">
        <f t="shared" si="188"/>
        <v>0</v>
      </c>
      <c r="AP854" t="str">
        <f>IFERROR(VLOOKUP(AO854,tbFactorMes,2,FALSE),"")</f>
        <v/>
      </c>
      <c r="AQ854">
        <f t="shared" si="189"/>
        <v>0</v>
      </c>
      <c r="AT854" t="str">
        <f>IFERROR(VLOOKUP(AS854,tbFactorMes,2,FALSE),"")</f>
        <v/>
      </c>
      <c r="AU854">
        <f t="shared" si="190"/>
        <v>0</v>
      </c>
      <c r="AX854" t="str">
        <f>IFERROR(VLOOKUP(AW854,tbFactorMes,2,FALSE),"")</f>
        <v/>
      </c>
      <c r="AY854">
        <f t="shared" si="191"/>
        <v>0</v>
      </c>
      <c r="BB854" t="str">
        <f>IFERROR(VLOOKUP(BA854,tbFactorMes,2,FALSE),"")</f>
        <v/>
      </c>
      <c r="BC854">
        <f t="shared" si="192"/>
        <v>0</v>
      </c>
      <c r="BF854" t="str">
        <f>IFERROR(VLOOKUP(BE854,tbFactorMes,2,FALSE),"")</f>
        <v/>
      </c>
      <c r="BG854">
        <f t="shared" si="193"/>
        <v>0</v>
      </c>
      <c r="BH854">
        <f t="shared" si="194"/>
        <v>0</v>
      </c>
      <c r="BI854">
        <f t="shared" si="195"/>
        <v>0</v>
      </c>
    </row>
    <row r="855" spans="11:61" x14ac:dyDescent="0.35">
      <c r="K855" t="str">
        <f>IFERROR(VLOOKUP(F855,tbTurnos,3,FALSE),"")</f>
        <v/>
      </c>
      <c r="N855" t="str">
        <f>IFERROR(VLOOKUP(M855,tbFactorMes,2,FALSE),"")</f>
        <v/>
      </c>
      <c r="O855">
        <f t="shared" si="182"/>
        <v>0</v>
      </c>
      <c r="R855" t="str">
        <f>IFERROR(VLOOKUP(Q855,tbFactorMes,2,FALSE),"")</f>
        <v/>
      </c>
      <c r="S855">
        <f t="shared" si="183"/>
        <v>0</v>
      </c>
      <c r="V855" t="str">
        <f>IFERROR(VLOOKUP(U855,tbFactorMes,2,FALSE),"")</f>
        <v/>
      </c>
      <c r="W855">
        <f t="shared" si="184"/>
        <v>0</v>
      </c>
      <c r="Z855" t="str">
        <f>IFERROR(VLOOKUP(Y855,tbFactorMes,2,FALSE),"")</f>
        <v/>
      </c>
      <c r="AA855">
        <f t="shared" si="185"/>
        <v>0</v>
      </c>
      <c r="AD855" t="str">
        <f>IFERROR(VLOOKUP(AC855,tbFactorMes,2,FALSE),"")</f>
        <v/>
      </c>
      <c r="AE855">
        <f t="shared" si="186"/>
        <v>0</v>
      </c>
      <c r="AH855" t="str">
        <f>IFERROR(VLOOKUP(AG855,tbFactorMes,2,FALSE),"")</f>
        <v/>
      </c>
      <c r="AI855">
        <f t="shared" si="187"/>
        <v>0</v>
      </c>
      <c r="AL855" t="str">
        <f>IFERROR(VLOOKUP(AK855,tbFactorMes,2,FALSE),"")</f>
        <v/>
      </c>
      <c r="AM855">
        <f t="shared" si="188"/>
        <v>0</v>
      </c>
      <c r="AP855" t="str">
        <f>IFERROR(VLOOKUP(AO855,tbFactorMes,2,FALSE),"")</f>
        <v/>
      </c>
      <c r="AQ855">
        <f t="shared" si="189"/>
        <v>0</v>
      </c>
      <c r="AT855" t="str">
        <f>IFERROR(VLOOKUP(AS855,tbFactorMes,2,FALSE),"")</f>
        <v/>
      </c>
      <c r="AU855">
        <f t="shared" si="190"/>
        <v>0</v>
      </c>
      <c r="AX855" t="str">
        <f>IFERROR(VLOOKUP(AW855,tbFactorMes,2,FALSE),"")</f>
        <v/>
      </c>
      <c r="AY855">
        <f t="shared" si="191"/>
        <v>0</v>
      </c>
      <c r="BB855" t="str">
        <f>IFERROR(VLOOKUP(BA855,tbFactorMes,2,FALSE),"")</f>
        <v/>
      </c>
      <c r="BC855">
        <f t="shared" si="192"/>
        <v>0</v>
      </c>
      <c r="BF855" t="str">
        <f>IFERROR(VLOOKUP(BE855,tbFactorMes,2,FALSE),"")</f>
        <v/>
      </c>
      <c r="BG855">
        <f t="shared" si="193"/>
        <v>0</v>
      </c>
      <c r="BH855">
        <f t="shared" si="194"/>
        <v>0</v>
      </c>
      <c r="BI855">
        <f t="shared" si="195"/>
        <v>0</v>
      </c>
    </row>
    <row r="856" spans="11:61" x14ac:dyDescent="0.35">
      <c r="K856" t="str">
        <f>IFERROR(VLOOKUP(F856,tbTurnos,3,FALSE),"")</f>
        <v/>
      </c>
      <c r="N856" t="str">
        <f>IFERROR(VLOOKUP(M856,tbFactorMes,2,FALSE),"")</f>
        <v/>
      </c>
      <c r="O856">
        <f t="shared" si="182"/>
        <v>0</v>
      </c>
      <c r="R856" t="str">
        <f>IFERROR(VLOOKUP(Q856,tbFactorMes,2,FALSE),"")</f>
        <v/>
      </c>
      <c r="S856">
        <f t="shared" si="183"/>
        <v>0</v>
      </c>
      <c r="V856" t="str">
        <f>IFERROR(VLOOKUP(U856,tbFactorMes,2,FALSE),"")</f>
        <v/>
      </c>
      <c r="W856">
        <f t="shared" si="184"/>
        <v>0</v>
      </c>
      <c r="Z856" t="str">
        <f>IFERROR(VLOOKUP(Y856,tbFactorMes,2,FALSE),"")</f>
        <v/>
      </c>
      <c r="AA856">
        <f t="shared" si="185"/>
        <v>0</v>
      </c>
      <c r="AD856" t="str">
        <f>IFERROR(VLOOKUP(AC856,tbFactorMes,2,FALSE),"")</f>
        <v/>
      </c>
      <c r="AE856">
        <f t="shared" si="186"/>
        <v>0</v>
      </c>
      <c r="AH856" t="str">
        <f>IFERROR(VLOOKUP(AG856,tbFactorMes,2,FALSE),"")</f>
        <v/>
      </c>
      <c r="AI856">
        <f t="shared" si="187"/>
        <v>0</v>
      </c>
      <c r="AL856" t="str">
        <f>IFERROR(VLOOKUP(AK856,tbFactorMes,2,FALSE),"")</f>
        <v/>
      </c>
      <c r="AM856">
        <f t="shared" si="188"/>
        <v>0</v>
      </c>
      <c r="AP856" t="str">
        <f>IFERROR(VLOOKUP(AO856,tbFactorMes,2,FALSE),"")</f>
        <v/>
      </c>
      <c r="AQ856">
        <f t="shared" si="189"/>
        <v>0</v>
      </c>
      <c r="AT856" t="str">
        <f>IFERROR(VLOOKUP(AS856,tbFactorMes,2,FALSE),"")</f>
        <v/>
      </c>
      <c r="AU856">
        <f t="shared" si="190"/>
        <v>0</v>
      </c>
      <c r="AX856" t="str">
        <f>IFERROR(VLOOKUP(AW856,tbFactorMes,2,FALSE),"")</f>
        <v/>
      </c>
      <c r="AY856">
        <f t="shared" si="191"/>
        <v>0</v>
      </c>
      <c r="BB856" t="str">
        <f>IFERROR(VLOOKUP(BA856,tbFactorMes,2,FALSE),"")</f>
        <v/>
      </c>
      <c r="BC856">
        <f t="shared" si="192"/>
        <v>0</v>
      </c>
      <c r="BF856" t="str">
        <f>IFERROR(VLOOKUP(BE856,tbFactorMes,2,FALSE),"")</f>
        <v/>
      </c>
      <c r="BG856">
        <f t="shared" si="193"/>
        <v>0</v>
      </c>
      <c r="BH856">
        <f t="shared" si="194"/>
        <v>0</v>
      </c>
      <c r="BI856">
        <f t="shared" si="195"/>
        <v>0</v>
      </c>
    </row>
    <row r="857" spans="11:61" x14ac:dyDescent="0.35">
      <c r="K857" t="str">
        <f>IFERROR(VLOOKUP(F857,tbTurnos,3,FALSE),"")</f>
        <v/>
      </c>
      <c r="N857" t="str">
        <f>IFERROR(VLOOKUP(M857,tbFactorMes,2,FALSE),"")</f>
        <v/>
      </c>
      <c r="O857">
        <f t="shared" si="182"/>
        <v>0</v>
      </c>
      <c r="R857" t="str">
        <f>IFERROR(VLOOKUP(Q857,tbFactorMes,2,FALSE),"")</f>
        <v/>
      </c>
      <c r="S857">
        <f t="shared" si="183"/>
        <v>0</v>
      </c>
      <c r="V857" t="str">
        <f>IFERROR(VLOOKUP(U857,tbFactorMes,2,FALSE),"")</f>
        <v/>
      </c>
      <c r="W857">
        <f t="shared" si="184"/>
        <v>0</v>
      </c>
      <c r="Z857" t="str">
        <f>IFERROR(VLOOKUP(Y857,tbFactorMes,2,FALSE),"")</f>
        <v/>
      </c>
      <c r="AA857">
        <f t="shared" si="185"/>
        <v>0</v>
      </c>
      <c r="AD857" t="str">
        <f>IFERROR(VLOOKUP(AC857,tbFactorMes,2,FALSE),"")</f>
        <v/>
      </c>
      <c r="AE857">
        <f t="shared" si="186"/>
        <v>0</v>
      </c>
      <c r="AH857" t="str">
        <f>IFERROR(VLOOKUP(AG857,tbFactorMes,2,FALSE),"")</f>
        <v/>
      </c>
      <c r="AI857">
        <f t="shared" si="187"/>
        <v>0</v>
      </c>
      <c r="AL857" t="str">
        <f>IFERROR(VLOOKUP(AK857,tbFactorMes,2,FALSE),"")</f>
        <v/>
      </c>
      <c r="AM857">
        <f t="shared" si="188"/>
        <v>0</v>
      </c>
      <c r="AP857" t="str">
        <f>IFERROR(VLOOKUP(AO857,tbFactorMes,2,FALSE),"")</f>
        <v/>
      </c>
      <c r="AQ857">
        <f t="shared" si="189"/>
        <v>0</v>
      </c>
      <c r="AT857" t="str">
        <f>IFERROR(VLOOKUP(AS857,tbFactorMes,2,FALSE),"")</f>
        <v/>
      </c>
      <c r="AU857">
        <f t="shared" si="190"/>
        <v>0</v>
      </c>
      <c r="AX857" t="str">
        <f>IFERROR(VLOOKUP(AW857,tbFactorMes,2,FALSE),"")</f>
        <v/>
      </c>
      <c r="AY857">
        <f t="shared" si="191"/>
        <v>0</v>
      </c>
      <c r="BB857" t="str">
        <f>IFERROR(VLOOKUP(BA857,tbFactorMes,2,FALSE),"")</f>
        <v/>
      </c>
      <c r="BC857">
        <f t="shared" si="192"/>
        <v>0</v>
      </c>
      <c r="BF857" t="str">
        <f>IFERROR(VLOOKUP(BE857,tbFactorMes,2,FALSE),"")</f>
        <v/>
      </c>
      <c r="BG857">
        <f t="shared" si="193"/>
        <v>0</v>
      </c>
      <c r="BH857">
        <f t="shared" si="194"/>
        <v>0</v>
      </c>
      <c r="BI857">
        <f t="shared" si="195"/>
        <v>0</v>
      </c>
    </row>
    <row r="858" spans="11:61" x14ac:dyDescent="0.35">
      <c r="K858" t="str">
        <f>IFERROR(VLOOKUP(F858,tbTurnos,3,FALSE),"")</f>
        <v/>
      </c>
      <c r="N858" t="str">
        <f>IFERROR(VLOOKUP(M858,tbFactorMes,2,FALSE),"")</f>
        <v/>
      </c>
      <c r="O858">
        <f t="shared" si="182"/>
        <v>0</v>
      </c>
      <c r="R858" t="str">
        <f>IFERROR(VLOOKUP(Q858,tbFactorMes,2,FALSE),"")</f>
        <v/>
      </c>
      <c r="S858">
        <f t="shared" si="183"/>
        <v>0</v>
      </c>
      <c r="V858" t="str">
        <f>IFERROR(VLOOKUP(U858,tbFactorMes,2,FALSE),"")</f>
        <v/>
      </c>
      <c r="W858">
        <f t="shared" si="184"/>
        <v>0</v>
      </c>
      <c r="Z858" t="str">
        <f>IFERROR(VLOOKUP(Y858,tbFactorMes,2,FALSE),"")</f>
        <v/>
      </c>
      <c r="AA858">
        <f t="shared" si="185"/>
        <v>0</v>
      </c>
      <c r="AD858" t="str">
        <f>IFERROR(VLOOKUP(AC858,tbFactorMes,2,FALSE),"")</f>
        <v/>
      </c>
      <c r="AE858">
        <f t="shared" si="186"/>
        <v>0</v>
      </c>
      <c r="AH858" t="str">
        <f>IFERROR(VLOOKUP(AG858,tbFactorMes,2,FALSE),"")</f>
        <v/>
      </c>
      <c r="AI858">
        <f t="shared" si="187"/>
        <v>0</v>
      </c>
      <c r="AL858" t="str">
        <f>IFERROR(VLOOKUP(AK858,tbFactorMes,2,FALSE),"")</f>
        <v/>
      </c>
      <c r="AM858">
        <f t="shared" si="188"/>
        <v>0</v>
      </c>
      <c r="AP858" t="str">
        <f>IFERROR(VLOOKUP(AO858,tbFactorMes,2,FALSE),"")</f>
        <v/>
      </c>
      <c r="AQ858">
        <f t="shared" si="189"/>
        <v>0</v>
      </c>
      <c r="AT858" t="str">
        <f>IFERROR(VLOOKUP(AS858,tbFactorMes,2,FALSE),"")</f>
        <v/>
      </c>
      <c r="AU858">
        <f t="shared" si="190"/>
        <v>0</v>
      </c>
      <c r="AX858" t="str">
        <f>IFERROR(VLOOKUP(AW858,tbFactorMes,2,FALSE),"")</f>
        <v/>
      </c>
      <c r="AY858">
        <f t="shared" si="191"/>
        <v>0</v>
      </c>
      <c r="BB858" t="str">
        <f>IFERROR(VLOOKUP(BA858,tbFactorMes,2,FALSE),"")</f>
        <v/>
      </c>
      <c r="BC858">
        <f t="shared" si="192"/>
        <v>0</v>
      </c>
      <c r="BF858" t="str">
        <f>IFERROR(VLOOKUP(BE858,tbFactorMes,2,FALSE),"")</f>
        <v/>
      </c>
      <c r="BG858">
        <f t="shared" si="193"/>
        <v>0</v>
      </c>
      <c r="BH858">
        <f t="shared" si="194"/>
        <v>0</v>
      </c>
      <c r="BI858">
        <f t="shared" si="195"/>
        <v>0</v>
      </c>
    </row>
    <row r="859" spans="11:61" x14ac:dyDescent="0.35">
      <c r="K859" t="str">
        <f>IFERROR(VLOOKUP(F859,tbTurnos,3,FALSE),"")</f>
        <v/>
      </c>
      <c r="N859" t="str">
        <f>IFERROR(VLOOKUP(M859,tbFactorMes,2,FALSE),"")</f>
        <v/>
      </c>
      <c r="O859">
        <f t="shared" si="182"/>
        <v>0</v>
      </c>
      <c r="R859" t="str">
        <f>IFERROR(VLOOKUP(Q859,tbFactorMes,2,FALSE),"")</f>
        <v/>
      </c>
      <c r="S859">
        <f t="shared" si="183"/>
        <v>0</v>
      </c>
      <c r="V859" t="str">
        <f>IFERROR(VLOOKUP(U859,tbFactorMes,2,FALSE),"")</f>
        <v/>
      </c>
      <c r="W859">
        <f t="shared" si="184"/>
        <v>0</v>
      </c>
      <c r="Z859" t="str">
        <f>IFERROR(VLOOKUP(Y859,tbFactorMes,2,FALSE),"")</f>
        <v/>
      </c>
      <c r="AA859">
        <f t="shared" si="185"/>
        <v>0</v>
      </c>
      <c r="AD859" t="str">
        <f>IFERROR(VLOOKUP(AC859,tbFactorMes,2,FALSE),"")</f>
        <v/>
      </c>
      <c r="AE859">
        <f t="shared" si="186"/>
        <v>0</v>
      </c>
      <c r="AH859" t="str">
        <f>IFERROR(VLOOKUP(AG859,tbFactorMes,2,FALSE),"")</f>
        <v/>
      </c>
      <c r="AI859">
        <f t="shared" si="187"/>
        <v>0</v>
      </c>
      <c r="AL859" t="str">
        <f>IFERROR(VLOOKUP(AK859,tbFactorMes,2,FALSE),"")</f>
        <v/>
      </c>
      <c r="AM859">
        <f t="shared" si="188"/>
        <v>0</v>
      </c>
      <c r="AP859" t="str">
        <f>IFERROR(VLOOKUP(AO859,tbFactorMes,2,FALSE),"")</f>
        <v/>
      </c>
      <c r="AQ859">
        <f t="shared" si="189"/>
        <v>0</v>
      </c>
      <c r="AT859" t="str">
        <f>IFERROR(VLOOKUP(AS859,tbFactorMes,2,FALSE),"")</f>
        <v/>
      </c>
      <c r="AU859">
        <f t="shared" si="190"/>
        <v>0</v>
      </c>
      <c r="AX859" t="str">
        <f>IFERROR(VLOOKUP(AW859,tbFactorMes,2,FALSE),"")</f>
        <v/>
      </c>
      <c r="AY859">
        <f t="shared" si="191"/>
        <v>0</v>
      </c>
      <c r="BB859" t="str">
        <f>IFERROR(VLOOKUP(BA859,tbFactorMes,2,FALSE),"")</f>
        <v/>
      </c>
      <c r="BC859">
        <f t="shared" si="192"/>
        <v>0</v>
      </c>
      <c r="BF859" t="str">
        <f>IFERROR(VLOOKUP(BE859,tbFactorMes,2,FALSE),"")</f>
        <v/>
      </c>
      <c r="BG859">
        <f t="shared" si="193"/>
        <v>0</v>
      </c>
      <c r="BH859">
        <f t="shared" si="194"/>
        <v>0</v>
      </c>
      <c r="BI859">
        <f t="shared" si="195"/>
        <v>0</v>
      </c>
    </row>
    <row r="860" spans="11:61" x14ac:dyDescent="0.35">
      <c r="K860" t="str">
        <f>IFERROR(VLOOKUP(F860,tbTurnos,3,FALSE),"")</f>
        <v/>
      </c>
      <c r="N860" t="str">
        <f>IFERROR(VLOOKUP(M860,tbFactorMes,2,FALSE),"")</f>
        <v/>
      </c>
      <c r="O860">
        <f t="shared" si="182"/>
        <v>0</v>
      </c>
      <c r="R860" t="str">
        <f>IFERROR(VLOOKUP(Q860,tbFactorMes,2,FALSE),"")</f>
        <v/>
      </c>
      <c r="S860">
        <f t="shared" si="183"/>
        <v>0</v>
      </c>
      <c r="V860" t="str">
        <f>IFERROR(VLOOKUP(U860,tbFactorMes,2,FALSE),"")</f>
        <v/>
      </c>
      <c r="W860">
        <f t="shared" si="184"/>
        <v>0</v>
      </c>
      <c r="Z860" t="str">
        <f>IFERROR(VLOOKUP(Y860,tbFactorMes,2,FALSE),"")</f>
        <v/>
      </c>
      <c r="AA860">
        <f t="shared" si="185"/>
        <v>0</v>
      </c>
      <c r="AD860" t="str">
        <f>IFERROR(VLOOKUP(AC860,tbFactorMes,2,FALSE),"")</f>
        <v/>
      </c>
      <c r="AE860">
        <f t="shared" si="186"/>
        <v>0</v>
      </c>
      <c r="AH860" t="str">
        <f>IFERROR(VLOOKUP(AG860,tbFactorMes,2,FALSE),"")</f>
        <v/>
      </c>
      <c r="AI860">
        <f t="shared" si="187"/>
        <v>0</v>
      </c>
      <c r="AL860" t="str">
        <f>IFERROR(VLOOKUP(AK860,tbFactorMes,2,FALSE),"")</f>
        <v/>
      </c>
      <c r="AM860">
        <f t="shared" si="188"/>
        <v>0</v>
      </c>
      <c r="AP860" t="str">
        <f>IFERROR(VLOOKUP(AO860,tbFactorMes,2,FALSE),"")</f>
        <v/>
      </c>
      <c r="AQ860">
        <f t="shared" si="189"/>
        <v>0</v>
      </c>
      <c r="AT860" t="str">
        <f>IFERROR(VLOOKUP(AS860,tbFactorMes,2,FALSE),"")</f>
        <v/>
      </c>
      <c r="AU860">
        <f t="shared" si="190"/>
        <v>0</v>
      </c>
      <c r="AX860" t="str">
        <f>IFERROR(VLOOKUP(AW860,tbFactorMes,2,FALSE),"")</f>
        <v/>
      </c>
      <c r="AY860">
        <f t="shared" si="191"/>
        <v>0</v>
      </c>
      <c r="BB860" t="str">
        <f>IFERROR(VLOOKUP(BA860,tbFactorMes,2,FALSE),"")</f>
        <v/>
      </c>
      <c r="BC860">
        <f t="shared" si="192"/>
        <v>0</v>
      </c>
      <c r="BF860" t="str">
        <f>IFERROR(VLOOKUP(BE860,tbFactorMes,2,FALSE),"")</f>
        <v/>
      </c>
      <c r="BG860">
        <f t="shared" si="193"/>
        <v>0</v>
      </c>
      <c r="BH860">
        <f t="shared" si="194"/>
        <v>0</v>
      </c>
      <c r="BI860">
        <f t="shared" si="195"/>
        <v>0</v>
      </c>
    </row>
    <row r="861" spans="11:61" x14ac:dyDescent="0.35">
      <c r="K861" t="str">
        <f>IFERROR(VLOOKUP(F861,tbTurnos,3,FALSE),"")</f>
        <v/>
      </c>
      <c r="N861" t="str">
        <f>IFERROR(VLOOKUP(M861,tbFactorMes,2,FALSE),"")</f>
        <v/>
      </c>
      <c r="O861">
        <f t="shared" si="182"/>
        <v>0</v>
      </c>
      <c r="R861" t="str">
        <f>IFERROR(VLOOKUP(Q861,tbFactorMes,2,FALSE),"")</f>
        <v/>
      </c>
      <c r="S861">
        <f t="shared" si="183"/>
        <v>0</v>
      </c>
      <c r="V861" t="str">
        <f>IFERROR(VLOOKUP(U861,tbFactorMes,2,FALSE),"")</f>
        <v/>
      </c>
      <c r="W861">
        <f t="shared" si="184"/>
        <v>0</v>
      </c>
      <c r="Z861" t="str">
        <f>IFERROR(VLOOKUP(Y861,tbFactorMes,2,FALSE),"")</f>
        <v/>
      </c>
      <c r="AA861">
        <f t="shared" si="185"/>
        <v>0</v>
      </c>
      <c r="AD861" t="str">
        <f>IFERROR(VLOOKUP(AC861,tbFactorMes,2,FALSE),"")</f>
        <v/>
      </c>
      <c r="AE861">
        <f t="shared" si="186"/>
        <v>0</v>
      </c>
      <c r="AH861" t="str">
        <f>IFERROR(VLOOKUP(AG861,tbFactorMes,2,FALSE),"")</f>
        <v/>
      </c>
      <c r="AI861">
        <f t="shared" si="187"/>
        <v>0</v>
      </c>
      <c r="AL861" t="str">
        <f>IFERROR(VLOOKUP(AK861,tbFactorMes,2,FALSE),"")</f>
        <v/>
      </c>
      <c r="AM861">
        <f t="shared" si="188"/>
        <v>0</v>
      </c>
      <c r="AP861" t="str">
        <f>IFERROR(VLOOKUP(AO861,tbFactorMes,2,FALSE),"")</f>
        <v/>
      </c>
      <c r="AQ861">
        <f t="shared" si="189"/>
        <v>0</v>
      </c>
      <c r="AT861" t="str">
        <f>IFERROR(VLOOKUP(AS861,tbFactorMes,2,FALSE),"")</f>
        <v/>
      </c>
      <c r="AU861">
        <f t="shared" si="190"/>
        <v>0</v>
      </c>
      <c r="AX861" t="str">
        <f>IFERROR(VLOOKUP(AW861,tbFactorMes,2,FALSE),"")</f>
        <v/>
      </c>
      <c r="AY861">
        <f t="shared" si="191"/>
        <v>0</v>
      </c>
      <c r="BB861" t="str">
        <f>IFERROR(VLOOKUP(BA861,tbFactorMes,2,FALSE),"")</f>
        <v/>
      </c>
      <c r="BC861">
        <f t="shared" si="192"/>
        <v>0</v>
      </c>
      <c r="BF861" t="str">
        <f>IFERROR(VLOOKUP(BE861,tbFactorMes,2,FALSE),"")</f>
        <v/>
      </c>
      <c r="BG861">
        <f t="shared" si="193"/>
        <v>0</v>
      </c>
      <c r="BH861">
        <f t="shared" si="194"/>
        <v>0</v>
      </c>
      <c r="BI861">
        <f t="shared" si="195"/>
        <v>0</v>
      </c>
    </row>
    <row r="862" spans="11:61" x14ac:dyDescent="0.35">
      <c r="K862" t="str">
        <f>IFERROR(VLOOKUP(F862,tbTurnos,3,FALSE),"")</f>
        <v/>
      </c>
      <c r="N862" t="str">
        <f>IFERROR(VLOOKUP(M862,tbFactorMes,2,FALSE),"")</f>
        <v/>
      </c>
      <c r="O862">
        <f t="shared" si="182"/>
        <v>0</v>
      </c>
      <c r="R862" t="str">
        <f>IFERROR(VLOOKUP(Q862,tbFactorMes,2,FALSE),"")</f>
        <v/>
      </c>
      <c r="S862">
        <f t="shared" si="183"/>
        <v>0</v>
      </c>
      <c r="V862" t="str">
        <f>IFERROR(VLOOKUP(U862,tbFactorMes,2,FALSE),"")</f>
        <v/>
      </c>
      <c r="W862">
        <f t="shared" si="184"/>
        <v>0</v>
      </c>
      <c r="Z862" t="str">
        <f>IFERROR(VLOOKUP(Y862,tbFactorMes,2,FALSE),"")</f>
        <v/>
      </c>
      <c r="AA862">
        <f t="shared" si="185"/>
        <v>0</v>
      </c>
      <c r="AD862" t="str">
        <f>IFERROR(VLOOKUP(AC862,tbFactorMes,2,FALSE),"")</f>
        <v/>
      </c>
      <c r="AE862">
        <f t="shared" si="186"/>
        <v>0</v>
      </c>
      <c r="AH862" t="str">
        <f>IFERROR(VLOOKUP(AG862,tbFactorMes,2,FALSE),"")</f>
        <v/>
      </c>
      <c r="AI862">
        <f t="shared" si="187"/>
        <v>0</v>
      </c>
      <c r="AL862" t="str">
        <f>IFERROR(VLOOKUP(AK862,tbFactorMes,2,FALSE),"")</f>
        <v/>
      </c>
      <c r="AM862">
        <f t="shared" si="188"/>
        <v>0</v>
      </c>
      <c r="AP862" t="str">
        <f>IFERROR(VLOOKUP(AO862,tbFactorMes,2,FALSE),"")</f>
        <v/>
      </c>
      <c r="AQ862">
        <f t="shared" si="189"/>
        <v>0</v>
      </c>
      <c r="AT862" t="str">
        <f>IFERROR(VLOOKUP(AS862,tbFactorMes,2,FALSE),"")</f>
        <v/>
      </c>
      <c r="AU862">
        <f t="shared" si="190"/>
        <v>0</v>
      </c>
      <c r="AX862" t="str">
        <f>IFERROR(VLOOKUP(AW862,tbFactorMes,2,FALSE),"")</f>
        <v/>
      </c>
      <c r="AY862">
        <f t="shared" si="191"/>
        <v>0</v>
      </c>
      <c r="BB862" t="str">
        <f>IFERROR(VLOOKUP(BA862,tbFactorMes,2,FALSE),"")</f>
        <v/>
      </c>
      <c r="BC862">
        <f t="shared" si="192"/>
        <v>0</v>
      </c>
      <c r="BF862" t="str">
        <f>IFERROR(VLOOKUP(BE862,tbFactorMes,2,FALSE),"")</f>
        <v/>
      </c>
      <c r="BG862">
        <f t="shared" si="193"/>
        <v>0</v>
      </c>
      <c r="BH862">
        <f t="shared" si="194"/>
        <v>0</v>
      </c>
      <c r="BI862">
        <f t="shared" si="195"/>
        <v>0</v>
      </c>
    </row>
    <row r="863" spans="11:61" x14ac:dyDescent="0.35">
      <c r="K863" t="str">
        <f>IFERROR(VLOOKUP(F863,tbTurnos,3,FALSE),"")</f>
        <v/>
      </c>
      <c r="N863" t="str">
        <f>IFERROR(VLOOKUP(M863,tbFactorMes,2,FALSE),"")</f>
        <v/>
      </c>
      <c r="O863">
        <f t="shared" si="182"/>
        <v>0</v>
      </c>
      <c r="R863" t="str">
        <f>IFERROR(VLOOKUP(Q863,tbFactorMes,2,FALSE),"")</f>
        <v/>
      </c>
      <c r="S863">
        <f t="shared" si="183"/>
        <v>0</v>
      </c>
      <c r="V863" t="str">
        <f>IFERROR(VLOOKUP(U863,tbFactorMes,2,FALSE),"")</f>
        <v/>
      </c>
      <c r="W863">
        <f t="shared" si="184"/>
        <v>0</v>
      </c>
      <c r="Z863" t="str">
        <f>IFERROR(VLOOKUP(Y863,tbFactorMes,2,FALSE),"")</f>
        <v/>
      </c>
      <c r="AA863">
        <f t="shared" si="185"/>
        <v>0</v>
      </c>
      <c r="AD863" t="str">
        <f>IFERROR(VLOOKUP(AC863,tbFactorMes,2,FALSE),"")</f>
        <v/>
      </c>
      <c r="AE863">
        <f t="shared" si="186"/>
        <v>0</v>
      </c>
      <c r="AH863" t="str">
        <f>IFERROR(VLOOKUP(AG863,tbFactorMes,2,FALSE),"")</f>
        <v/>
      </c>
      <c r="AI863">
        <f t="shared" si="187"/>
        <v>0</v>
      </c>
      <c r="AL863" t="str">
        <f>IFERROR(VLOOKUP(AK863,tbFactorMes,2,FALSE),"")</f>
        <v/>
      </c>
      <c r="AM863">
        <f t="shared" si="188"/>
        <v>0</v>
      </c>
      <c r="AP863" t="str">
        <f>IFERROR(VLOOKUP(AO863,tbFactorMes,2,FALSE),"")</f>
        <v/>
      </c>
      <c r="AQ863">
        <f t="shared" si="189"/>
        <v>0</v>
      </c>
      <c r="AT863" t="str">
        <f>IFERROR(VLOOKUP(AS863,tbFactorMes,2,FALSE),"")</f>
        <v/>
      </c>
      <c r="AU863">
        <f t="shared" si="190"/>
        <v>0</v>
      </c>
      <c r="AX863" t="str">
        <f>IFERROR(VLOOKUP(AW863,tbFactorMes,2,FALSE),"")</f>
        <v/>
      </c>
      <c r="AY863">
        <f t="shared" si="191"/>
        <v>0</v>
      </c>
      <c r="BB863" t="str">
        <f>IFERROR(VLOOKUP(BA863,tbFactorMes,2,FALSE),"")</f>
        <v/>
      </c>
      <c r="BC863">
        <f t="shared" si="192"/>
        <v>0</v>
      </c>
      <c r="BF863" t="str">
        <f>IFERROR(VLOOKUP(BE863,tbFactorMes,2,FALSE),"")</f>
        <v/>
      </c>
      <c r="BG863">
        <f t="shared" si="193"/>
        <v>0</v>
      </c>
      <c r="BH863">
        <f t="shared" si="194"/>
        <v>0</v>
      </c>
      <c r="BI863">
        <f t="shared" si="195"/>
        <v>0</v>
      </c>
    </row>
    <row r="864" spans="11:61" x14ac:dyDescent="0.35">
      <c r="K864" t="str">
        <f>IFERROR(VLOOKUP(F864,tbTurnos,3,FALSE),"")</f>
        <v/>
      </c>
      <c r="N864" t="str">
        <f>IFERROR(VLOOKUP(M864,tbFactorMes,2,FALSE),"")</f>
        <v/>
      </c>
      <c r="O864">
        <f t="shared" si="182"/>
        <v>0</v>
      </c>
      <c r="R864" t="str">
        <f>IFERROR(VLOOKUP(Q864,tbFactorMes,2,FALSE),"")</f>
        <v/>
      </c>
      <c r="S864">
        <f t="shared" si="183"/>
        <v>0</v>
      </c>
      <c r="V864" t="str">
        <f>IFERROR(VLOOKUP(U864,tbFactorMes,2,FALSE),"")</f>
        <v/>
      </c>
      <c r="W864">
        <f t="shared" si="184"/>
        <v>0</v>
      </c>
      <c r="Z864" t="str">
        <f>IFERROR(VLOOKUP(Y864,tbFactorMes,2,FALSE),"")</f>
        <v/>
      </c>
      <c r="AA864">
        <f t="shared" si="185"/>
        <v>0</v>
      </c>
      <c r="AD864" t="str">
        <f>IFERROR(VLOOKUP(AC864,tbFactorMes,2,FALSE),"")</f>
        <v/>
      </c>
      <c r="AE864">
        <f t="shared" si="186"/>
        <v>0</v>
      </c>
      <c r="AH864" t="str">
        <f>IFERROR(VLOOKUP(AG864,tbFactorMes,2,FALSE),"")</f>
        <v/>
      </c>
      <c r="AI864">
        <f t="shared" si="187"/>
        <v>0</v>
      </c>
      <c r="AL864" t="str">
        <f>IFERROR(VLOOKUP(AK864,tbFactorMes,2,FALSE),"")</f>
        <v/>
      </c>
      <c r="AM864">
        <f t="shared" si="188"/>
        <v>0</v>
      </c>
      <c r="AP864" t="str">
        <f>IFERROR(VLOOKUP(AO864,tbFactorMes,2,FALSE),"")</f>
        <v/>
      </c>
      <c r="AQ864">
        <f t="shared" si="189"/>
        <v>0</v>
      </c>
      <c r="AT864" t="str">
        <f>IFERROR(VLOOKUP(AS864,tbFactorMes,2,FALSE),"")</f>
        <v/>
      </c>
      <c r="AU864">
        <f t="shared" si="190"/>
        <v>0</v>
      </c>
      <c r="AX864" t="str">
        <f>IFERROR(VLOOKUP(AW864,tbFactorMes,2,FALSE),"")</f>
        <v/>
      </c>
      <c r="AY864">
        <f t="shared" si="191"/>
        <v>0</v>
      </c>
      <c r="BB864" t="str">
        <f>IFERROR(VLOOKUP(BA864,tbFactorMes,2,FALSE),"")</f>
        <v/>
      </c>
      <c r="BC864">
        <f t="shared" si="192"/>
        <v>0</v>
      </c>
      <c r="BF864" t="str">
        <f>IFERROR(VLOOKUP(BE864,tbFactorMes,2,FALSE),"")</f>
        <v/>
      </c>
      <c r="BG864">
        <f t="shared" si="193"/>
        <v>0</v>
      </c>
      <c r="BH864">
        <f t="shared" si="194"/>
        <v>0</v>
      </c>
      <c r="BI864">
        <f t="shared" si="195"/>
        <v>0</v>
      </c>
    </row>
    <row r="865" spans="11:61" x14ac:dyDescent="0.35">
      <c r="K865" t="str">
        <f>IFERROR(VLOOKUP(F865,tbTurnos,3,FALSE),"")</f>
        <v/>
      </c>
      <c r="N865" t="str">
        <f>IFERROR(VLOOKUP(M865,tbFactorMes,2,FALSE),"")</f>
        <v/>
      </c>
      <c r="O865">
        <f t="shared" si="182"/>
        <v>0</v>
      </c>
      <c r="R865" t="str">
        <f>IFERROR(VLOOKUP(Q865,tbFactorMes,2,FALSE),"")</f>
        <v/>
      </c>
      <c r="S865">
        <f t="shared" si="183"/>
        <v>0</v>
      </c>
      <c r="V865" t="str">
        <f>IFERROR(VLOOKUP(U865,tbFactorMes,2,FALSE),"")</f>
        <v/>
      </c>
      <c r="W865">
        <f t="shared" si="184"/>
        <v>0</v>
      </c>
      <c r="Z865" t="str">
        <f>IFERROR(VLOOKUP(Y865,tbFactorMes,2,FALSE),"")</f>
        <v/>
      </c>
      <c r="AA865">
        <f t="shared" si="185"/>
        <v>0</v>
      </c>
      <c r="AD865" t="str">
        <f>IFERROR(VLOOKUP(AC865,tbFactorMes,2,FALSE),"")</f>
        <v/>
      </c>
      <c r="AE865">
        <f t="shared" si="186"/>
        <v>0</v>
      </c>
      <c r="AH865" t="str">
        <f>IFERROR(VLOOKUP(AG865,tbFactorMes,2,FALSE),"")</f>
        <v/>
      </c>
      <c r="AI865">
        <f t="shared" si="187"/>
        <v>0</v>
      </c>
      <c r="AL865" t="str">
        <f>IFERROR(VLOOKUP(AK865,tbFactorMes,2,FALSE),"")</f>
        <v/>
      </c>
      <c r="AM865">
        <f t="shared" si="188"/>
        <v>0</v>
      </c>
      <c r="AP865" t="str">
        <f>IFERROR(VLOOKUP(AO865,tbFactorMes,2,FALSE),"")</f>
        <v/>
      </c>
      <c r="AQ865">
        <f t="shared" si="189"/>
        <v>0</v>
      </c>
      <c r="AT865" t="str">
        <f>IFERROR(VLOOKUP(AS865,tbFactorMes,2,FALSE),"")</f>
        <v/>
      </c>
      <c r="AU865">
        <f t="shared" si="190"/>
        <v>0</v>
      </c>
      <c r="AX865" t="str">
        <f>IFERROR(VLOOKUP(AW865,tbFactorMes,2,FALSE),"")</f>
        <v/>
      </c>
      <c r="AY865">
        <f t="shared" si="191"/>
        <v>0</v>
      </c>
      <c r="BB865" t="str">
        <f>IFERROR(VLOOKUP(BA865,tbFactorMes,2,FALSE),"")</f>
        <v/>
      </c>
      <c r="BC865">
        <f t="shared" si="192"/>
        <v>0</v>
      </c>
      <c r="BF865" t="str">
        <f>IFERROR(VLOOKUP(BE865,tbFactorMes,2,FALSE),"")</f>
        <v/>
      </c>
      <c r="BG865">
        <f t="shared" si="193"/>
        <v>0</v>
      </c>
      <c r="BH865">
        <f t="shared" si="194"/>
        <v>0</v>
      </c>
      <c r="BI865">
        <f t="shared" si="195"/>
        <v>0</v>
      </c>
    </row>
    <row r="866" spans="11:61" x14ac:dyDescent="0.35">
      <c r="K866" t="str">
        <f>IFERROR(VLOOKUP(F866,tbTurnos,3,FALSE),"")</f>
        <v/>
      </c>
      <c r="N866" t="str">
        <f>IFERROR(VLOOKUP(M866,tbFactorMes,2,FALSE),"")</f>
        <v/>
      </c>
      <c r="O866">
        <f t="shared" si="182"/>
        <v>0</v>
      </c>
      <c r="R866" t="str">
        <f>IFERROR(VLOOKUP(Q866,tbFactorMes,2,FALSE),"")</f>
        <v/>
      </c>
      <c r="S866">
        <f t="shared" si="183"/>
        <v>0</v>
      </c>
      <c r="V866" t="str">
        <f>IFERROR(VLOOKUP(U866,tbFactorMes,2,FALSE),"")</f>
        <v/>
      </c>
      <c r="W866">
        <f t="shared" si="184"/>
        <v>0</v>
      </c>
      <c r="Z866" t="str">
        <f>IFERROR(VLOOKUP(Y866,tbFactorMes,2,FALSE),"")</f>
        <v/>
      </c>
      <c r="AA866">
        <f t="shared" si="185"/>
        <v>0</v>
      </c>
      <c r="AD866" t="str">
        <f>IFERROR(VLOOKUP(AC866,tbFactorMes,2,FALSE),"")</f>
        <v/>
      </c>
      <c r="AE866">
        <f t="shared" si="186"/>
        <v>0</v>
      </c>
      <c r="AH866" t="str">
        <f>IFERROR(VLOOKUP(AG866,tbFactorMes,2,FALSE),"")</f>
        <v/>
      </c>
      <c r="AI866">
        <f t="shared" si="187"/>
        <v>0</v>
      </c>
      <c r="AL866" t="str">
        <f>IFERROR(VLOOKUP(AK866,tbFactorMes,2,FALSE),"")</f>
        <v/>
      </c>
      <c r="AM866">
        <f t="shared" si="188"/>
        <v>0</v>
      </c>
      <c r="AP866" t="str">
        <f>IFERROR(VLOOKUP(AO866,tbFactorMes,2,FALSE),"")</f>
        <v/>
      </c>
      <c r="AQ866">
        <f t="shared" si="189"/>
        <v>0</v>
      </c>
      <c r="AT866" t="str">
        <f>IFERROR(VLOOKUP(AS866,tbFactorMes,2,FALSE),"")</f>
        <v/>
      </c>
      <c r="AU866">
        <f t="shared" si="190"/>
        <v>0</v>
      </c>
      <c r="AX866" t="str">
        <f>IFERROR(VLOOKUP(AW866,tbFactorMes,2,FALSE),"")</f>
        <v/>
      </c>
      <c r="AY866">
        <f t="shared" si="191"/>
        <v>0</v>
      </c>
      <c r="BB866" t="str">
        <f>IFERROR(VLOOKUP(BA866,tbFactorMes,2,FALSE),"")</f>
        <v/>
      </c>
      <c r="BC866">
        <f t="shared" si="192"/>
        <v>0</v>
      </c>
      <c r="BF866" t="str">
        <f>IFERROR(VLOOKUP(BE866,tbFactorMes,2,FALSE),"")</f>
        <v/>
      </c>
      <c r="BG866">
        <f t="shared" si="193"/>
        <v>0</v>
      </c>
      <c r="BH866">
        <f t="shared" si="194"/>
        <v>0</v>
      </c>
      <c r="BI866">
        <f t="shared" si="195"/>
        <v>0</v>
      </c>
    </row>
    <row r="867" spans="11:61" x14ac:dyDescent="0.35">
      <c r="K867" t="str">
        <f>IFERROR(VLOOKUP(F867,tbTurnos,3,FALSE),"")</f>
        <v/>
      </c>
      <c r="N867" t="str">
        <f>IFERROR(VLOOKUP(M867,tbFactorMes,2,FALSE),"")</f>
        <v/>
      </c>
      <c r="O867">
        <f t="shared" si="182"/>
        <v>0</v>
      </c>
      <c r="R867" t="str">
        <f>IFERROR(VLOOKUP(Q867,tbFactorMes,2,FALSE),"")</f>
        <v/>
      </c>
      <c r="S867">
        <f t="shared" si="183"/>
        <v>0</v>
      </c>
      <c r="V867" t="str">
        <f>IFERROR(VLOOKUP(U867,tbFactorMes,2,FALSE),"")</f>
        <v/>
      </c>
      <c r="W867">
        <f t="shared" si="184"/>
        <v>0</v>
      </c>
      <c r="Z867" t="str">
        <f>IFERROR(VLOOKUP(Y867,tbFactorMes,2,FALSE),"")</f>
        <v/>
      </c>
      <c r="AA867">
        <f t="shared" si="185"/>
        <v>0</v>
      </c>
      <c r="AD867" t="str">
        <f>IFERROR(VLOOKUP(AC867,tbFactorMes,2,FALSE),"")</f>
        <v/>
      </c>
      <c r="AE867">
        <f t="shared" si="186"/>
        <v>0</v>
      </c>
      <c r="AH867" t="str">
        <f>IFERROR(VLOOKUP(AG867,tbFactorMes,2,FALSE),"")</f>
        <v/>
      </c>
      <c r="AI867">
        <f t="shared" si="187"/>
        <v>0</v>
      </c>
      <c r="AL867" t="str">
        <f>IFERROR(VLOOKUP(AK867,tbFactorMes,2,FALSE),"")</f>
        <v/>
      </c>
      <c r="AM867">
        <f t="shared" si="188"/>
        <v>0</v>
      </c>
      <c r="AP867" t="str">
        <f>IFERROR(VLOOKUP(AO867,tbFactorMes,2,FALSE),"")</f>
        <v/>
      </c>
      <c r="AQ867">
        <f t="shared" si="189"/>
        <v>0</v>
      </c>
      <c r="AT867" t="str">
        <f>IFERROR(VLOOKUP(AS867,tbFactorMes,2,FALSE),"")</f>
        <v/>
      </c>
      <c r="AU867">
        <f t="shared" si="190"/>
        <v>0</v>
      </c>
      <c r="AX867" t="str">
        <f>IFERROR(VLOOKUP(AW867,tbFactorMes,2,FALSE),"")</f>
        <v/>
      </c>
      <c r="AY867">
        <f t="shared" si="191"/>
        <v>0</v>
      </c>
      <c r="BB867" t="str">
        <f>IFERROR(VLOOKUP(BA867,tbFactorMes,2,FALSE),"")</f>
        <v/>
      </c>
      <c r="BC867">
        <f t="shared" si="192"/>
        <v>0</v>
      </c>
      <c r="BF867" t="str">
        <f>IFERROR(VLOOKUP(BE867,tbFactorMes,2,FALSE),"")</f>
        <v/>
      </c>
      <c r="BG867">
        <f t="shared" si="193"/>
        <v>0</v>
      </c>
      <c r="BH867">
        <f t="shared" si="194"/>
        <v>0</v>
      </c>
      <c r="BI867">
        <f t="shared" si="195"/>
        <v>0</v>
      </c>
    </row>
    <row r="868" spans="11:61" x14ac:dyDescent="0.35">
      <c r="K868" t="str">
        <f>IFERROR(VLOOKUP(F868,tbTurnos,3,FALSE),"")</f>
        <v/>
      </c>
      <c r="N868" t="str">
        <f>IFERROR(VLOOKUP(M868,tbFactorMes,2,FALSE),"")</f>
        <v/>
      </c>
      <c r="O868">
        <f t="shared" si="182"/>
        <v>0</v>
      </c>
      <c r="R868" t="str">
        <f>IFERROR(VLOOKUP(Q868,tbFactorMes,2,FALSE),"")</f>
        <v/>
      </c>
      <c r="S868">
        <f t="shared" si="183"/>
        <v>0</v>
      </c>
      <c r="V868" t="str">
        <f>IFERROR(VLOOKUP(U868,tbFactorMes,2,FALSE),"")</f>
        <v/>
      </c>
      <c r="W868">
        <f t="shared" si="184"/>
        <v>0</v>
      </c>
      <c r="Z868" t="str">
        <f>IFERROR(VLOOKUP(Y868,tbFactorMes,2,FALSE),"")</f>
        <v/>
      </c>
      <c r="AA868">
        <f t="shared" si="185"/>
        <v>0</v>
      </c>
      <c r="AD868" t="str">
        <f>IFERROR(VLOOKUP(AC868,tbFactorMes,2,FALSE),"")</f>
        <v/>
      </c>
      <c r="AE868">
        <f t="shared" si="186"/>
        <v>0</v>
      </c>
      <c r="AH868" t="str">
        <f>IFERROR(VLOOKUP(AG868,tbFactorMes,2,FALSE),"")</f>
        <v/>
      </c>
      <c r="AI868">
        <f t="shared" si="187"/>
        <v>0</v>
      </c>
      <c r="AL868" t="str">
        <f>IFERROR(VLOOKUP(AK868,tbFactorMes,2,FALSE),"")</f>
        <v/>
      </c>
      <c r="AM868">
        <f t="shared" si="188"/>
        <v>0</v>
      </c>
      <c r="AP868" t="str">
        <f>IFERROR(VLOOKUP(AO868,tbFactorMes,2,FALSE),"")</f>
        <v/>
      </c>
      <c r="AQ868">
        <f t="shared" si="189"/>
        <v>0</v>
      </c>
      <c r="AT868" t="str">
        <f>IFERROR(VLOOKUP(AS868,tbFactorMes,2,FALSE),"")</f>
        <v/>
      </c>
      <c r="AU868">
        <f t="shared" si="190"/>
        <v>0</v>
      </c>
      <c r="AX868" t="str">
        <f>IFERROR(VLOOKUP(AW868,tbFactorMes,2,FALSE),"")</f>
        <v/>
      </c>
      <c r="AY868">
        <f t="shared" si="191"/>
        <v>0</v>
      </c>
      <c r="BB868" t="str">
        <f>IFERROR(VLOOKUP(BA868,tbFactorMes,2,FALSE),"")</f>
        <v/>
      </c>
      <c r="BC868">
        <f t="shared" si="192"/>
        <v>0</v>
      </c>
      <c r="BF868" t="str">
        <f>IFERROR(VLOOKUP(BE868,tbFactorMes,2,FALSE),"")</f>
        <v/>
      </c>
      <c r="BG868">
        <f t="shared" si="193"/>
        <v>0</v>
      </c>
      <c r="BH868">
        <f t="shared" si="194"/>
        <v>0</v>
      </c>
      <c r="BI868">
        <f t="shared" si="195"/>
        <v>0</v>
      </c>
    </row>
    <row r="869" spans="11:61" x14ac:dyDescent="0.35">
      <c r="K869" t="str">
        <f>IFERROR(VLOOKUP(F869,tbTurnos,3,FALSE),"")</f>
        <v/>
      </c>
      <c r="N869" t="str">
        <f>IFERROR(VLOOKUP(M869,tbFactorMes,2,FALSE),"")</f>
        <v/>
      </c>
      <c r="O869">
        <f t="shared" si="182"/>
        <v>0</v>
      </c>
      <c r="R869" t="str">
        <f>IFERROR(VLOOKUP(Q869,tbFactorMes,2,FALSE),"")</f>
        <v/>
      </c>
      <c r="S869">
        <f t="shared" si="183"/>
        <v>0</v>
      </c>
      <c r="V869" t="str">
        <f>IFERROR(VLOOKUP(U869,tbFactorMes,2,FALSE),"")</f>
        <v/>
      </c>
      <c r="W869">
        <f t="shared" si="184"/>
        <v>0</v>
      </c>
      <c r="Z869" t="str">
        <f>IFERROR(VLOOKUP(Y869,tbFactorMes,2,FALSE),"")</f>
        <v/>
      </c>
      <c r="AA869">
        <f t="shared" si="185"/>
        <v>0</v>
      </c>
      <c r="AD869" t="str">
        <f>IFERROR(VLOOKUP(AC869,tbFactorMes,2,FALSE),"")</f>
        <v/>
      </c>
      <c r="AE869">
        <f t="shared" si="186"/>
        <v>0</v>
      </c>
      <c r="AH869" t="str">
        <f>IFERROR(VLOOKUP(AG869,tbFactorMes,2,FALSE),"")</f>
        <v/>
      </c>
      <c r="AI869">
        <f t="shared" si="187"/>
        <v>0</v>
      </c>
      <c r="AL869" t="str">
        <f>IFERROR(VLOOKUP(AK869,tbFactorMes,2,FALSE),"")</f>
        <v/>
      </c>
      <c r="AM869">
        <f t="shared" si="188"/>
        <v>0</v>
      </c>
      <c r="AP869" t="str">
        <f>IFERROR(VLOOKUP(AO869,tbFactorMes,2,FALSE),"")</f>
        <v/>
      </c>
      <c r="AQ869">
        <f t="shared" si="189"/>
        <v>0</v>
      </c>
      <c r="AT869" t="str">
        <f>IFERROR(VLOOKUP(AS869,tbFactorMes,2,FALSE),"")</f>
        <v/>
      </c>
      <c r="AU869">
        <f t="shared" si="190"/>
        <v>0</v>
      </c>
      <c r="AX869" t="str">
        <f>IFERROR(VLOOKUP(AW869,tbFactorMes,2,FALSE),"")</f>
        <v/>
      </c>
      <c r="AY869">
        <f t="shared" si="191"/>
        <v>0</v>
      </c>
      <c r="BB869" t="str">
        <f>IFERROR(VLOOKUP(BA869,tbFactorMes,2,FALSE),"")</f>
        <v/>
      </c>
      <c r="BC869">
        <f t="shared" si="192"/>
        <v>0</v>
      </c>
      <c r="BF869" t="str">
        <f>IFERROR(VLOOKUP(BE869,tbFactorMes,2,FALSE),"")</f>
        <v/>
      </c>
      <c r="BG869">
        <f t="shared" si="193"/>
        <v>0</v>
      </c>
      <c r="BH869">
        <f t="shared" si="194"/>
        <v>0</v>
      </c>
      <c r="BI869">
        <f t="shared" si="195"/>
        <v>0</v>
      </c>
    </row>
    <row r="870" spans="11:61" x14ac:dyDescent="0.35">
      <c r="K870" t="str">
        <f>IFERROR(VLOOKUP(F870,tbTurnos,3,FALSE),"")</f>
        <v/>
      </c>
      <c r="N870" t="str">
        <f>IFERROR(VLOOKUP(M870,tbFactorMes,2,FALSE),"")</f>
        <v/>
      </c>
      <c r="O870">
        <f t="shared" si="182"/>
        <v>0</v>
      </c>
      <c r="R870" t="str">
        <f>IFERROR(VLOOKUP(Q870,tbFactorMes,2,FALSE),"")</f>
        <v/>
      </c>
      <c r="S870">
        <f t="shared" si="183"/>
        <v>0</v>
      </c>
      <c r="V870" t="str">
        <f>IFERROR(VLOOKUP(U870,tbFactorMes,2,FALSE),"")</f>
        <v/>
      </c>
      <c r="W870">
        <f t="shared" si="184"/>
        <v>0</v>
      </c>
      <c r="Z870" t="str">
        <f>IFERROR(VLOOKUP(Y870,tbFactorMes,2,FALSE),"")</f>
        <v/>
      </c>
      <c r="AA870">
        <f t="shared" si="185"/>
        <v>0</v>
      </c>
      <c r="AD870" t="str">
        <f>IFERROR(VLOOKUP(AC870,tbFactorMes,2,FALSE),"")</f>
        <v/>
      </c>
      <c r="AE870">
        <f t="shared" si="186"/>
        <v>0</v>
      </c>
      <c r="AH870" t="str">
        <f>IFERROR(VLOOKUP(AG870,tbFactorMes,2,FALSE),"")</f>
        <v/>
      </c>
      <c r="AI870">
        <f t="shared" si="187"/>
        <v>0</v>
      </c>
      <c r="AL870" t="str">
        <f>IFERROR(VLOOKUP(AK870,tbFactorMes,2,FALSE),"")</f>
        <v/>
      </c>
      <c r="AM870">
        <f t="shared" si="188"/>
        <v>0</v>
      </c>
      <c r="AP870" t="str">
        <f>IFERROR(VLOOKUP(AO870,tbFactorMes,2,FALSE),"")</f>
        <v/>
      </c>
      <c r="AQ870">
        <f t="shared" si="189"/>
        <v>0</v>
      </c>
      <c r="AT870" t="str">
        <f>IFERROR(VLOOKUP(AS870,tbFactorMes,2,FALSE),"")</f>
        <v/>
      </c>
      <c r="AU870">
        <f t="shared" si="190"/>
        <v>0</v>
      </c>
      <c r="AX870" t="str">
        <f>IFERROR(VLOOKUP(AW870,tbFactorMes,2,FALSE),"")</f>
        <v/>
      </c>
      <c r="AY870">
        <f t="shared" si="191"/>
        <v>0</v>
      </c>
      <c r="BB870" t="str">
        <f>IFERROR(VLOOKUP(BA870,tbFactorMes,2,FALSE),"")</f>
        <v/>
      </c>
      <c r="BC870">
        <f t="shared" si="192"/>
        <v>0</v>
      </c>
      <c r="BF870" t="str">
        <f>IFERROR(VLOOKUP(BE870,tbFactorMes,2,FALSE),"")</f>
        <v/>
      </c>
      <c r="BG870">
        <f t="shared" si="193"/>
        <v>0</v>
      </c>
      <c r="BH870">
        <f t="shared" si="194"/>
        <v>0</v>
      </c>
      <c r="BI870">
        <f t="shared" si="195"/>
        <v>0</v>
      </c>
    </row>
    <row r="871" spans="11:61" x14ac:dyDescent="0.35">
      <c r="K871" t="str">
        <f>IFERROR(VLOOKUP(F871,tbTurnos,3,FALSE),"")</f>
        <v/>
      </c>
      <c r="N871" t="str">
        <f>IFERROR(VLOOKUP(M871,tbFactorMes,2,FALSE),"")</f>
        <v/>
      </c>
      <c r="O871">
        <f t="shared" si="182"/>
        <v>0</v>
      </c>
      <c r="R871" t="str">
        <f>IFERROR(VLOOKUP(Q871,tbFactorMes,2,FALSE),"")</f>
        <v/>
      </c>
      <c r="S871">
        <f t="shared" si="183"/>
        <v>0</v>
      </c>
      <c r="V871" t="str">
        <f>IFERROR(VLOOKUP(U871,tbFactorMes,2,FALSE),"")</f>
        <v/>
      </c>
      <c r="W871">
        <f t="shared" si="184"/>
        <v>0</v>
      </c>
      <c r="Z871" t="str">
        <f>IFERROR(VLOOKUP(Y871,tbFactorMes,2,FALSE),"")</f>
        <v/>
      </c>
      <c r="AA871">
        <f t="shared" si="185"/>
        <v>0</v>
      </c>
      <c r="AD871" t="str">
        <f>IFERROR(VLOOKUP(AC871,tbFactorMes,2,FALSE),"")</f>
        <v/>
      </c>
      <c r="AE871">
        <f t="shared" si="186"/>
        <v>0</v>
      </c>
      <c r="AH871" t="str">
        <f>IFERROR(VLOOKUP(AG871,tbFactorMes,2,FALSE),"")</f>
        <v/>
      </c>
      <c r="AI871">
        <f t="shared" si="187"/>
        <v>0</v>
      </c>
      <c r="AL871" t="str">
        <f>IFERROR(VLOOKUP(AK871,tbFactorMes,2,FALSE),"")</f>
        <v/>
      </c>
      <c r="AM871">
        <f t="shared" si="188"/>
        <v>0</v>
      </c>
      <c r="AP871" t="str">
        <f>IFERROR(VLOOKUP(AO871,tbFactorMes,2,FALSE),"")</f>
        <v/>
      </c>
      <c r="AQ871">
        <f t="shared" si="189"/>
        <v>0</v>
      </c>
      <c r="AT871" t="str">
        <f>IFERROR(VLOOKUP(AS871,tbFactorMes,2,FALSE),"")</f>
        <v/>
      </c>
      <c r="AU871">
        <f t="shared" si="190"/>
        <v>0</v>
      </c>
      <c r="AX871" t="str">
        <f>IFERROR(VLOOKUP(AW871,tbFactorMes,2,FALSE),"")</f>
        <v/>
      </c>
      <c r="AY871">
        <f t="shared" si="191"/>
        <v>0</v>
      </c>
      <c r="BB871" t="str">
        <f>IFERROR(VLOOKUP(BA871,tbFactorMes,2,FALSE),"")</f>
        <v/>
      </c>
      <c r="BC871">
        <f t="shared" si="192"/>
        <v>0</v>
      </c>
      <c r="BF871" t="str">
        <f>IFERROR(VLOOKUP(BE871,tbFactorMes,2,FALSE),"")</f>
        <v/>
      </c>
      <c r="BG871">
        <f t="shared" si="193"/>
        <v>0</v>
      </c>
      <c r="BH871">
        <f t="shared" si="194"/>
        <v>0</v>
      </c>
      <c r="BI871">
        <f t="shared" si="195"/>
        <v>0</v>
      </c>
    </row>
    <row r="872" spans="11:61" x14ac:dyDescent="0.35">
      <c r="K872" t="str">
        <f>IFERROR(VLOOKUP(F872,tbTurnos,3,FALSE),"")</f>
        <v/>
      </c>
      <c r="N872" t="str">
        <f>IFERROR(VLOOKUP(M872,tbFactorMes,2,FALSE),"")</f>
        <v/>
      </c>
      <c r="O872">
        <f t="shared" si="182"/>
        <v>0</v>
      </c>
      <c r="R872" t="str">
        <f>IFERROR(VLOOKUP(Q872,tbFactorMes,2,FALSE),"")</f>
        <v/>
      </c>
      <c r="S872">
        <f t="shared" si="183"/>
        <v>0</v>
      </c>
      <c r="V872" t="str">
        <f>IFERROR(VLOOKUP(U872,tbFactorMes,2,FALSE),"")</f>
        <v/>
      </c>
      <c r="W872">
        <f t="shared" si="184"/>
        <v>0</v>
      </c>
      <c r="Z872" t="str">
        <f>IFERROR(VLOOKUP(Y872,tbFactorMes,2,FALSE),"")</f>
        <v/>
      </c>
      <c r="AA872">
        <f t="shared" si="185"/>
        <v>0</v>
      </c>
      <c r="AD872" t="str">
        <f>IFERROR(VLOOKUP(AC872,tbFactorMes,2,FALSE),"")</f>
        <v/>
      </c>
      <c r="AE872">
        <f t="shared" si="186"/>
        <v>0</v>
      </c>
      <c r="AH872" t="str">
        <f>IFERROR(VLOOKUP(AG872,tbFactorMes,2,FALSE),"")</f>
        <v/>
      </c>
      <c r="AI872">
        <f t="shared" si="187"/>
        <v>0</v>
      </c>
      <c r="AL872" t="str">
        <f>IFERROR(VLOOKUP(AK872,tbFactorMes,2,FALSE),"")</f>
        <v/>
      </c>
      <c r="AM872">
        <f t="shared" si="188"/>
        <v>0</v>
      </c>
      <c r="AP872" t="str">
        <f>IFERROR(VLOOKUP(AO872,tbFactorMes,2,FALSE),"")</f>
        <v/>
      </c>
      <c r="AQ872">
        <f t="shared" si="189"/>
        <v>0</v>
      </c>
      <c r="AT872" t="str">
        <f>IFERROR(VLOOKUP(AS872,tbFactorMes,2,FALSE),"")</f>
        <v/>
      </c>
      <c r="AU872">
        <f t="shared" si="190"/>
        <v>0</v>
      </c>
      <c r="AX872" t="str">
        <f>IFERROR(VLOOKUP(AW872,tbFactorMes,2,FALSE),"")</f>
        <v/>
      </c>
      <c r="AY872">
        <f t="shared" si="191"/>
        <v>0</v>
      </c>
      <c r="BB872" t="str">
        <f>IFERROR(VLOOKUP(BA872,tbFactorMes,2,FALSE),"")</f>
        <v/>
      </c>
      <c r="BC872">
        <f t="shared" si="192"/>
        <v>0</v>
      </c>
      <c r="BF872" t="str">
        <f>IFERROR(VLOOKUP(BE872,tbFactorMes,2,FALSE),"")</f>
        <v/>
      </c>
      <c r="BG872">
        <f t="shared" si="193"/>
        <v>0</v>
      </c>
      <c r="BH872">
        <f t="shared" si="194"/>
        <v>0</v>
      </c>
      <c r="BI872">
        <f t="shared" si="195"/>
        <v>0</v>
      </c>
    </row>
    <row r="873" spans="11:61" x14ac:dyDescent="0.35">
      <c r="K873" t="str">
        <f>IFERROR(VLOOKUP(F873,tbTurnos,3,FALSE),"")</f>
        <v/>
      </c>
      <c r="N873" t="str">
        <f>IFERROR(VLOOKUP(M873,tbFactorMes,2,FALSE),"")</f>
        <v/>
      </c>
      <c r="O873">
        <f t="shared" si="182"/>
        <v>0</v>
      </c>
      <c r="R873" t="str">
        <f>IFERROR(VLOOKUP(Q873,tbFactorMes,2,FALSE),"")</f>
        <v/>
      </c>
      <c r="S873">
        <f t="shared" si="183"/>
        <v>0</v>
      </c>
      <c r="V873" t="str">
        <f>IFERROR(VLOOKUP(U873,tbFactorMes,2,FALSE),"")</f>
        <v/>
      </c>
      <c r="W873">
        <f t="shared" si="184"/>
        <v>0</v>
      </c>
      <c r="Z873" t="str">
        <f>IFERROR(VLOOKUP(Y873,tbFactorMes,2,FALSE),"")</f>
        <v/>
      </c>
      <c r="AA873">
        <f t="shared" si="185"/>
        <v>0</v>
      </c>
      <c r="AD873" t="str">
        <f>IFERROR(VLOOKUP(AC873,tbFactorMes,2,FALSE),"")</f>
        <v/>
      </c>
      <c r="AE873">
        <f t="shared" si="186"/>
        <v>0</v>
      </c>
      <c r="AH873" t="str">
        <f>IFERROR(VLOOKUP(AG873,tbFactorMes,2,FALSE),"")</f>
        <v/>
      </c>
      <c r="AI873">
        <f t="shared" si="187"/>
        <v>0</v>
      </c>
      <c r="AL873" t="str">
        <f>IFERROR(VLOOKUP(AK873,tbFactorMes,2,FALSE),"")</f>
        <v/>
      </c>
      <c r="AM873">
        <f t="shared" si="188"/>
        <v>0</v>
      </c>
      <c r="AP873" t="str">
        <f>IFERROR(VLOOKUP(AO873,tbFactorMes,2,FALSE),"")</f>
        <v/>
      </c>
      <c r="AQ873">
        <f t="shared" si="189"/>
        <v>0</v>
      </c>
      <c r="AT873" t="str">
        <f>IFERROR(VLOOKUP(AS873,tbFactorMes,2,FALSE),"")</f>
        <v/>
      </c>
      <c r="AU873">
        <f t="shared" si="190"/>
        <v>0</v>
      </c>
      <c r="AX873" t="str">
        <f>IFERROR(VLOOKUP(AW873,tbFactorMes,2,FALSE),"")</f>
        <v/>
      </c>
      <c r="AY873">
        <f t="shared" si="191"/>
        <v>0</v>
      </c>
      <c r="BB873" t="str">
        <f>IFERROR(VLOOKUP(BA873,tbFactorMes,2,FALSE),"")</f>
        <v/>
      </c>
      <c r="BC873">
        <f t="shared" si="192"/>
        <v>0</v>
      </c>
      <c r="BF873" t="str">
        <f>IFERROR(VLOOKUP(BE873,tbFactorMes,2,FALSE),"")</f>
        <v/>
      </c>
      <c r="BG873">
        <f t="shared" si="193"/>
        <v>0</v>
      </c>
      <c r="BH873">
        <f t="shared" si="194"/>
        <v>0</v>
      </c>
      <c r="BI873">
        <f t="shared" si="195"/>
        <v>0</v>
      </c>
    </row>
    <row r="874" spans="11:61" x14ac:dyDescent="0.35">
      <c r="K874" t="str">
        <f>IFERROR(VLOOKUP(F874,tbTurnos,3,FALSE),"")</f>
        <v/>
      </c>
      <c r="N874" t="str">
        <f>IFERROR(VLOOKUP(M874,tbFactorMes,2,FALSE),"")</f>
        <v/>
      </c>
      <c r="O874">
        <f t="shared" si="182"/>
        <v>0</v>
      </c>
      <c r="R874" t="str">
        <f>IFERROR(VLOOKUP(Q874,tbFactorMes,2,FALSE),"")</f>
        <v/>
      </c>
      <c r="S874">
        <f t="shared" si="183"/>
        <v>0</v>
      </c>
      <c r="V874" t="str">
        <f>IFERROR(VLOOKUP(U874,tbFactorMes,2,FALSE),"")</f>
        <v/>
      </c>
      <c r="W874">
        <f t="shared" si="184"/>
        <v>0</v>
      </c>
      <c r="Z874" t="str">
        <f>IFERROR(VLOOKUP(Y874,tbFactorMes,2,FALSE),"")</f>
        <v/>
      </c>
      <c r="AA874">
        <f t="shared" si="185"/>
        <v>0</v>
      </c>
      <c r="AD874" t="str">
        <f>IFERROR(VLOOKUP(AC874,tbFactorMes,2,FALSE),"")</f>
        <v/>
      </c>
      <c r="AE874">
        <f t="shared" si="186"/>
        <v>0</v>
      </c>
      <c r="AH874" t="str">
        <f>IFERROR(VLOOKUP(AG874,tbFactorMes,2,FALSE),"")</f>
        <v/>
      </c>
      <c r="AI874">
        <f t="shared" si="187"/>
        <v>0</v>
      </c>
      <c r="AL874" t="str">
        <f>IFERROR(VLOOKUP(AK874,tbFactorMes,2,FALSE),"")</f>
        <v/>
      </c>
      <c r="AM874">
        <f t="shared" si="188"/>
        <v>0</v>
      </c>
      <c r="AP874" t="str">
        <f>IFERROR(VLOOKUP(AO874,tbFactorMes,2,FALSE),"")</f>
        <v/>
      </c>
      <c r="AQ874">
        <f t="shared" si="189"/>
        <v>0</v>
      </c>
      <c r="AT874" t="str">
        <f>IFERROR(VLOOKUP(AS874,tbFactorMes,2,FALSE),"")</f>
        <v/>
      </c>
      <c r="AU874">
        <f t="shared" si="190"/>
        <v>0</v>
      </c>
      <c r="AX874" t="str">
        <f>IFERROR(VLOOKUP(AW874,tbFactorMes,2,FALSE),"")</f>
        <v/>
      </c>
      <c r="AY874">
        <f t="shared" si="191"/>
        <v>0</v>
      </c>
      <c r="BB874" t="str">
        <f>IFERROR(VLOOKUP(BA874,tbFactorMes,2,FALSE),"")</f>
        <v/>
      </c>
      <c r="BC874">
        <f t="shared" si="192"/>
        <v>0</v>
      </c>
      <c r="BF874" t="str">
        <f>IFERROR(VLOOKUP(BE874,tbFactorMes,2,FALSE),"")</f>
        <v/>
      </c>
      <c r="BG874">
        <f t="shared" si="193"/>
        <v>0</v>
      </c>
      <c r="BH874">
        <f t="shared" si="194"/>
        <v>0</v>
      </c>
      <c r="BI874">
        <f t="shared" si="195"/>
        <v>0</v>
      </c>
    </row>
    <row r="875" spans="11:61" x14ac:dyDescent="0.35">
      <c r="K875" t="str">
        <f>IFERROR(VLOOKUP(F875,tbTurnos,3,FALSE),"")</f>
        <v/>
      </c>
      <c r="N875" t="str">
        <f>IFERROR(VLOOKUP(M875,tbFactorMes,2,FALSE),"")</f>
        <v/>
      </c>
      <c r="O875">
        <f t="shared" si="182"/>
        <v>0</v>
      </c>
      <c r="R875" t="str">
        <f>IFERROR(VLOOKUP(Q875,tbFactorMes,2,FALSE),"")</f>
        <v/>
      </c>
      <c r="S875">
        <f t="shared" si="183"/>
        <v>0</v>
      </c>
      <c r="V875" t="str">
        <f>IFERROR(VLOOKUP(U875,tbFactorMes,2,FALSE),"")</f>
        <v/>
      </c>
      <c r="W875">
        <f t="shared" si="184"/>
        <v>0</v>
      </c>
      <c r="Z875" t="str">
        <f>IFERROR(VLOOKUP(Y875,tbFactorMes,2,FALSE),"")</f>
        <v/>
      </c>
      <c r="AA875">
        <f t="shared" si="185"/>
        <v>0</v>
      </c>
      <c r="AD875" t="str">
        <f>IFERROR(VLOOKUP(AC875,tbFactorMes,2,FALSE),"")</f>
        <v/>
      </c>
      <c r="AE875">
        <f t="shared" si="186"/>
        <v>0</v>
      </c>
      <c r="AH875" t="str">
        <f>IFERROR(VLOOKUP(AG875,tbFactorMes,2,FALSE),"")</f>
        <v/>
      </c>
      <c r="AI875">
        <f t="shared" si="187"/>
        <v>0</v>
      </c>
      <c r="AL875" t="str">
        <f>IFERROR(VLOOKUP(AK875,tbFactorMes,2,FALSE),"")</f>
        <v/>
      </c>
      <c r="AM875">
        <f t="shared" si="188"/>
        <v>0</v>
      </c>
      <c r="AP875" t="str">
        <f>IFERROR(VLOOKUP(AO875,tbFactorMes,2,FALSE),"")</f>
        <v/>
      </c>
      <c r="AQ875">
        <f t="shared" si="189"/>
        <v>0</v>
      </c>
      <c r="AT875" t="str">
        <f>IFERROR(VLOOKUP(AS875,tbFactorMes,2,FALSE),"")</f>
        <v/>
      </c>
      <c r="AU875">
        <f t="shared" si="190"/>
        <v>0</v>
      </c>
      <c r="AX875" t="str">
        <f>IFERROR(VLOOKUP(AW875,tbFactorMes,2,FALSE),"")</f>
        <v/>
      </c>
      <c r="AY875">
        <f t="shared" si="191"/>
        <v>0</v>
      </c>
      <c r="BB875" t="str">
        <f>IFERROR(VLOOKUP(BA875,tbFactorMes,2,FALSE),"")</f>
        <v/>
      </c>
      <c r="BC875">
        <f t="shared" si="192"/>
        <v>0</v>
      </c>
      <c r="BF875" t="str">
        <f>IFERROR(VLOOKUP(BE875,tbFactorMes,2,FALSE),"")</f>
        <v/>
      </c>
      <c r="BG875">
        <f t="shared" si="193"/>
        <v>0</v>
      </c>
      <c r="BH875">
        <f t="shared" si="194"/>
        <v>0</v>
      </c>
      <c r="BI875">
        <f t="shared" si="195"/>
        <v>0</v>
      </c>
    </row>
    <row r="876" spans="11:61" x14ac:dyDescent="0.35">
      <c r="K876" t="str">
        <f>IFERROR(VLOOKUP(F876,tbTurnos,3,FALSE),"")</f>
        <v/>
      </c>
      <c r="N876" t="str">
        <f>IFERROR(VLOOKUP(M876,tbFactorMes,2,FALSE),"")</f>
        <v/>
      </c>
      <c r="O876">
        <f t="shared" si="182"/>
        <v>0</v>
      </c>
      <c r="R876" t="str">
        <f>IFERROR(VLOOKUP(Q876,tbFactorMes,2,FALSE),"")</f>
        <v/>
      </c>
      <c r="S876">
        <f t="shared" si="183"/>
        <v>0</v>
      </c>
      <c r="V876" t="str">
        <f>IFERROR(VLOOKUP(U876,tbFactorMes,2,FALSE),"")</f>
        <v/>
      </c>
      <c r="W876">
        <f t="shared" si="184"/>
        <v>0</v>
      </c>
      <c r="Z876" t="str">
        <f>IFERROR(VLOOKUP(Y876,tbFactorMes,2,FALSE),"")</f>
        <v/>
      </c>
      <c r="AA876">
        <f t="shared" si="185"/>
        <v>0</v>
      </c>
      <c r="AD876" t="str">
        <f>IFERROR(VLOOKUP(AC876,tbFactorMes,2,FALSE),"")</f>
        <v/>
      </c>
      <c r="AE876">
        <f t="shared" si="186"/>
        <v>0</v>
      </c>
      <c r="AH876" t="str">
        <f>IFERROR(VLOOKUP(AG876,tbFactorMes,2,FALSE),"")</f>
        <v/>
      </c>
      <c r="AI876">
        <f t="shared" si="187"/>
        <v>0</v>
      </c>
      <c r="AL876" t="str">
        <f>IFERROR(VLOOKUP(AK876,tbFactorMes,2,FALSE),"")</f>
        <v/>
      </c>
      <c r="AM876">
        <f t="shared" si="188"/>
        <v>0</v>
      </c>
      <c r="AP876" t="str">
        <f>IFERROR(VLOOKUP(AO876,tbFactorMes,2,FALSE),"")</f>
        <v/>
      </c>
      <c r="AQ876">
        <f t="shared" si="189"/>
        <v>0</v>
      </c>
      <c r="AT876" t="str">
        <f>IFERROR(VLOOKUP(AS876,tbFactorMes,2,FALSE),"")</f>
        <v/>
      </c>
      <c r="AU876">
        <f t="shared" si="190"/>
        <v>0</v>
      </c>
      <c r="AX876" t="str">
        <f>IFERROR(VLOOKUP(AW876,tbFactorMes,2,FALSE),"")</f>
        <v/>
      </c>
      <c r="AY876">
        <f t="shared" si="191"/>
        <v>0</v>
      </c>
      <c r="BB876" t="str">
        <f>IFERROR(VLOOKUP(BA876,tbFactorMes,2,FALSE),"")</f>
        <v/>
      </c>
      <c r="BC876">
        <f t="shared" si="192"/>
        <v>0</v>
      </c>
      <c r="BF876" t="str">
        <f>IFERROR(VLOOKUP(BE876,tbFactorMes,2,FALSE),"")</f>
        <v/>
      </c>
      <c r="BG876">
        <f t="shared" si="193"/>
        <v>0</v>
      </c>
      <c r="BH876">
        <f t="shared" si="194"/>
        <v>0</v>
      </c>
      <c r="BI876">
        <f t="shared" si="195"/>
        <v>0</v>
      </c>
    </row>
    <row r="877" spans="11:61" x14ac:dyDescent="0.35">
      <c r="K877" t="str">
        <f>IFERROR(VLOOKUP(F877,tbTurnos,3,FALSE),"")</f>
        <v/>
      </c>
      <c r="N877" t="str">
        <f>IFERROR(VLOOKUP(M877,tbFactorMes,2,FALSE),"")</f>
        <v/>
      </c>
      <c r="O877">
        <f t="shared" si="182"/>
        <v>0</v>
      </c>
      <c r="R877" t="str">
        <f>IFERROR(VLOOKUP(Q877,tbFactorMes,2,FALSE),"")</f>
        <v/>
      </c>
      <c r="S877">
        <f t="shared" si="183"/>
        <v>0</v>
      </c>
      <c r="V877" t="str">
        <f>IFERROR(VLOOKUP(U877,tbFactorMes,2,FALSE),"")</f>
        <v/>
      </c>
      <c r="W877">
        <f t="shared" si="184"/>
        <v>0</v>
      </c>
      <c r="Z877" t="str">
        <f>IFERROR(VLOOKUP(Y877,tbFactorMes,2,FALSE),"")</f>
        <v/>
      </c>
      <c r="AA877">
        <f t="shared" si="185"/>
        <v>0</v>
      </c>
      <c r="AD877" t="str">
        <f>IFERROR(VLOOKUP(AC877,tbFactorMes,2,FALSE),"")</f>
        <v/>
      </c>
      <c r="AE877">
        <f t="shared" si="186"/>
        <v>0</v>
      </c>
      <c r="AH877" t="str">
        <f>IFERROR(VLOOKUP(AG877,tbFactorMes,2,FALSE),"")</f>
        <v/>
      </c>
      <c r="AI877">
        <f t="shared" si="187"/>
        <v>0</v>
      </c>
      <c r="AL877" t="str">
        <f>IFERROR(VLOOKUP(AK877,tbFactorMes,2,FALSE),"")</f>
        <v/>
      </c>
      <c r="AM877">
        <f t="shared" si="188"/>
        <v>0</v>
      </c>
      <c r="AP877" t="str">
        <f>IFERROR(VLOOKUP(AO877,tbFactorMes,2,FALSE),"")</f>
        <v/>
      </c>
      <c r="AQ877">
        <f t="shared" si="189"/>
        <v>0</v>
      </c>
      <c r="AT877" t="str">
        <f>IFERROR(VLOOKUP(AS877,tbFactorMes,2,FALSE),"")</f>
        <v/>
      </c>
      <c r="AU877">
        <f t="shared" si="190"/>
        <v>0</v>
      </c>
      <c r="AX877" t="str">
        <f>IFERROR(VLOOKUP(AW877,tbFactorMes,2,FALSE),"")</f>
        <v/>
      </c>
      <c r="AY877">
        <f t="shared" si="191"/>
        <v>0</v>
      </c>
      <c r="BB877" t="str">
        <f>IFERROR(VLOOKUP(BA877,tbFactorMes,2,FALSE),"")</f>
        <v/>
      </c>
      <c r="BC877">
        <f t="shared" si="192"/>
        <v>0</v>
      </c>
      <c r="BF877" t="str">
        <f>IFERROR(VLOOKUP(BE877,tbFactorMes,2,FALSE),"")</f>
        <v/>
      </c>
      <c r="BG877">
        <f t="shared" si="193"/>
        <v>0</v>
      </c>
      <c r="BH877">
        <f t="shared" si="194"/>
        <v>0</v>
      </c>
      <c r="BI877">
        <f t="shared" si="195"/>
        <v>0</v>
      </c>
    </row>
    <row r="878" spans="11:61" x14ac:dyDescent="0.35">
      <c r="K878" t="str">
        <f>IFERROR(VLOOKUP(F878,tbTurnos,3,FALSE),"")</f>
        <v/>
      </c>
      <c r="N878" t="str">
        <f>IFERROR(VLOOKUP(M878,tbFactorMes,2,FALSE),"")</f>
        <v/>
      </c>
      <c r="O878">
        <f t="shared" si="182"/>
        <v>0</v>
      </c>
      <c r="R878" t="str">
        <f>IFERROR(VLOOKUP(Q878,tbFactorMes,2,FALSE),"")</f>
        <v/>
      </c>
      <c r="S878">
        <f t="shared" si="183"/>
        <v>0</v>
      </c>
      <c r="V878" t="str">
        <f>IFERROR(VLOOKUP(U878,tbFactorMes,2,FALSE),"")</f>
        <v/>
      </c>
      <c r="W878">
        <f t="shared" si="184"/>
        <v>0</v>
      </c>
      <c r="Z878" t="str">
        <f>IFERROR(VLOOKUP(Y878,tbFactorMes,2,FALSE),"")</f>
        <v/>
      </c>
      <c r="AA878">
        <f t="shared" si="185"/>
        <v>0</v>
      </c>
      <c r="AD878" t="str">
        <f>IFERROR(VLOOKUP(AC878,tbFactorMes,2,FALSE),"")</f>
        <v/>
      </c>
      <c r="AE878">
        <f t="shared" si="186"/>
        <v>0</v>
      </c>
      <c r="AH878" t="str">
        <f>IFERROR(VLOOKUP(AG878,tbFactorMes,2,FALSE),"")</f>
        <v/>
      </c>
      <c r="AI878">
        <f t="shared" si="187"/>
        <v>0</v>
      </c>
      <c r="AL878" t="str">
        <f>IFERROR(VLOOKUP(AK878,tbFactorMes,2,FALSE),"")</f>
        <v/>
      </c>
      <c r="AM878">
        <f t="shared" si="188"/>
        <v>0</v>
      </c>
      <c r="AP878" t="str">
        <f>IFERROR(VLOOKUP(AO878,tbFactorMes,2,FALSE),"")</f>
        <v/>
      </c>
      <c r="AQ878">
        <f t="shared" si="189"/>
        <v>0</v>
      </c>
      <c r="AT878" t="str">
        <f>IFERROR(VLOOKUP(AS878,tbFactorMes,2,FALSE),"")</f>
        <v/>
      </c>
      <c r="AU878">
        <f t="shared" si="190"/>
        <v>0</v>
      </c>
      <c r="AX878" t="str">
        <f>IFERROR(VLOOKUP(AW878,tbFactorMes,2,FALSE),"")</f>
        <v/>
      </c>
      <c r="AY878">
        <f t="shared" si="191"/>
        <v>0</v>
      </c>
      <c r="BB878" t="str">
        <f>IFERROR(VLOOKUP(BA878,tbFactorMes,2,FALSE),"")</f>
        <v/>
      </c>
      <c r="BC878">
        <f t="shared" si="192"/>
        <v>0</v>
      </c>
      <c r="BF878" t="str">
        <f>IFERROR(VLOOKUP(BE878,tbFactorMes,2,FALSE),"")</f>
        <v/>
      </c>
      <c r="BG878">
        <f t="shared" si="193"/>
        <v>0</v>
      </c>
      <c r="BH878">
        <f t="shared" si="194"/>
        <v>0</v>
      </c>
      <c r="BI878">
        <f t="shared" si="195"/>
        <v>0</v>
      </c>
    </row>
    <row r="879" spans="11:61" x14ac:dyDescent="0.35">
      <c r="K879" t="str">
        <f>IFERROR(VLOOKUP(F879,tbTurnos,3,FALSE),"")</f>
        <v/>
      </c>
      <c r="N879" t="str">
        <f>IFERROR(VLOOKUP(M879,tbFactorMes,2,FALSE),"")</f>
        <v/>
      </c>
      <c r="O879">
        <f t="shared" si="182"/>
        <v>0</v>
      </c>
      <c r="R879" t="str">
        <f>IFERROR(VLOOKUP(Q879,tbFactorMes,2,FALSE),"")</f>
        <v/>
      </c>
      <c r="S879">
        <f t="shared" si="183"/>
        <v>0</v>
      </c>
      <c r="V879" t="str">
        <f>IFERROR(VLOOKUP(U879,tbFactorMes,2,FALSE),"")</f>
        <v/>
      </c>
      <c r="W879">
        <f t="shared" si="184"/>
        <v>0</v>
      </c>
      <c r="Z879" t="str">
        <f>IFERROR(VLOOKUP(Y879,tbFactorMes,2,FALSE),"")</f>
        <v/>
      </c>
      <c r="AA879">
        <f t="shared" si="185"/>
        <v>0</v>
      </c>
      <c r="AD879" t="str">
        <f>IFERROR(VLOOKUP(AC879,tbFactorMes,2,FALSE),"")</f>
        <v/>
      </c>
      <c r="AE879">
        <f t="shared" si="186"/>
        <v>0</v>
      </c>
      <c r="AH879" t="str">
        <f>IFERROR(VLOOKUP(AG879,tbFactorMes,2,FALSE),"")</f>
        <v/>
      </c>
      <c r="AI879">
        <f t="shared" si="187"/>
        <v>0</v>
      </c>
      <c r="AL879" t="str">
        <f>IFERROR(VLOOKUP(AK879,tbFactorMes,2,FALSE),"")</f>
        <v/>
      </c>
      <c r="AM879">
        <f t="shared" si="188"/>
        <v>0</v>
      </c>
      <c r="AP879" t="str">
        <f>IFERROR(VLOOKUP(AO879,tbFactorMes,2,FALSE),"")</f>
        <v/>
      </c>
      <c r="AQ879">
        <f t="shared" si="189"/>
        <v>0</v>
      </c>
      <c r="AT879" t="str">
        <f>IFERROR(VLOOKUP(AS879,tbFactorMes,2,FALSE),"")</f>
        <v/>
      </c>
      <c r="AU879">
        <f t="shared" si="190"/>
        <v>0</v>
      </c>
      <c r="AX879" t="str">
        <f>IFERROR(VLOOKUP(AW879,tbFactorMes,2,FALSE),"")</f>
        <v/>
      </c>
      <c r="AY879">
        <f t="shared" si="191"/>
        <v>0</v>
      </c>
      <c r="BB879" t="str">
        <f>IFERROR(VLOOKUP(BA879,tbFactorMes,2,FALSE),"")</f>
        <v/>
      </c>
      <c r="BC879">
        <f t="shared" si="192"/>
        <v>0</v>
      </c>
      <c r="BF879" t="str">
        <f>IFERROR(VLOOKUP(BE879,tbFactorMes,2,FALSE),"")</f>
        <v/>
      </c>
      <c r="BG879">
        <f t="shared" si="193"/>
        <v>0</v>
      </c>
      <c r="BH879">
        <f t="shared" si="194"/>
        <v>0</v>
      </c>
      <c r="BI879">
        <f t="shared" si="195"/>
        <v>0</v>
      </c>
    </row>
    <row r="880" spans="11:61" x14ac:dyDescent="0.35">
      <c r="K880" t="str">
        <f>IFERROR(VLOOKUP(F880,tbTurnos,3,FALSE),"")</f>
        <v/>
      </c>
      <c r="N880" t="str">
        <f>IFERROR(VLOOKUP(M880,tbFactorMes,2,FALSE),"")</f>
        <v/>
      </c>
      <c r="O880">
        <f t="shared" si="182"/>
        <v>0</v>
      </c>
      <c r="R880" t="str">
        <f>IFERROR(VLOOKUP(Q880,tbFactorMes,2,FALSE),"")</f>
        <v/>
      </c>
      <c r="S880">
        <f t="shared" si="183"/>
        <v>0</v>
      </c>
      <c r="V880" t="str">
        <f>IFERROR(VLOOKUP(U880,tbFactorMes,2,FALSE),"")</f>
        <v/>
      </c>
      <c r="W880">
        <f t="shared" si="184"/>
        <v>0</v>
      </c>
      <c r="Z880" t="str">
        <f>IFERROR(VLOOKUP(Y880,tbFactorMes,2,FALSE),"")</f>
        <v/>
      </c>
      <c r="AA880">
        <f t="shared" si="185"/>
        <v>0</v>
      </c>
      <c r="AD880" t="str">
        <f>IFERROR(VLOOKUP(AC880,tbFactorMes,2,FALSE),"")</f>
        <v/>
      </c>
      <c r="AE880">
        <f t="shared" si="186"/>
        <v>0</v>
      </c>
      <c r="AH880" t="str">
        <f>IFERROR(VLOOKUP(AG880,tbFactorMes,2,FALSE),"")</f>
        <v/>
      </c>
      <c r="AI880">
        <f t="shared" si="187"/>
        <v>0</v>
      </c>
      <c r="AL880" t="str">
        <f>IFERROR(VLOOKUP(AK880,tbFactorMes,2,FALSE),"")</f>
        <v/>
      </c>
      <c r="AM880">
        <f t="shared" si="188"/>
        <v>0</v>
      </c>
      <c r="AP880" t="str">
        <f>IFERROR(VLOOKUP(AO880,tbFactorMes,2,FALSE),"")</f>
        <v/>
      </c>
      <c r="AQ880">
        <f t="shared" si="189"/>
        <v>0</v>
      </c>
      <c r="AT880" t="str">
        <f>IFERROR(VLOOKUP(AS880,tbFactorMes,2,FALSE),"")</f>
        <v/>
      </c>
      <c r="AU880">
        <f t="shared" si="190"/>
        <v>0</v>
      </c>
      <c r="AX880" t="str">
        <f>IFERROR(VLOOKUP(AW880,tbFactorMes,2,FALSE),"")</f>
        <v/>
      </c>
      <c r="AY880">
        <f t="shared" si="191"/>
        <v>0</v>
      </c>
      <c r="BB880" t="str">
        <f>IFERROR(VLOOKUP(BA880,tbFactorMes,2,FALSE),"")</f>
        <v/>
      </c>
      <c r="BC880">
        <f t="shared" si="192"/>
        <v>0</v>
      </c>
      <c r="BF880" t="str">
        <f>IFERROR(VLOOKUP(BE880,tbFactorMes,2,FALSE),"")</f>
        <v/>
      </c>
      <c r="BG880">
        <f t="shared" si="193"/>
        <v>0</v>
      </c>
      <c r="BH880">
        <f t="shared" si="194"/>
        <v>0</v>
      </c>
      <c r="BI880">
        <f t="shared" si="195"/>
        <v>0</v>
      </c>
    </row>
    <row r="881" spans="11:61" x14ac:dyDescent="0.35">
      <c r="K881" t="str">
        <f>IFERROR(VLOOKUP(F881,tbTurnos,3,FALSE),"")</f>
        <v/>
      </c>
      <c r="N881" t="str">
        <f>IFERROR(VLOOKUP(M881,tbFactorMes,2,FALSE),"")</f>
        <v/>
      </c>
      <c r="O881">
        <f t="shared" si="182"/>
        <v>0</v>
      </c>
      <c r="R881" t="str">
        <f>IFERROR(VLOOKUP(Q881,tbFactorMes,2,FALSE),"")</f>
        <v/>
      </c>
      <c r="S881">
        <f t="shared" si="183"/>
        <v>0</v>
      </c>
      <c r="V881" t="str">
        <f>IFERROR(VLOOKUP(U881,tbFactorMes,2,FALSE),"")</f>
        <v/>
      </c>
      <c r="W881">
        <f t="shared" si="184"/>
        <v>0</v>
      </c>
      <c r="Z881" t="str">
        <f>IFERROR(VLOOKUP(Y881,tbFactorMes,2,FALSE),"")</f>
        <v/>
      </c>
      <c r="AA881">
        <f t="shared" si="185"/>
        <v>0</v>
      </c>
      <c r="AD881" t="str">
        <f>IFERROR(VLOOKUP(AC881,tbFactorMes,2,FALSE),"")</f>
        <v/>
      </c>
      <c r="AE881">
        <f t="shared" si="186"/>
        <v>0</v>
      </c>
      <c r="AH881" t="str">
        <f>IFERROR(VLOOKUP(AG881,tbFactorMes,2,FALSE),"")</f>
        <v/>
      </c>
      <c r="AI881">
        <f t="shared" si="187"/>
        <v>0</v>
      </c>
      <c r="AL881" t="str">
        <f>IFERROR(VLOOKUP(AK881,tbFactorMes,2,FALSE),"")</f>
        <v/>
      </c>
      <c r="AM881">
        <f t="shared" si="188"/>
        <v>0</v>
      </c>
      <c r="AP881" t="str">
        <f>IFERROR(VLOOKUP(AO881,tbFactorMes,2,FALSE),"")</f>
        <v/>
      </c>
      <c r="AQ881">
        <f t="shared" si="189"/>
        <v>0</v>
      </c>
      <c r="AT881" t="str">
        <f>IFERROR(VLOOKUP(AS881,tbFactorMes,2,FALSE),"")</f>
        <v/>
      </c>
      <c r="AU881">
        <f t="shared" si="190"/>
        <v>0</v>
      </c>
      <c r="AX881" t="str">
        <f>IFERROR(VLOOKUP(AW881,tbFactorMes,2,FALSE),"")</f>
        <v/>
      </c>
      <c r="AY881">
        <f t="shared" si="191"/>
        <v>0</v>
      </c>
      <c r="BB881" t="str">
        <f>IFERROR(VLOOKUP(BA881,tbFactorMes,2,FALSE),"")</f>
        <v/>
      </c>
      <c r="BC881">
        <f t="shared" si="192"/>
        <v>0</v>
      </c>
      <c r="BF881" t="str">
        <f>IFERROR(VLOOKUP(BE881,tbFactorMes,2,FALSE),"")</f>
        <v/>
      </c>
      <c r="BG881">
        <f t="shared" si="193"/>
        <v>0</v>
      </c>
      <c r="BH881">
        <f t="shared" si="194"/>
        <v>0</v>
      </c>
      <c r="BI881">
        <f t="shared" si="195"/>
        <v>0</v>
      </c>
    </row>
    <row r="882" spans="11:61" x14ac:dyDescent="0.35">
      <c r="K882" t="str">
        <f>IFERROR(VLOOKUP(F882,tbTurnos,3,FALSE),"")</f>
        <v/>
      </c>
      <c r="N882" t="str">
        <f>IFERROR(VLOOKUP(M882,tbFactorMes,2,FALSE),"")</f>
        <v/>
      </c>
      <c r="O882">
        <f t="shared" si="182"/>
        <v>0</v>
      </c>
      <c r="R882" t="str">
        <f>IFERROR(VLOOKUP(Q882,tbFactorMes,2,FALSE),"")</f>
        <v/>
      </c>
      <c r="S882">
        <f t="shared" si="183"/>
        <v>0</v>
      </c>
      <c r="V882" t="str">
        <f>IFERROR(VLOOKUP(U882,tbFactorMes,2,FALSE),"")</f>
        <v/>
      </c>
      <c r="W882">
        <f t="shared" si="184"/>
        <v>0</v>
      </c>
      <c r="Z882" t="str">
        <f>IFERROR(VLOOKUP(Y882,tbFactorMes,2,FALSE),"")</f>
        <v/>
      </c>
      <c r="AA882">
        <f t="shared" si="185"/>
        <v>0</v>
      </c>
      <c r="AD882" t="str">
        <f>IFERROR(VLOOKUP(AC882,tbFactorMes,2,FALSE),"")</f>
        <v/>
      </c>
      <c r="AE882">
        <f t="shared" si="186"/>
        <v>0</v>
      </c>
      <c r="AH882" t="str">
        <f>IFERROR(VLOOKUP(AG882,tbFactorMes,2,FALSE),"")</f>
        <v/>
      </c>
      <c r="AI882">
        <f t="shared" si="187"/>
        <v>0</v>
      </c>
      <c r="AL882" t="str">
        <f>IFERROR(VLOOKUP(AK882,tbFactorMes,2,FALSE),"")</f>
        <v/>
      </c>
      <c r="AM882">
        <f t="shared" si="188"/>
        <v>0</v>
      </c>
      <c r="AP882" t="str">
        <f>IFERROR(VLOOKUP(AO882,tbFactorMes,2,FALSE),"")</f>
        <v/>
      </c>
      <c r="AQ882">
        <f t="shared" si="189"/>
        <v>0</v>
      </c>
      <c r="AT882" t="str">
        <f>IFERROR(VLOOKUP(AS882,tbFactorMes,2,FALSE),"")</f>
        <v/>
      </c>
      <c r="AU882">
        <f t="shared" si="190"/>
        <v>0</v>
      </c>
      <c r="AX882" t="str">
        <f>IFERROR(VLOOKUP(AW882,tbFactorMes,2,FALSE),"")</f>
        <v/>
      </c>
      <c r="AY882">
        <f t="shared" si="191"/>
        <v>0</v>
      </c>
      <c r="BB882" t="str">
        <f>IFERROR(VLOOKUP(BA882,tbFactorMes,2,FALSE),"")</f>
        <v/>
      </c>
      <c r="BC882">
        <f t="shared" si="192"/>
        <v>0</v>
      </c>
      <c r="BF882" t="str">
        <f>IFERROR(VLOOKUP(BE882,tbFactorMes,2,FALSE),"")</f>
        <v/>
      </c>
      <c r="BG882">
        <f t="shared" si="193"/>
        <v>0</v>
      </c>
      <c r="BH882">
        <f t="shared" si="194"/>
        <v>0</v>
      </c>
      <c r="BI882">
        <f t="shared" si="195"/>
        <v>0</v>
      </c>
    </row>
    <row r="883" spans="11:61" x14ac:dyDescent="0.35">
      <c r="K883" t="str">
        <f>IFERROR(VLOOKUP(F883,tbTurnos,3,FALSE),"")</f>
        <v/>
      </c>
      <c r="N883" t="str">
        <f>IFERROR(VLOOKUP(M883,tbFactorMes,2,FALSE),"")</f>
        <v/>
      </c>
      <c r="O883">
        <f t="shared" si="182"/>
        <v>0</v>
      </c>
      <c r="R883" t="str">
        <f>IFERROR(VLOOKUP(Q883,tbFactorMes,2,FALSE),"")</f>
        <v/>
      </c>
      <c r="S883">
        <f t="shared" si="183"/>
        <v>0</v>
      </c>
      <c r="V883" t="str">
        <f>IFERROR(VLOOKUP(U883,tbFactorMes,2,FALSE),"")</f>
        <v/>
      </c>
      <c r="W883">
        <f t="shared" si="184"/>
        <v>0</v>
      </c>
      <c r="Z883" t="str">
        <f>IFERROR(VLOOKUP(Y883,tbFactorMes,2,FALSE),"")</f>
        <v/>
      </c>
      <c r="AA883">
        <f t="shared" si="185"/>
        <v>0</v>
      </c>
      <c r="AD883" t="str">
        <f>IFERROR(VLOOKUP(AC883,tbFactorMes,2,FALSE),"")</f>
        <v/>
      </c>
      <c r="AE883">
        <f t="shared" si="186"/>
        <v>0</v>
      </c>
      <c r="AH883" t="str">
        <f>IFERROR(VLOOKUP(AG883,tbFactorMes,2,FALSE),"")</f>
        <v/>
      </c>
      <c r="AI883">
        <f t="shared" si="187"/>
        <v>0</v>
      </c>
      <c r="AL883" t="str">
        <f>IFERROR(VLOOKUP(AK883,tbFactorMes,2,FALSE),"")</f>
        <v/>
      </c>
      <c r="AM883">
        <f t="shared" si="188"/>
        <v>0</v>
      </c>
      <c r="AP883" t="str">
        <f>IFERROR(VLOOKUP(AO883,tbFactorMes,2,FALSE),"")</f>
        <v/>
      </c>
      <c r="AQ883">
        <f t="shared" si="189"/>
        <v>0</v>
      </c>
      <c r="AT883" t="str">
        <f>IFERROR(VLOOKUP(AS883,tbFactorMes,2,FALSE),"")</f>
        <v/>
      </c>
      <c r="AU883">
        <f t="shared" si="190"/>
        <v>0</v>
      </c>
      <c r="AX883" t="str">
        <f>IFERROR(VLOOKUP(AW883,tbFactorMes,2,FALSE),"")</f>
        <v/>
      </c>
      <c r="AY883">
        <f t="shared" si="191"/>
        <v>0</v>
      </c>
      <c r="BB883" t="str">
        <f>IFERROR(VLOOKUP(BA883,tbFactorMes,2,FALSE),"")</f>
        <v/>
      </c>
      <c r="BC883">
        <f t="shared" si="192"/>
        <v>0</v>
      </c>
      <c r="BF883" t="str">
        <f>IFERROR(VLOOKUP(BE883,tbFactorMes,2,FALSE),"")</f>
        <v/>
      </c>
      <c r="BG883">
        <f t="shared" si="193"/>
        <v>0</v>
      </c>
      <c r="BH883">
        <f t="shared" si="194"/>
        <v>0</v>
      </c>
      <c r="BI883">
        <f t="shared" si="195"/>
        <v>0</v>
      </c>
    </row>
    <row r="884" spans="11:61" x14ac:dyDescent="0.35">
      <c r="K884" t="str">
        <f>IFERROR(VLOOKUP(F884,tbTurnos,3,FALSE),"")</f>
        <v/>
      </c>
      <c r="N884" t="str">
        <f>IFERROR(VLOOKUP(M884,tbFactorMes,2,FALSE),"")</f>
        <v/>
      </c>
      <c r="O884">
        <f t="shared" si="182"/>
        <v>0</v>
      </c>
      <c r="R884" t="str">
        <f>IFERROR(VLOOKUP(Q884,tbFactorMes,2,FALSE),"")</f>
        <v/>
      </c>
      <c r="S884">
        <f t="shared" si="183"/>
        <v>0</v>
      </c>
      <c r="V884" t="str">
        <f>IFERROR(VLOOKUP(U884,tbFactorMes,2,FALSE),"")</f>
        <v/>
      </c>
      <c r="W884">
        <f t="shared" si="184"/>
        <v>0</v>
      </c>
      <c r="Z884" t="str">
        <f>IFERROR(VLOOKUP(Y884,tbFactorMes,2,FALSE),"")</f>
        <v/>
      </c>
      <c r="AA884">
        <f t="shared" si="185"/>
        <v>0</v>
      </c>
      <c r="AD884" t="str">
        <f>IFERROR(VLOOKUP(AC884,tbFactorMes,2,FALSE),"")</f>
        <v/>
      </c>
      <c r="AE884">
        <f t="shared" si="186"/>
        <v>0</v>
      </c>
      <c r="AH884" t="str">
        <f>IFERROR(VLOOKUP(AG884,tbFactorMes,2,FALSE),"")</f>
        <v/>
      </c>
      <c r="AI884">
        <f t="shared" si="187"/>
        <v>0</v>
      </c>
      <c r="AL884" t="str">
        <f>IFERROR(VLOOKUP(AK884,tbFactorMes,2,FALSE),"")</f>
        <v/>
      </c>
      <c r="AM884">
        <f t="shared" si="188"/>
        <v>0</v>
      </c>
      <c r="AP884" t="str">
        <f>IFERROR(VLOOKUP(AO884,tbFactorMes,2,FALSE),"")</f>
        <v/>
      </c>
      <c r="AQ884">
        <f t="shared" si="189"/>
        <v>0</v>
      </c>
      <c r="AT884" t="str">
        <f>IFERROR(VLOOKUP(AS884,tbFactorMes,2,FALSE),"")</f>
        <v/>
      </c>
      <c r="AU884">
        <f t="shared" si="190"/>
        <v>0</v>
      </c>
      <c r="AX884" t="str">
        <f>IFERROR(VLOOKUP(AW884,tbFactorMes,2,FALSE),"")</f>
        <v/>
      </c>
      <c r="AY884">
        <f t="shared" si="191"/>
        <v>0</v>
      </c>
      <c r="BB884" t="str">
        <f>IFERROR(VLOOKUP(BA884,tbFactorMes,2,FALSE),"")</f>
        <v/>
      </c>
      <c r="BC884">
        <f t="shared" si="192"/>
        <v>0</v>
      </c>
      <c r="BF884" t="str">
        <f>IFERROR(VLOOKUP(BE884,tbFactorMes,2,FALSE),"")</f>
        <v/>
      </c>
      <c r="BG884">
        <f t="shared" si="193"/>
        <v>0</v>
      </c>
      <c r="BH884">
        <f t="shared" si="194"/>
        <v>0</v>
      </c>
      <c r="BI884">
        <f t="shared" si="195"/>
        <v>0</v>
      </c>
    </row>
    <row r="885" spans="11:61" x14ac:dyDescent="0.35">
      <c r="K885" t="str">
        <f>IFERROR(VLOOKUP(F885,tbTurnos,3,FALSE),"")</f>
        <v/>
      </c>
      <c r="N885" t="str">
        <f>IFERROR(VLOOKUP(M885,tbFactorMes,2,FALSE),"")</f>
        <v/>
      </c>
      <c r="O885">
        <f t="shared" si="182"/>
        <v>0</v>
      </c>
      <c r="R885" t="str">
        <f>IFERROR(VLOOKUP(Q885,tbFactorMes,2,FALSE),"")</f>
        <v/>
      </c>
      <c r="S885">
        <f t="shared" si="183"/>
        <v>0</v>
      </c>
      <c r="V885" t="str">
        <f>IFERROR(VLOOKUP(U885,tbFactorMes,2,FALSE),"")</f>
        <v/>
      </c>
      <c r="W885">
        <f t="shared" si="184"/>
        <v>0</v>
      </c>
      <c r="Z885" t="str">
        <f>IFERROR(VLOOKUP(Y885,tbFactorMes,2,FALSE),"")</f>
        <v/>
      </c>
      <c r="AA885">
        <f t="shared" si="185"/>
        <v>0</v>
      </c>
      <c r="AD885" t="str">
        <f>IFERROR(VLOOKUP(AC885,tbFactorMes,2,FALSE),"")</f>
        <v/>
      </c>
      <c r="AE885">
        <f t="shared" si="186"/>
        <v>0</v>
      </c>
      <c r="AH885" t="str">
        <f>IFERROR(VLOOKUP(AG885,tbFactorMes,2,FALSE),"")</f>
        <v/>
      </c>
      <c r="AI885">
        <f t="shared" si="187"/>
        <v>0</v>
      </c>
      <c r="AL885" t="str">
        <f>IFERROR(VLOOKUP(AK885,tbFactorMes,2,FALSE),"")</f>
        <v/>
      </c>
      <c r="AM885">
        <f t="shared" si="188"/>
        <v>0</v>
      </c>
      <c r="AP885" t="str">
        <f>IFERROR(VLOOKUP(AO885,tbFactorMes,2,FALSE),"")</f>
        <v/>
      </c>
      <c r="AQ885">
        <f t="shared" si="189"/>
        <v>0</v>
      </c>
      <c r="AT885" t="str">
        <f>IFERROR(VLOOKUP(AS885,tbFactorMes,2,FALSE),"")</f>
        <v/>
      </c>
      <c r="AU885">
        <f t="shared" si="190"/>
        <v>0</v>
      </c>
      <c r="AX885" t="str">
        <f>IFERROR(VLOOKUP(AW885,tbFactorMes,2,FALSE),"")</f>
        <v/>
      </c>
      <c r="AY885">
        <f t="shared" si="191"/>
        <v>0</v>
      </c>
      <c r="BB885" t="str">
        <f>IFERROR(VLOOKUP(BA885,tbFactorMes,2,FALSE),"")</f>
        <v/>
      </c>
      <c r="BC885">
        <f t="shared" si="192"/>
        <v>0</v>
      </c>
      <c r="BF885" t="str">
        <f>IFERROR(VLOOKUP(BE885,tbFactorMes,2,FALSE),"")</f>
        <v/>
      </c>
      <c r="BG885">
        <f t="shared" si="193"/>
        <v>0</v>
      </c>
      <c r="BH885">
        <f t="shared" si="194"/>
        <v>0</v>
      </c>
      <c r="BI885">
        <f t="shared" si="195"/>
        <v>0</v>
      </c>
    </row>
    <row r="886" spans="11:61" x14ac:dyDescent="0.35">
      <c r="K886" t="str">
        <f>IFERROR(VLOOKUP(F886,tbTurnos,3,FALSE),"")</f>
        <v/>
      </c>
      <c r="N886" t="str">
        <f>IFERROR(VLOOKUP(M886,tbFactorMes,2,FALSE),"")</f>
        <v/>
      </c>
      <c r="O886">
        <f t="shared" si="182"/>
        <v>0</v>
      </c>
      <c r="R886" t="str">
        <f>IFERROR(VLOOKUP(Q886,tbFactorMes,2,FALSE),"")</f>
        <v/>
      </c>
      <c r="S886">
        <f t="shared" si="183"/>
        <v>0</v>
      </c>
      <c r="V886" t="str">
        <f>IFERROR(VLOOKUP(U886,tbFactorMes,2,FALSE),"")</f>
        <v/>
      </c>
      <c r="W886">
        <f t="shared" si="184"/>
        <v>0</v>
      </c>
      <c r="Z886" t="str">
        <f>IFERROR(VLOOKUP(Y886,tbFactorMes,2,FALSE),"")</f>
        <v/>
      </c>
      <c r="AA886">
        <f t="shared" si="185"/>
        <v>0</v>
      </c>
      <c r="AD886" t="str">
        <f>IFERROR(VLOOKUP(AC886,tbFactorMes,2,FALSE),"")</f>
        <v/>
      </c>
      <c r="AE886">
        <f t="shared" si="186"/>
        <v>0</v>
      </c>
      <c r="AH886" t="str">
        <f>IFERROR(VLOOKUP(AG886,tbFactorMes,2,FALSE),"")</f>
        <v/>
      </c>
      <c r="AI886">
        <f t="shared" si="187"/>
        <v>0</v>
      </c>
      <c r="AL886" t="str">
        <f>IFERROR(VLOOKUP(AK886,tbFactorMes,2,FALSE),"")</f>
        <v/>
      </c>
      <c r="AM886">
        <f t="shared" si="188"/>
        <v>0</v>
      </c>
      <c r="AP886" t="str">
        <f>IFERROR(VLOOKUP(AO886,tbFactorMes,2,FALSE),"")</f>
        <v/>
      </c>
      <c r="AQ886">
        <f t="shared" si="189"/>
        <v>0</v>
      </c>
      <c r="AT886" t="str">
        <f>IFERROR(VLOOKUP(AS886,tbFactorMes,2,FALSE),"")</f>
        <v/>
      </c>
      <c r="AU886">
        <f t="shared" si="190"/>
        <v>0</v>
      </c>
      <c r="AX886" t="str">
        <f>IFERROR(VLOOKUP(AW886,tbFactorMes,2,FALSE),"")</f>
        <v/>
      </c>
      <c r="AY886">
        <f t="shared" si="191"/>
        <v>0</v>
      </c>
      <c r="BB886" t="str">
        <f>IFERROR(VLOOKUP(BA886,tbFactorMes,2,FALSE),"")</f>
        <v/>
      </c>
      <c r="BC886">
        <f t="shared" si="192"/>
        <v>0</v>
      </c>
      <c r="BF886" t="str">
        <f>IFERROR(VLOOKUP(BE886,tbFactorMes,2,FALSE),"")</f>
        <v/>
      </c>
      <c r="BG886">
        <f t="shared" si="193"/>
        <v>0</v>
      </c>
      <c r="BH886">
        <f t="shared" si="194"/>
        <v>0</v>
      </c>
      <c r="BI886">
        <f t="shared" si="195"/>
        <v>0</v>
      </c>
    </row>
    <row r="887" spans="11:61" x14ac:dyDescent="0.35">
      <c r="K887" t="str">
        <f>IFERROR(VLOOKUP(F887,tbTurnos,3,FALSE),"")</f>
        <v/>
      </c>
      <c r="N887" t="str">
        <f>IFERROR(VLOOKUP(M887,tbFactorMes,2,FALSE),"")</f>
        <v/>
      </c>
      <c r="O887">
        <f t="shared" si="182"/>
        <v>0</v>
      </c>
      <c r="R887" t="str">
        <f>IFERROR(VLOOKUP(Q887,tbFactorMes,2,FALSE),"")</f>
        <v/>
      </c>
      <c r="S887">
        <f t="shared" si="183"/>
        <v>0</v>
      </c>
      <c r="V887" t="str">
        <f>IFERROR(VLOOKUP(U887,tbFactorMes,2,FALSE),"")</f>
        <v/>
      </c>
      <c r="W887">
        <f t="shared" si="184"/>
        <v>0</v>
      </c>
      <c r="Z887" t="str">
        <f>IFERROR(VLOOKUP(Y887,tbFactorMes,2,FALSE),"")</f>
        <v/>
      </c>
      <c r="AA887">
        <f t="shared" si="185"/>
        <v>0</v>
      </c>
      <c r="AD887" t="str">
        <f>IFERROR(VLOOKUP(AC887,tbFactorMes,2,FALSE),"")</f>
        <v/>
      </c>
      <c r="AE887">
        <f t="shared" si="186"/>
        <v>0</v>
      </c>
      <c r="AH887" t="str">
        <f>IFERROR(VLOOKUP(AG887,tbFactorMes,2,FALSE),"")</f>
        <v/>
      </c>
      <c r="AI887">
        <f t="shared" si="187"/>
        <v>0</v>
      </c>
      <c r="AL887" t="str">
        <f>IFERROR(VLOOKUP(AK887,tbFactorMes,2,FALSE),"")</f>
        <v/>
      </c>
      <c r="AM887">
        <f t="shared" si="188"/>
        <v>0</v>
      </c>
      <c r="AP887" t="str">
        <f>IFERROR(VLOOKUP(AO887,tbFactorMes,2,FALSE),"")</f>
        <v/>
      </c>
      <c r="AQ887">
        <f t="shared" si="189"/>
        <v>0</v>
      </c>
      <c r="AT887" t="str">
        <f>IFERROR(VLOOKUP(AS887,tbFactorMes,2,FALSE),"")</f>
        <v/>
      </c>
      <c r="AU887">
        <f t="shared" si="190"/>
        <v>0</v>
      </c>
      <c r="AX887" t="str">
        <f>IFERROR(VLOOKUP(AW887,tbFactorMes,2,FALSE),"")</f>
        <v/>
      </c>
      <c r="AY887">
        <f t="shared" si="191"/>
        <v>0</v>
      </c>
      <c r="BB887" t="str">
        <f>IFERROR(VLOOKUP(BA887,tbFactorMes,2,FALSE),"")</f>
        <v/>
      </c>
      <c r="BC887">
        <f t="shared" si="192"/>
        <v>0</v>
      </c>
      <c r="BF887" t="str">
        <f>IFERROR(VLOOKUP(BE887,tbFactorMes,2,FALSE),"")</f>
        <v/>
      </c>
      <c r="BG887">
        <f t="shared" si="193"/>
        <v>0</v>
      </c>
      <c r="BH887">
        <f t="shared" si="194"/>
        <v>0</v>
      </c>
      <c r="BI887">
        <f t="shared" si="195"/>
        <v>0</v>
      </c>
    </row>
    <row r="888" spans="11:61" x14ac:dyDescent="0.35">
      <c r="K888" t="str">
        <f>IFERROR(VLOOKUP(F888,tbTurnos,3,FALSE),"")</f>
        <v/>
      </c>
      <c r="N888" t="str">
        <f>IFERROR(VLOOKUP(M888,tbFactorMes,2,FALSE),"")</f>
        <v/>
      </c>
      <c r="O888">
        <f t="shared" si="182"/>
        <v>0</v>
      </c>
      <c r="R888" t="str">
        <f>IFERROR(VLOOKUP(Q888,tbFactorMes,2,FALSE),"")</f>
        <v/>
      </c>
      <c r="S888">
        <f t="shared" si="183"/>
        <v>0</v>
      </c>
      <c r="V888" t="str">
        <f>IFERROR(VLOOKUP(U888,tbFactorMes,2,FALSE),"")</f>
        <v/>
      </c>
      <c r="W888">
        <f t="shared" si="184"/>
        <v>0</v>
      </c>
      <c r="Z888" t="str">
        <f>IFERROR(VLOOKUP(Y888,tbFactorMes,2,FALSE),"")</f>
        <v/>
      </c>
      <c r="AA888">
        <f t="shared" si="185"/>
        <v>0</v>
      </c>
      <c r="AD888" t="str">
        <f>IFERROR(VLOOKUP(AC888,tbFactorMes,2,FALSE),"")</f>
        <v/>
      </c>
      <c r="AE888">
        <f t="shared" si="186"/>
        <v>0</v>
      </c>
      <c r="AH888" t="str">
        <f>IFERROR(VLOOKUP(AG888,tbFactorMes,2,FALSE),"")</f>
        <v/>
      </c>
      <c r="AI888">
        <f t="shared" si="187"/>
        <v>0</v>
      </c>
      <c r="AL888" t="str">
        <f>IFERROR(VLOOKUP(AK888,tbFactorMes,2,FALSE),"")</f>
        <v/>
      </c>
      <c r="AM888">
        <f t="shared" si="188"/>
        <v>0</v>
      </c>
      <c r="AP888" t="str">
        <f>IFERROR(VLOOKUP(AO888,tbFactorMes,2,FALSE),"")</f>
        <v/>
      </c>
      <c r="AQ888">
        <f t="shared" si="189"/>
        <v>0</v>
      </c>
      <c r="AT888" t="str">
        <f>IFERROR(VLOOKUP(AS888,tbFactorMes,2,FALSE),"")</f>
        <v/>
      </c>
      <c r="AU888">
        <f t="shared" si="190"/>
        <v>0</v>
      </c>
      <c r="AX888" t="str">
        <f>IFERROR(VLOOKUP(AW888,tbFactorMes,2,FALSE),"")</f>
        <v/>
      </c>
      <c r="AY888">
        <f t="shared" si="191"/>
        <v>0</v>
      </c>
      <c r="BB888" t="str">
        <f>IFERROR(VLOOKUP(BA888,tbFactorMes,2,FALSE),"")</f>
        <v/>
      </c>
      <c r="BC888">
        <f t="shared" si="192"/>
        <v>0</v>
      </c>
      <c r="BF888" t="str">
        <f>IFERROR(VLOOKUP(BE888,tbFactorMes,2,FALSE),"")</f>
        <v/>
      </c>
      <c r="BG888">
        <f t="shared" si="193"/>
        <v>0</v>
      </c>
      <c r="BH888">
        <f t="shared" si="194"/>
        <v>0</v>
      </c>
      <c r="BI888">
        <f t="shared" si="195"/>
        <v>0</v>
      </c>
    </row>
    <row r="889" spans="11:61" x14ac:dyDescent="0.35">
      <c r="K889" t="str">
        <f>IFERROR(VLOOKUP(F889,tbTurnos,3,FALSE),"")</f>
        <v/>
      </c>
      <c r="N889" t="str">
        <f>IFERROR(VLOOKUP(M889,tbFactorMes,2,FALSE),"")</f>
        <v/>
      </c>
      <c r="O889">
        <f t="shared" si="182"/>
        <v>0</v>
      </c>
      <c r="R889" t="str">
        <f>IFERROR(VLOOKUP(Q889,tbFactorMes,2,FALSE),"")</f>
        <v/>
      </c>
      <c r="S889">
        <f t="shared" si="183"/>
        <v>0</v>
      </c>
      <c r="V889" t="str">
        <f>IFERROR(VLOOKUP(U889,tbFactorMes,2,FALSE),"")</f>
        <v/>
      </c>
      <c r="W889">
        <f t="shared" si="184"/>
        <v>0</v>
      </c>
      <c r="Z889" t="str">
        <f>IFERROR(VLOOKUP(Y889,tbFactorMes,2,FALSE),"")</f>
        <v/>
      </c>
      <c r="AA889">
        <f t="shared" si="185"/>
        <v>0</v>
      </c>
      <c r="AD889" t="str">
        <f>IFERROR(VLOOKUP(AC889,tbFactorMes,2,FALSE),"")</f>
        <v/>
      </c>
      <c r="AE889">
        <f t="shared" si="186"/>
        <v>0</v>
      </c>
      <c r="AH889" t="str">
        <f>IFERROR(VLOOKUP(AG889,tbFactorMes,2,FALSE),"")</f>
        <v/>
      </c>
      <c r="AI889">
        <f t="shared" si="187"/>
        <v>0</v>
      </c>
      <c r="AL889" t="str">
        <f>IFERROR(VLOOKUP(AK889,tbFactorMes,2,FALSE),"")</f>
        <v/>
      </c>
      <c r="AM889">
        <f t="shared" si="188"/>
        <v>0</v>
      </c>
      <c r="AP889" t="str">
        <f>IFERROR(VLOOKUP(AO889,tbFactorMes,2,FALSE),"")</f>
        <v/>
      </c>
      <c r="AQ889">
        <f t="shared" si="189"/>
        <v>0</v>
      </c>
      <c r="AT889" t="str">
        <f>IFERROR(VLOOKUP(AS889,tbFactorMes,2,FALSE),"")</f>
        <v/>
      </c>
      <c r="AU889">
        <f t="shared" si="190"/>
        <v>0</v>
      </c>
      <c r="AX889" t="str">
        <f>IFERROR(VLOOKUP(AW889,tbFactorMes,2,FALSE),"")</f>
        <v/>
      </c>
      <c r="AY889">
        <f t="shared" si="191"/>
        <v>0</v>
      </c>
      <c r="BB889" t="str">
        <f>IFERROR(VLOOKUP(BA889,tbFactorMes,2,FALSE),"")</f>
        <v/>
      </c>
      <c r="BC889">
        <f t="shared" si="192"/>
        <v>0</v>
      </c>
      <c r="BF889" t="str">
        <f>IFERROR(VLOOKUP(BE889,tbFactorMes,2,FALSE),"")</f>
        <v/>
      </c>
      <c r="BG889">
        <f t="shared" si="193"/>
        <v>0</v>
      </c>
      <c r="BH889">
        <f t="shared" si="194"/>
        <v>0</v>
      </c>
      <c r="BI889">
        <f t="shared" si="195"/>
        <v>0</v>
      </c>
    </row>
    <row r="890" spans="11:61" x14ac:dyDescent="0.35">
      <c r="K890" t="str">
        <f>IFERROR(VLOOKUP(F890,tbTurnos,3,FALSE),"")</f>
        <v/>
      </c>
      <c r="N890" t="str">
        <f>IFERROR(VLOOKUP(M890,tbFactorMes,2,FALSE),"")</f>
        <v/>
      </c>
      <c r="O890">
        <f t="shared" si="182"/>
        <v>0</v>
      </c>
      <c r="R890" t="str">
        <f>IFERROR(VLOOKUP(Q890,tbFactorMes,2,FALSE),"")</f>
        <v/>
      </c>
      <c r="S890">
        <f t="shared" si="183"/>
        <v>0</v>
      </c>
      <c r="V890" t="str">
        <f>IFERROR(VLOOKUP(U890,tbFactorMes,2,FALSE),"")</f>
        <v/>
      </c>
      <c r="W890">
        <f t="shared" si="184"/>
        <v>0</v>
      </c>
      <c r="Z890" t="str">
        <f>IFERROR(VLOOKUP(Y890,tbFactorMes,2,FALSE),"")</f>
        <v/>
      </c>
      <c r="AA890">
        <f t="shared" si="185"/>
        <v>0</v>
      </c>
      <c r="AD890" t="str">
        <f>IFERROR(VLOOKUP(AC890,tbFactorMes,2,FALSE),"")</f>
        <v/>
      </c>
      <c r="AE890">
        <f t="shared" si="186"/>
        <v>0</v>
      </c>
      <c r="AH890" t="str">
        <f>IFERROR(VLOOKUP(AG890,tbFactorMes,2,FALSE),"")</f>
        <v/>
      </c>
      <c r="AI890">
        <f t="shared" si="187"/>
        <v>0</v>
      </c>
      <c r="AL890" t="str">
        <f>IFERROR(VLOOKUP(AK890,tbFactorMes,2,FALSE),"")</f>
        <v/>
      </c>
      <c r="AM890">
        <f t="shared" si="188"/>
        <v>0</v>
      </c>
      <c r="AP890" t="str">
        <f>IFERROR(VLOOKUP(AO890,tbFactorMes,2,FALSE),"")</f>
        <v/>
      </c>
      <c r="AQ890">
        <f t="shared" si="189"/>
        <v>0</v>
      </c>
      <c r="AT890" t="str">
        <f>IFERROR(VLOOKUP(AS890,tbFactorMes,2,FALSE),"")</f>
        <v/>
      </c>
      <c r="AU890">
        <f t="shared" si="190"/>
        <v>0</v>
      </c>
      <c r="AX890" t="str">
        <f>IFERROR(VLOOKUP(AW890,tbFactorMes,2,FALSE),"")</f>
        <v/>
      </c>
      <c r="AY890">
        <f t="shared" si="191"/>
        <v>0</v>
      </c>
      <c r="BB890" t="str">
        <f>IFERROR(VLOOKUP(BA890,tbFactorMes,2,FALSE),"")</f>
        <v/>
      </c>
      <c r="BC890">
        <f t="shared" si="192"/>
        <v>0</v>
      </c>
      <c r="BF890" t="str">
        <f>IFERROR(VLOOKUP(BE890,tbFactorMes,2,FALSE),"")</f>
        <v/>
      </c>
      <c r="BG890">
        <f t="shared" si="193"/>
        <v>0</v>
      </c>
      <c r="BH890">
        <f t="shared" si="194"/>
        <v>0</v>
      </c>
      <c r="BI890">
        <f t="shared" si="195"/>
        <v>0</v>
      </c>
    </row>
    <row r="891" spans="11:61" x14ac:dyDescent="0.35">
      <c r="K891" t="str">
        <f>IFERROR(VLOOKUP(F891,tbTurnos,3,FALSE),"")</f>
        <v/>
      </c>
      <c r="N891" t="str">
        <f>IFERROR(VLOOKUP(M891,tbFactorMes,2,FALSE),"")</f>
        <v/>
      </c>
      <c r="O891">
        <f t="shared" si="182"/>
        <v>0</v>
      </c>
      <c r="R891" t="str">
        <f>IFERROR(VLOOKUP(Q891,tbFactorMes,2,FALSE),"")</f>
        <v/>
      </c>
      <c r="S891">
        <f t="shared" si="183"/>
        <v>0</v>
      </c>
      <c r="V891" t="str">
        <f>IFERROR(VLOOKUP(U891,tbFactorMes,2,FALSE),"")</f>
        <v/>
      </c>
      <c r="W891">
        <f t="shared" si="184"/>
        <v>0</v>
      </c>
      <c r="Z891" t="str">
        <f>IFERROR(VLOOKUP(Y891,tbFactorMes,2,FALSE),"")</f>
        <v/>
      </c>
      <c r="AA891">
        <f t="shared" si="185"/>
        <v>0</v>
      </c>
      <c r="AD891" t="str">
        <f>IFERROR(VLOOKUP(AC891,tbFactorMes,2,FALSE),"")</f>
        <v/>
      </c>
      <c r="AE891">
        <f t="shared" si="186"/>
        <v>0</v>
      </c>
      <c r="AH891" t="str">
        <f>IFERROR(VLOOKUP(AG891,tbFactorMes,2,FALSE),"")</f>
        <v/>
      </c>
      <c r="AI891">
        <f t="shared" si="187"/>
        <v>0</v>
      </c>
      <c r="AL891" t="str">
        <f>IFERROR(VLOOKUP(AK891,tbFactorMes,2,FALSE),"")</f>
        <v/>
      </c>
      <c r="AM891">
        <f t="shared" si="188"/>
        <v>0</v>
      </c>
      <c r="AP891" t="str">
        <f>IFERROR(VLOOKUP(AO891,tbFactorMes,2,FALSE),"")</f>
        <v/>
      </c>
      <c r="AQ891">
        <f t="shared" si="189"/>
        <v>0</v>
      </c>
      <c r="AT891" t="str">
        <f>IFERROR(VLOOKUP(AS891,tbFactorMes,2,FALSE),"")</f>
        <v/>
      </c>
      <c r="AU891">
        <f t="shared" si="190"/>
        <v>0</v>
      </c>
      <c r="AX891" t="str">
        <f>IFERROR(VLOOKUP(AW891,tbFactorMes,2,FALSE),"")</f>
        <v/>
      </c>
      <c r="AY891">
        <f t="shared" si="191"/>
        <v>0</v>
      </c>
      <c r="BB891" t="str">
        <f>IFERROR(VLOOKUP(BA891,tbFactorMes,2,FALSE),"")</f>
        <v/>
      </c>
      <c r="BC891">
        <f t="shared" si="192"/>
        <v>0</v>
      </c>
      <c r="BF891" t="str">
        <f>IFERROR(VLOOKUP(BE891,tbFactorMes,2,FALSE),"")</f>
        <v/>
      </c>
      <c r="BG891">
        <f t="shared" si="193"/>
        <v>0</v>
      </c>
      <c r="BH891">
        <f t="shared" si="194"/>
        <v>0</v>
      </c>
      <c r="BI891">
        <f t="shared" si="195"/>
        <v>0</v>
      </c>
    </row>
    <row r="892" spans="11:61" x14ac:dyDescent="0.35">
      <c r="K892" t="str">
        <f>IFERROR(VLOOKUP(F892,tbTurnos,3,FALSE),"")</f>
        <v/>
      </c>
      <c r="N892" t="str">
        <f>IFERROR(VLOOKUP(M892,tbFactorMes,2,FALSE),"")</f>
        <v/>
      </c>
      <c r="O892">
        <f t="shared" si="182"/>
        <v>0</v>
      </c>
      <c r="R892" t="str">
        <f>IFERROR(VLOOKUP(Q892,tbFactorMes,2,FALSE),"")</f>
        <v/>
      </c>
      <c r="S892">
        <f t="shared" si="183"/>
        <v>0</v>
      </c>
      <c r="V892" t="str">
        <f>IFERROR(VLOOKUP(U892,tbFactorMes,2,FALSE),"")</f>
        <v/>
      </c>
      <c r="W892">
        <f t="shared" si="184"/>
        <v>0</v>
      </c>
      <c r="Z892" t="str">
        <f>IFERROR(VLOOKUP(Y892,tbFactorMes,2,FALSE),"")</f>
        <v/>
      </c>
      <c r="AA892">
        <f t="shared" si="185"/>
        <v>0</v>
      </c>
      <c r="AD892" t="str">
        <f>IFERROR(VLOOKUP(AC892,tbFactorMes,2,FALSE),"")</f>
        <v/>
      </c>
      <c r="AE892">
        <f t="shared" si="186"/>
        <v>0</v>
      </c>
      <c r="AH892" t="str">
        <f>IFERROR(VLOOKUP(AG892,tbFactorMes,2,FALSE),"")</f>
        <v/>
      </c>
      <c r="AI892">
        <f t="shared" si="187"/>
        <v>0</v>
      </c>
      <c r="AL892" t="str">
        <f>IFERROR(VLOOKUP(AK892,tbFactorMes,2,FALSE),"")</f>
        <v/>
      </c>
      <c r="AM892">
        <f t="shared" si="188"/>
        <v>0</v>
      </c>
      <c r="AP892" t="str">
        <f>IFERROR(VLOOKUP(AO892,tbFactorMes,2,FALSE),"")</f>
        <v/>
      </c>
      <c r="AQ892">
        <f t="shared" si="189"/>
        <v>0</v>
      </c>
      <c r="AT892" t="str">
        <f>IFERROR(VLOOKUP(AS892,tbFactorMes,2,FALSE),"")</f>
        <v/>
      </c>
      <c r="AU892">
        <f t="shared" si="190"/>
        <v>0</v>
      </c>
      <c r="AX892" t="str">
        <f>IFERROR(VLOOKUP(AW892,tbFactorMes,2,FALSE),"")</f>
        <v/>
      </c>
      <c r="AY892">
        <f t="shared" si="191"/>
        <v>0</v>
      </c>
      <c r="BB892" t="str">
        <f>IFERROR(VLOOKUP(BA892,tbFactorMes,2,FALSE),"")</f>
        <v/>
      </c>
      <c r="BC892">
        <f t="shared" si="192"/>
        <v>0</v>
      </c>
      <c r="BF892" t="str">
        <f>IFERROR(VLOOKUP(BE892,tbFactorMes,2,FALSE),"")</f>
        <v/>
      </c>
      <c r="BG892">
        <f t="shared" si="193"/>
        <v>0</v>
      </c>
      <c r="BH892">
        <f t="shared" si="194"/>
        <v>0</v>
      </c>
      <c r="BI892">
        <f t="shared" si="195"/>
        <v>0</v>
      </c>
    </row>
    <row r="893" spans="11:61" x14ac:dyDescent="0.35">
      <c r="K893" t="str">
        <f>IFERROR(VLOOKUP(F893,tbTurnos,3,FALSE),"")</f>
        <v/>
      </c>
      <c r="N893" t="str">
        <f>IFERROR(VLOOKUP(M893,tbFactorMes,2,FALSE),"")</f>
        <v/>
      </c>
      <c r="O893">
        <f t="shared" si="182"/>
        <v>0</v>
      </c>
      <c r="R893" t="str">
        <f>IFERROR(VLOOKUP(Q893,tbFactorMes,2,FALSE),"")</f>
        <v/>
      </c>
      <c r="S893">
        <f t="shared" si="183"/>
        <v>0</v>
      </c>
      <c r="V893" t="str">
        <f>IFERROR(VLOOKUP(U893,tbFactorMes,2,FALSE),"")</f>
        <v/>
      </c>
      <c r="W893">
        <f t="shared" si="184"/>
        <v>0</v>
      </c>
      <c r="Z893" t="str">
        <f>IFERROR(VLOOKUP(Y893,tbFactorMes,2,FALSE),"")</f>
        <v/>
      </c>
      <c r="AA893">
        <f t="shared" si="185"/>
        <v>0</v>
      </c>
      <c r="AD893" t="str">
        <f>IFERROR(VLOOKUP(AC893,tbFactorMes,2,FALSE),"")</f>
        <v/>
      </c>
      <c r="AE893">
        <f t="shared" si="186"/>
        <v>0</v>
      </c>
      <c r="AH893" t="str">
        <f>IFERROR(VLOOKUP(AG893,tbFactorMes,2,FALSE),"")</f>
        <v/>
      </c>
      <c r="AI893">
        <f t="shared" si="187"/>
        <v>0</v>
      </c>
      <c r="AL893" t="str">
        <f>IFERROR(VLOOKUP(AK893,tbFactorMes,2,FALSE),"")</f>
        <v/>
      </c>
      <c r="AM893">
        <f t="shared" si="188"/>
        <v>0</v>
      </c>
      <c r="AP893" t="str">
        <f>IFERROR(VLOOKUP(AO893,tbFactorMes,2,FALSE),"")</f>
        <v/>
      </c>
      <c r="AQ893">
        <f t="shared" si="189"/>
        <v>0</v>
      </c>
      <c r="AT893" t="str">
        <f>IFERROR(VLOOKUP(AS893,tbFactorMes,2,FALSE),"")</f>
        <v/>
      </c>
      <c r="AU893">
        <f t="shared" si="190"/>
        <v>0</v>
      </c>
      <c r="AX893" t="str">
        <f>IFERROR(VLOOKUP(AW893,tbFactorMes,2,FALSE),"")</f>
        <v/>
      </c>
      <c r="AY893">
        <f t="shared" si="191"/>
        <v>0</v>
      </c>
      <c r="BB893" t="str">
        <f>IFERROR(VLOOKUP(BA893,tbFactorMes,2,FALSE),"")</f>
        <v/>
      </c>
      <c r="BC893">
        <f t="shared" si="192"/>
        <v>0</v>
      </c>
      <c r="BF893" t="str">
        <f>IFERROR(VLOOKUP(BE893,tbFactorMes,2,FALSE),"")</f>
        <v/>
      </c>
      <c r="BG893">
        <f t="shared" si="193"/>
        <v>0</v>
      </c>
      <c r="BH893">
        <f t="shared" si="194"/>
        <v>0</v>
      </c>
      <c r="BI893">
        <f t="shared" si="195"/>
        <v>0</v>
      </c>
    </row>
    <row r="894" spans="11:61" x14ac:dyDescent="0.35">
      <c r="K894" t="str">
        <f>IFERROR(VLOOKUP(F894,tbTurnos,3,FALSE),"")</f>
        <v/>
      </c>
      <c r="N894" t="str">
        <f>IFERROR(VLOOKUP(M894,tbFactorMes,2,FALSE),"")</f>
        <v/>
      </c>
      <c r="O894">
        <f t="shared" si="182"/>
        <v>0</v>
      </c>
      <c r="R894" t="str">
        <f>IFERROR(VLOOKUP(Q894,tbFactorMes,2,FALSE),"")</f>
        <v/>
      </c>
      <c r="S894">
        <f t="shared" si="183"/>
        <v>0</v>
      </c>
      <c r="V894" t="str">
        <f>IFERROR(VLOOKUP(U894,tbFactorMes,2,FALSE),"")</f>
        <v/>
      </c>
      <c r="W894">
        <f t="shared" si="184"/>
        <v>0</v>
      </c>
      <c r="Z894" t="str">
        <f>IFERROR(VLOOKUP(Y894,tbFactorMes,2,FALSE),"")</f>
        <v/>
      </c>
      <c r="AA894">
        <f t="shared" si="185"/>
        <v>0</v>
      </c>
      <c r="AD894" t="str">
        <f>IFERROR(VLOOKUP(AC894,tbFactorMes,2,FALSE),"")</f>
        <v/>
      </c>
      <c r="AE894">
        <f t="shared" si="186"/>
        <v>0</v>
      </c>
      <c r="AH894" t="str">
        <f>IFERROR(VLOOKUP(AG894,tbFactorMes,2,FALSE),"")</f>
        <v/>
      </c>
      <c r="AI894">
        <f t="shared" si="187"/>
        <v>0</v>
      </c>
      <c r="AL894" t="str">
        <f>IFERROR(VLOOKUP(AK894,tbFactorMes,2,FALSE),"")</f>
        <v/>
      </c>
      <c r="AM894">
        <f t="shared" si="188"/>
        <v>0</v>
      </c>
      <c r="AP894" t="str">
        <f>IFERROR(VLOOKUP(AO894,tbFactorMes,2,FALSE),"")</f>
        <v/>
      </c>
      <c r="AQ894">
        <f t="shared" si="189"/>
        <v>0</v>
      </c>
      <c r="AT894" t="str">
        <f>IFERROR(VLOOKUP(AS894,tbFactorMes,2,FALSE),"")</f>
        <v/>
      </c>
      <c r="AU894">
        <f t="shared" si="190"/>
        <v>0</v>
      </c>
      <c r="AX894" t="str">
        <f>IFERROR(VLOOKUP(AW894,tbFactorMes,2,FALSE),"")</f>
        <v/>
      </c>
      <c r="AY894">
        <f t="shared" si="191"/>
        <v>0</v>
      </c>
      <c r="BB894" t="str">
        <f>IFERROR(VLOOKUP(BA894,tbFactorMes,2,FALSE),"")</f>
        <v/>
      </c>
      <c r="BC894">
        <f t="shared" si="192"/>
        <v>0</v>
      </c>
      <c r="BF894" t="str">
        <f>IFERROR(VLOOKUP(BE894,tbFactorMes,2,FALSE),"")</f>
        <v/>
      </c>
      <c r="BG894">
        <f t="shared" si="193"/>
        <v>0</v>
      </c>
      <c r="BH894">
        <f t="shared" si="194"/>
        <v>0</v>
      </c>
      <c r="BI894">
        <f t="shared" si="195"/>
        <v>0</v>
      </c>
    </row>
    <row r="895" spans="11:61" x14ac:dyDescent="0.35">
      <c r="K895" t="str">
        <f>IFERROR(VLOOKUP(F895,tbTurnos,3,FALSE),"")</f>
        <v/>
      </c>
      <c r="N895" t="str">
        <f>IFERROR(VLOOKUP(M895,tbFactorMes,2,FALSE),"")</f>
        <v/>
      </c>
      <c r="O895">
        <f t="shared" si="182"/>
        <v>0</v>
      </c>
      <c r="R895" t="str">
        <f>IFERROR(VLOOKUP(Q895,tbFactorMes,2,FALSE),"")</f>
        <v/>
      </c>
      <c r="S895">
        <f t="shared" si="183"/>
        <v>0</v>
      </c>
      <c r="V895" t="str">
        <f>IFERROR(VLOOKUP(U895,tbFactorMes,2,FALSE),"")</f>
        <v/>
      </c>
      <c r="W895">
        <f t="shared" si="184"/>
        <v>0</v>
      </c>
      <c r="Z895" t="str">
        <f>IFERROR(VLOOKUP(Y895,tbFactorMes,2,FALSE),"")</f>
        <v/>
      </c>
      <c r="AA895">
        <f t="shared" si="185"/>
        <v>0</v>
      </c>
      <c r="AD895" t="str">
        <f>IFERROR(VLOOKUP(AC895,tbFactorMes,2,FALSE),"")</f>
        <v/>
      </c>
      <c r="AE895">
        <f t="shared" si="186"/>
        <v>0</v>
      </c>
      <c r="AH895" t="str">
        <f>IFERROR(VLOOKUP(AG895,tbFactorMes,2,FALSE),"")</f>
        <v/>
      </c>
      <c r="AI895">
        <f t="shared" si="187"/>
        <v>0</v>
      </c>
      <c r="AL895" t="str">
        <f>IFERROR(VLOOKUP(AK895,tbFactorMes,2,FALSE),"")</f>
        <v/>
      </c>
      <c r="AM895">
        <f t="shared" si="188"/>
        <v>0</v>
      </c>
      <c r="AP895" t="str">
        <f>IFERROR(VLOOKUP(AO895,tbFactorMes,2,FALSE),"")</f>
        <v/>
      </c>
      <c r="AQ895">
        <f t="shared" si="189"/>
        <v>0</v>
      </c>
      <c r="AT895" t="str">
        <f>IFERROR(VLOOKUP(AS895,tbFactorMes,2,FALSE),"")</f>
        <v/>
      </c>
      <c r="AU895">
        <f t="shared" si="190"/>
        <v>0</v>
      </c>
      <c r="AX895" t="str">
        <f>IFERROR(VLOOKUP(AW895,tbFactorMes,2,FALSE),"")</f>
        <v/>
      </c>
      <c r="AY895">
        <f t="shared" si="191"/>
        <v>0</v>
      </c>
      <c r="BB895" t="str">
        <f>IFERROR(VLOOKUP(BA895,tbFactorMes,2,FALSE),"")</f>
        <v/>
      </c>
      <c r="BC895">
        <f t="shared" si="192"/>
        <v>0</v>
      </c>
      <c r="BF895" t="str">
        <f>IFERROR(VLOOKUP(BE895,tbFactorMes,2,FALSE),"")</f>
        <v/>
      </c>
      <c r="BG895">
        <f t="shared" si="193"/>
        <v>0</v>
      </c>
      <c r="BH895">
        <f t="shared" si="194"/>
        <v>0</v>
      </c>
      <c r="BI895">
        <f t="shared" si="195"/>
        <v>0</v>
      </c>
    </row>
    <row r="896" spans="11:61" x14ac:dyDescent="0.35">
      <c r="K896" t="str">
        <f>IFERROR(VLOOKUP(F896,tbTurnos,3,FALSE),"")</f>
        <v/>
      </c>
      <c r="N896" t="str">
        <f>IFERROR(VLOOKUP(M896,tbFactorMes,2,FALSE),"")</f>
        <v/>
      </c>
      <c r="O896">
        <f t="shared" si="182"/>
        <v>0</v>
      </c>
      <c r="R896" t="str">
        <f>IFERROR(VLOOKUP(Q896,tbFactorMes,2,FALSE),"")</f>
        <v/>
      </c>
      <c r="S896">
        <f t="shared" si="183"/>
        <v>0</v>
      </c>
      <c r="V896" t="str">
        <f>IFERROR(VLOOKUP(U896,tbFactorMes,2,FALSE),"")</f>
        <v/>
      </c>
      <c r="W896">
        <f t="shared" si="184"/>
        <v>0</v>
      </c>
      <c r="Z896" t="str">
        <f>IFERROR(VLOOKUP(Y896,tbFactorMes,2,FALSE),"")</f>
        <v/>
      </c>
      <c r="AA896">
        <f t="shared" si="185"/>
        <v>0</v>
      </c>
      <c r="AD896" t="str">
        <f>IFERROR(VLOOKUP(AC896,tbFactorMes,2,FALSE),"")</f>
        <v/>
      </c>
      <c r="AE896">
        <f t="shared" si="186"/>
        <v>0</v>
      </c>
      <c r="AH896" t="str">
        <f>IFERROR(VLOOKUP(AG896,tbFactorMes,2,FALSE),"")</f>
        <v/>
      </c>
      <c r="AI896">
        <f t="shared" si="187"/>
        <v>0</v>
      </c>
      <c r="AL896" t="str">
        <f>IFERROR(VLOOKUP(AK896,tbFactorMes,2,FALSE),"")</f>
        <v/>
      </c>
      <c r="AM896">
        <f t="shared" si="188"/>
        <v>0</v>
      </c>
      <c r="AP896" t="str">
        <f>IFERROR(VLOOKUP(AO896,tbFactorMes,2,FALSE),"")</f>
        <v/>
      </c>
      <c r="AQ896">
        <f t="shared" si="189"/>
        <v>0</v>
      </c>
      <c r="AT896" t="str">
        <f>IFERROR(VLOOKUP(AS896,tbFactorMes,2,FALSE),"")</f>
        <v/>
      </c>
      <c r="AU896">
        <f t="shared" si="190"/>
        <v>0</v>
      </c>
      <c r="AX896" t="str">
        <f>IFERROR(VLOOKUP(AW896,tbFactorMes,2,FALSE),"")</f>
        <v/>
      </c>
      <c r="AY896">
        <f t="shared" si="191"/>
        <v>0</v>
      </c>
      <c r="BB896" t="str">
        <f>IFERROR(VLOOKUP(BA896,tbFactorMes,2,FALSE),"")</f>
        <v/>
      </c>
      <c r="BC896">
        <f t="shared" si="192"/>
        <v>0</v>
      </c>
      <c r="BF896" t="str">
        <f>IFERROR(VLOOKUP(BE896,tbFactorMes,2,FALSE),"")</f>
        <v/>
      </c>
      <c r="BG896">
        <f t="shared" si="193"/>
        <v>0</v>
      </c>
      <c r="BH896">
        <f t="shared" si="194"/>
        <v>0</v>
      </c>
      <c r="BI896">
        <f t="shared" si="195"/>
        <v>0</v>
      </c>
    </row>
    <row r="897" spans="11:61" x14ac:dyDescent="0.35">
      <c r="K897" t="str">
        <f>IFERROR(VLOOKUP(F897,tbTurnos,3,FALSE),"")</f>
        <v/>
      </c>
      <c r="N897" t="str">
        <f>IFERROR(VLOOKUP(M897,tbFactorMes,2,FALSE),"")</f>
        <v/>
      </c>
      <c r="O897">
        <f t="shared" si="182"/>
        <v>0</v>
      </c>
      <c r="R897" t="str">
        <f>IFERROR(VLOOKUP(Q897,tbFactorMes,2,FALSE),"")</f>
        <v/>
      </c>
      <c r="S897">
        <f t="shared" si="183"/>
        <v>0</v>
      </c>
      <c r="V897" t="str">
        <f>IFERROR(VLOOKUP(U897,tbFactorMes,2,FALSE),"")</f>
        <v/>
      </c>
      <c r="W897">
        <f t="shared" si="184"/>
        <v>0</v>
      </c>
      <c r="Z897" t="str">
        <f>IFERROR(VLOOKUP(Y897,tbFactorMes,2,FALSE),"")</f>
        <v/>
      </c>
      <c r="AA897">
        <f t="shared" si="185"/>
        <v>0</v>
      </c>
      <c r="AD897" t="str">
        <f>IFERROR(VLOOKUP(AC897,tbFactorMes,2,FALSE),"")</f>
        <v/>
      </c>
      <c r="AE897">
        <f t="shared" si="186"/>
        <v>0</v>
      </c>
      <c r="AH897" t="str">
        <f>IFERROR(VLOOKUP(AG897,tbFactorMes,2,FALSE),"")</f>
        <v/>
      </c>
      <c r="AI897">
        <f t="shared" si="187"/>
        <v>0</v>
      </c>
      <c r="AL897" t="str">
        <f>IFERROR(VLOOKUP(AK897,tbFactorMes,2,FALSE),"")</f>
        <v/>
      </c>
      <c r="AM897">
        <f t="shared" si="188"/>
        <v>0</v>
      </c>
      <c r="AP897" t="str">
        <f>IFERROR(VLOOKUP(AO897,tbFactorMes,2,FALSE),"")</f>
        <v/>
      </c>
      <c r="AQ897">
        <f t="shared" si="189"/>
        <v>0</v>
      </c>
      <c r="AT897" t="str">
        <f>IFERROR(VLOOKUP(AS897,tbFactorMes,2,FALSE),"")</f>
        <v/>
      </c>
      <c r="AU897">
        <f t="shared" si="190"/>
        <v>0</v>
      </c>
      <c r="AX897" t="str">
        <f>IFERROR(VLOOKUP(AW897,tbFactorMes,2,FALSE),"")</f>
        <v/>
      </c>
      <c r="AY897">
        <f t="shared" si="191"/>
        <v>0</v>
      </c>
      <c r="BB897" t="str">
        <f>IFERROR(VLOOKUP(BA897,tbFactorMes,2,FALSE),"")</f>
        <v/>
      </c>
      <c r="BC897">
        <f t="shared" si="192"/>
        <v>0</v>
      </c>
      <c r="BF897" t="str">
        <f>IFERROR(VLOOKUP(BE897,tbFactorMes,2,FALSE),"")</f>
        <v/>
      </c>
      <c r="BG897">
        <f t="shared" si="193"/>
        <v>0</v>
      </c>
      <c r="BH897">
        <f t="shared" si="194"/>
        <v>0</v>
      </c>
      <c r="BI897">
        <f t="shared" si="195"/>
        <v>0</v>
      </c>
    </row>
    <row r="898" spans="11:61" x14ac:dyDescent="0.35">
      <c r="K898" t="str">
        <f>IFERROR(VLOOKUP(F898,tbTurnos,3,FALSE),"")</f>
        <v/>
      </c>
      <c r="N898" t="str">
        <f>IFERROR(VLOOKUP(M898,tbFactorMes,2,FALSE),"")</f>
        <v/>
      </c>
      <c r="O898">
        <f t="shared" ref="O898:O961" si="196">IFERROR((L898*$K898)/N898,0)*$J898</f>
        <v>0</v>
      </c>
      <c r="R898" t="str">
        <f>IFERROR(VLOOKUP(Q898,tbFactorMes,2,FALSE),"")</f>
        <v/>
      </c>
      <c r="S898">
        <f t="shared" ref="S898:S961" si="197">IFERROR((P898*$K898)/R898,0)*$J898</f>
        <v>0</v>
      </c>
      <c r="V898" t="str">
        <f>IFERROR(VLOOKUP(U898,tbFactorMes,2,FALSE),"")</f>
        <v/>
      </c>
      <c r="W898">
        <f t="shared" ref="W898:W961" si="198">IFERROR((T898*$K898)/V898,0)*$J898</f>
        <v>0</v>
      </c>
      <c r="Z898" t="str">
        <f>IFERROR(VLOOKUP(Y898,tbFactorMes,2,FALSE),"")</f>
        <v/>
      </c>
      <c r="AA898">
        <f t="shared" ref="AA898:AA961" si="199">IFERROR((X898*$K898)/Z898,0)*$J898</f>
        <v>0</v>
      </c>
      <c r="AD898" t="str">
        <f>IFERROR(VLOOKUP(AC898,tbFactorMes,2,FALSE),"")</f>
        <v/>
      </c>
      <c r="AE898">
        <f t="shared" ref="AE898:AE961" si="200">IFERROR((AB898*$K898)/AD898,0)*$J898</f>
        <v>0</v>
      </c>
      <c r="AH898" t="str">
        <f>IFERROR(VLOOKUP(AG898,tbFactorMes,2,FALSE),"")</f>
        <v/>
      </c>
      <c r="AI898">
        <f t="shared" ref="AI898:AI961" si="201">IFERROR((AF898*$K898)/AH898,0)*$J898</f>
        <v>0</v>
      </c>
      <c r="AL898" t="str">
        <f>IFERROR(VLOOKUP(AK898,tbFactorMes,2,FALSE),"")</f>
        <v/>
      </c>
      <c r="AM898">
        <f t="shared" ref="AM898:AM961" si="202">IFERROR((AJ898*$K898)/AL898,0)*$J898</f>
        <v>0</v>
      </c>
      <c r="AP898" t="str">
        <f>IFERROR(VLOOKUP(AO898,tbFactorMes,2,FALSE),"")</f>
        <v/>
      </c>
      <c r="AQ898">
        <f t="shared" ref="AQ898:AQ961" si="203">IFERROR((AN898*$K898)/AP898,0)*$J898</f>
        <v>0</v>
      </c>
      <c r="AT898" t="str">
        <f>IFERROR(VLOOKUP(AS898,tbFactorMes,2,FALSE),"")</f>
        <v/>
      </c>
      <c r="AU898">
        <f t="shared" ref="AU898:AU961" si="204">IFERROR((AR898*$K898)/AT898,0)*$J898</f>
        <v>0</v>
      </c>
      <c r="AX898" t="str">
        <f>IFERROR(VLOOKUP(AW898,tbFactorMes,2,FALSE),"")</f>
        <v/>
      </c>
      <c r="AY898">
        <f t="shared" ref="AY898:AY961" si="205">IFERROR((AV898*$K898)/AX898,0)*$J898</f>
        <v>0</v>
      </c>
      <c r="BB898" t="str">
        <f>IFERROR(VLOOKUP(BA898,tbFactorMes,2,FALSE),"")</f>
        <v/>
      </c>
      <c r="BC898">
        <f t="shared" ref="BC898:BC961" si="206">IFERROR((AZ898*$K898)/BB898,0)*$J898</f>
        <v>0</v>
      </c>
      <c r="BF898" t="str">
        <f>IFERROR(VLOOKUP(BE898,tbFactorMes,2,FALSE),"")</f>
        <v/>
      </c>
      <c r="BG898">
        <f t="shared" ref="BG898:BG961" si="207">IFERROR((BD898*$K898)/BF898,0)*$J898</f>
        <v>0</v>
      </c>
      <c r="BH898">
        <f t="shared" ref="BH898:BH961" si="208">IFERROR(SUM(O898,S898,W898,AA898,AE898,AI898,AM898,AQ898,AU898,AY898,BC898,BG898),0)</f>
        <v>0</v>
      </c>
      <c r="BI898">
        <f t="shared" ref="BI898:BI961" si="209">IFERROR(BH898*(1-$I898),0)</f>
        <v>0</v>
      </c>
    </row>
    <row r="899" spans="11:61" x14ac:dyDescent="0.35">
      <c r="K899" t="str">
        <f>IFERROR(VLOOKUP(F899,tbTurnos,3,FALSE),"")</f>
        <v/>
      </c>
      <c r="N899" t="str">
        <f>IFERROR(VLOOKUP(M899,tbFactorMes,2,FALSE),"")</f>
        <v/>
      </c>
      <c r="O899">
        <f t="shared" si="196"/>
        <v>0</v>
      </c>
      <c r="R899" t="str">
        <f>IFERROR(VLOOKUP(Q899,tbFactorMes,2,FALSE),"")</f>
        <v/>
      </c>
      <c r="S899">
        <f t="shared" si="197"/>
        <v>0</v>
      </c>
      <c r="V899" t="str">
        <f>IFERROR(VLOOKUP(U899,tbFactorMes,2,FALSE),"")</f>
        <v/>
      </c>
      <c r="W899">
        <f t="shared" si="198"/>
        <v>0</v>
      </c>
      <c r="Z899" t="str">
        <f>IFERROR(VLOOKUP(Y899,tbFactorMes,2,FALSE),"")</f>
        <v/>
      </c>
      <c r="AA899">
        <f t="shared" si="199"/>
        <v>0</v>
      </c>
      <c r="AD899" t="str">
        <f>IFERROR(VLOOKUP(AC899,tbFactorMes,2,FALSE),"")</f>
        <v/>
      </c>
      <c r="AE899">
        <f t="shared" si="200"/>
        <v>0</v>
      </c>
      <c r="AH899" t="str">
        <f>IFERROR(VLOOKUP(AG899,tbFactorMes,2,FALSE),"")</f>
        <v/>
      </c>
      <c r="AI899">
        <f t="shared" si="201"/>
        <v>0</v>
      </c>
      <c r="AL899" t="str">
        <f>IFERROR(VLOOKUP(AK899,tbFactorMes,2,FALSE),"")</f>
        <v/>
      </c>
      <c r="AM899">
        <f t="shared" si="202"/>
        <v>0</v>
      </c>
      <c r="AP899" t="str">
        <f>IFERROR(VLOOKUP(AO899,tbFactorMes,2,FALSE),"")</f>
        <v/>
      </c>
      <c r="AQ899">
        <f t="shared" si="203"/>
        <v>0</v>
      </c>
      <c r="AT899" t="str">
        <f>IFERROR(VLOOKUP(AS899,tbFactorMes,2,FALSE),"")</f>
        <v/>
      </c>
      <c r="AU899">
        <f t="shared" si="204"/>
        <v>0</v>
      </c>
      <c r="AX899" t="str">
        <f>IFERROR(VLOOKUP(AW899,tbFactorMes,2,FALSE),"")</f>
        <v/>
      </c>
      <c r="AY899">
        <f t="shared" si="205"/>
        <v>0</v>
      </c>
      <c r="BB899" t="str">
        <f>IFERROR(VLOOKUP(BA899,tbFactorMes,2,FALSE),"")</f>
        <v/>
      </c>
      <c r="BC899">
        <f t="shared" si="206"/>
        <v>0</v>
      </c>
      <c r="BF899" t="str">
        <f>IFERROR(VLOOKUP(BE899,tbFactorMes,2,FALSE),"")</f>
        <v/>
      </c>
      <c r="BG899">
        <f t="shared" si="207"/>
        <v>0</v>
      </c>
      <c r="BH899">
        <f t="shared" si="208"/>
        <v>0</v>
      </c>
      <c r="BI899">
        <f t="shared" si="209"/>
        <v>0</v>
      </c>
    </row>
    <row r="900" spans="11:61" x14ac:dyDescent="0.35">
      <c r="K900" t="str">
        <f>IFERROR(VLOOKUP(F900,tbTurnos,3,FALSE),"")</f>
        <v/>
      </c>
      <c r="N900" t="str">
        <f>IFERROR(VLOOKUP(M900,tbFactorMes,2,FALSE),"")</f>
        <v/>
      </c>
      <c r="O900">
        <f t="shared" si="196"/>
        <v>0</v>
      </c>
      <c r="R900" t="str">
        <f>IFERROR(VLOOKUP(Q900,tbFactorMes,2,FALSE),"")</f>
        <v/>
      </c>
      <c r="S900">
        <f t="shared" si="197"/>
        <v>0</v>
      </c>
      <c r="V900" t="str">
        <f>IFERROR(VLOOKUP(U900,tbFactorMes,2,FALSE),"")</f>
        <v/>
      </c>
      <c r="W900">
        <f t="shared" si="198"/>
        <v>0</v>
      </c>
      <c r="Z900" t="str">
        <f>IFERROR(VLOOKUP(Y900,tbFactorMes,2,FALSE),"")</f>
        <v/>
      </c>
      <c r="AA900">
        <f t="shared" si="199"/>
        <v>0</v>
      </c>
      <c r="AD900" t="str">
        <f>IFERROR(VLOOKUP(AC900,tbFactorMes,2,FALSE),"")</f>
        <v/>
      </c>
      <c r="AE900">
        <f t="shared" si="200"/>
        <v>0</v>
      </c>
      <c r="AH900" t="str">
        <f>IFERROR(VLOOKUP(AG900,tbFactorMes,2,FALSE),"")</f>
        <v/>
      </c>
      <c r="AI900">
        <f t="shared" si="201"/>
        <v>0</v>
      </c>
      <c r="AL900" t="str">
        <f>IFERROR(VLOOKUP(AK900,tbFactorMes,2,FALSE),"")</f>
        <v/>
      </c>
      <c r="AM900">
        <f t="shared" si="202"/>
        <v>0</v>
      </c>
      <c r="AP900" t="str">
        <f>IFERROR(VLOOKUP(AO900,tbFactorMes,2,FALSE),"")</f>
        <v/>
      </c>
      <c r="AQ900">
        <f t="shared" si="203"/>
        <v>0</v>
      </c>
      <c r="AT900" t="str">
        <f>IFERROR(VLOOKUP(AS900,tbFactorMes,2,FALSE),"")</f>
        <v/>
      </c>
      <c r="AU900">
        <f t="shared" si="204"/>
        <v>0</v>
      </c>
      <c r="AX900" t="str">
        <f>IFERROR(VLOOKUP(AW900,tbFactorMes,2,FALSE),"")</f>
        <v/>
      </c>
      <c r="AY900">
        <f t="shared" si="205"/>
        <v>0</v>
      </c>
      <c r="BB900" t="str">
        <f>IFERROR(VLOOKUP(BA900,tbFactorMes,2,FALSE),"")</f>
        <v/>
      </c>
      <c r="BC900">
        <f t="shared" si="206"/>
        <v>0</v>
      </c>
      <c r="BF900" t="str">
        <f>IFERROR(VLOOKUP(BE900,tbFactorMes,2,FALSE),"")</f>
        <v/>
      </c>
      <c r="BG900">
        <f t="shared" si="207"/>
        <v>0</v>
      </c>
      <c r="BH900">
        <f t="shared" si="208"/>
        <v>0</v>
      </c>
      <c r="BI900">
        <f t="shared" si="209"/>
        <v>0</v>
      </c>
    </row>
    <row r="901" spans="11:61" x14ac:dyDescent="0.35">
      <c r="K901" t="str">
        <f>IFERROR(VLOOKUP(F901,tbTurnos,3,FALSE),"")</f>
        <v/>
      </c>
      <c r="N901" t="str">
        <f>IFERROR(VLOOKUP(M901,tbFactorMes,2,FALSE),"")</f>
        <v/>
      </c>
      <c r="O901">
        <f t="shared" si="196"/>
        <v>0</v>
      </c>
      <c r="R901" t="str">
        <f>IFERROR(VLOOKUP(Q901,tbFactorMes,2,FALSE),"")</f>
        <v/>
      </c>
      <c r="S901">
        <f t="shared" si="197"/>
        <v>0</v>
      </c>
      <c r="V901" t="str">
        <f>IFERROR(VLOOKUP(U901,tbFactorMes,2,FALSE),"")</f>
        <v/>
      </c>
      <c r="W901">
        <f t="shared" si="198"/>
        <v>0</v>
      </c>
      <c r="Z901" t="str">
        <f>IFERROR(VLOOKUP(Y901,tbFactorMes,2,FALSE),"")</f>
        <v/>
      </c>
      <c r="AA901">
        <f t="shared" si="199"/>
        <v>0</v>
      </c>
      <c r="AD901" t="str">
        <f>IFERROR(VLOOKUP(AC901,tbFactorMes,2,FALSE),"")</f>
        <v/>
      </c>
      <c r="AE901">
        <f t="shared" si="200"/>
        <v>0</v>
      </c>
      <c r="AH901" t="str">
        <f>IFERROR(VLOOKUP(AG901,tbFactorMes,2,FALSE),"")</f>
        <v/>
      </c>
      <c r="AI901">
        <f t="shared" si="201"/>
        <v>0</v>
      </c>
      <c r="AL901" t="str">
        <f>IFERROR(VLOOKUP(AK901,tbFactorMes,2,FALSE),"")</f>
        <v/>
      </c>
      <c r="AM901">
        <f t="shared" si="202"/>
        <v>0</v>
      </c>
      <c r="AP901" t="str">
        <f>IFERROR(VLOOKUP(AO901,tbFactorMes,2,FALSE),"")</f>
        <v/>
      </c>
      <c r="AQ901">
        <f t="shared" si="203"/>
        <v>0</v>
      </c>
      <c r="AT901" t="str">
        <f>IFERROR(VLOOKUP(AS901,tbFactorMes,2,FALSE),"")</f>
        <v/>
      </c>
      <c r="AU901">
        <f t="shared" si="204"/>
        <v>0</v>
      </c>
      <c r="AX901" t="str">
        <f>IFERROR(VLOOKUP(AW901,tbFactorMes,2,FALSE),"")</f>
        <v/>
      </c>
      <c r="AY901">
        <f t="shared" si="205"/>
        <v>0</v>
      </c>
      <c r="BB901" t="str">
        <f>IFERROR(VLOOKUP(BA901,tbFactorMes,2,FALSE),"")</f>
        <v/>
      </c>
      <c r="BC901">
        <f t="shared" si="206"/>
        <v>0</v>
      </c>
      <c r="BF901" t="str">
        <f>IFERROR(VLOOKUP(BE901,tbFactorMes,2,FALSE),"")</f>
        <v/>
      </c>
      <c r="BG901">
        <f t="shared" si="207"/>
        <v>0</v>
      </c>
      <c r="BH901">
        <f t="shared" si="208"/>
        <v>0</v>
      </c>
      <c r="BI901">
        <f t="shared" si="209"/>
        <v>0</v>
      </c>
    </row>
    <row r="902" spans="11:61" x14ac:dyDescent="0.35">
      <c r="K902" t="str">
        <f>IFERROR(VLOOKUP(F902,tbTurnos,3,FALSE),"")</f>
        <v/>
      </c>
      <c r="N902" t="str">
        <f>IFERROR(VLOOKUP(M902,tbFactorMes,2,FALSE),"")</f>
        <v/>
      </c>
      <c r="O902">
        <f t="shared" si="196"/>
        <v>0</v>
      </c>
      <c r="R902" t="str">
        <f>IFERROR(VLOOKUP(Q902,tbFactorMes,2,FALSE),"")</f>
        <v/>
      </c>
      <c r="S902">
        <f t="shared" si="197"/>
        <v>0</v>
      </c>
      <c r="V902" t="str">
        <f>IFERROR(VLOOKUP(U902,tbFactorMes,2,FALSE),"")</f>
        <v/>
      </c>
      <c r="W902">
        <f t="shared" si="198"/>
        <v>0</v>
      </c>
      <c r="Z902" t="str">
        <f>IFERROR(VLOOKUP(Y902,tbFactorMes,2,FALSE),"")</f>
        <v/>
      </c>
      <c r="AA902">
        <f t="shared" si="199"/>
        <v>0</v>
      </c>
      <c r="AD902" t="str">
        <f>IFERROR(VLOOKUP(AC902,tbFactorMes,2,FALSE),"")</f>
        <v/>
      </c>
      <c r="AE902">
        <f t="shared" si="200"/>
        <v>0</v>
      </c>
      <c r="AH902" t="str">
        <f>IFERROR(VLOOKUP(AG902,tbFactorMes,2,FALSE),"")</f>
        <v/>
      </c>
      <c r="AI902">
        <f t="shared" si="201"/>
        <v>0</v>
      </c>
      <c r="AL902" t="str">
        <f>IFERROR(VLOOKUP(AK902,tbFactorMes,2,FALSE),"")</f>
        <v/>
      </c>
      <c r="AM902">
        <f t="shared" si="202"/>
        <v>0</v>
      </c>
      <c r="AP902" t="str">
        <f>IFERROR(VLOOKUP(AO902,tbFactorMes,2,FALSE),"")</f>
        <v/>
      </c>
      <c r="AQ902">
        <f t="shared" si="203"/>
        <v>0</v>
      </c>
      <c r="AT902" t="str">
        <f>IFERROR(VLOOKUP(AS902,tbFactorMes,2,FALSE),"")</f>
        <v/>
      </c>
      <c r="AU902">
        <f t="shared" si="204"/>
        <v>0</v>
      </c>
      <c r="AX902" t="str">
        <f>IFERROR(VLOOKUP(AW902,tbFactorMes,2,FALSE),"")</f>
        <v/>
      </c>
      <c r="AY902">
        <f t="shared" si="205"/>
        <v>0</v>
      </c>
      <c r="BB902" t="str">
        <f>IFERROR(VLOOKUP(BA902,tbFactorMes,2,FALSE),"")</f>
        <v/>
      </c>
      <c r="BC902">
        <f t="shared" si="206"/>
        <v>0</v>
      </c>
      <c r="BF902" t="str">
        <f>IFERROR(VLOOKUP(BE902,tbFactorMes,2,FALSE),"")</f>
        <v/>
      </c>
      <c r="BG902">
        <f t="shared" si="207"/>
        <v>0</v>
      </c>
      <c r="BH902">
        <f t="shared" si="208"/>
        <v>0</v>
      </c>
      <c r="BI902">
        <f t="shared" si="209"/>
        <v>0</v>
      </c>
    </row>
    <row r="903" spans="11:61" x14ac:dyDescent="0.35">
      <c r="K903" t="str">
        <f>IFERROR(VLOOKUP(F903,tbTurnos,3,FALSE),"")</f>
        <v/>
      </c>
      <c r="N903" t="str">
        <f>IFERROR(VLOOKUP(M903,tbFactorMes,2,FALSE),"")</f>
        <v/>
      </c>
      <c r="O903">
        <f t="shared" si="196"/>
        <v>0</v>
      </c>
      <c r="R903" t="str">
        <f>IFERROR(VLOOKUP(Q903,tbFactorMes,2,FALSE),"")</f>
        <v/>
      </c>
      <c r="S903">
        <f t="shared" si="197"/>
        <v>0</v>
      </c>
      <c r="V903" t="str">
        <f>IFERROR(VLOOKUP(U903,tbFactorMes,2,FALSE),"")</f>
        <v/>
      </c>
      <c r="W903">
        <f t="shared" si="198"/>
        <v>0</v>
      </c>
      <c r="Z903" t="str">
        <f>IFERROR(VLOOKUP(Y903,tbFactorMes,2,FALSE),"")</f>
        <v/>
      </c>
      <c r="AA903">
        <f t="shared" si="199"/>
        <v>0</v>
      </c>
      <c r="AD903" t="str">
        <f>IFERROR(VLOOKUP(AC903,tbFactorMes,2,FALSE),"")</f>
        <v/>
      </c>
      <c r="AE903">
        <f t="shared" si="200"/>
        <v>0</v>
      </c>
      <c r="AH903" t="str">
        <f>IFERROR(VLOOKUP(AG903,tbFactorMes,2,FALSE),"")</f>
        <v/>
      </c>
      <c r="AI903">
        <f t="shared" si="201"/>
        <v>0</v>
      </c>
      <c r="AL903" t="str">
        <f>IFERROR(VLOOKUP(AK903,tbFactorMes,2,FALSE),"")</f>
        <v/>
      </c>
      <c r="AM903">
        <f t="shared" si="202"/>
        <v>0</v>
      </c>
      <c r="AP903" t="str">
        <f>IFERROR(VLOOKUP(AO903,tbFactorMes,2,FALSE),"")</f>
        <v/>
      </c>
      <c r="AQ903">
        <f t="shared" si="203"/>
        <v>0</v>
      </c>
      <c r="AT903" t="str">
        <f>IFERROR(VLOOKUP(AS903,tbFactorMes,2,FALSE),"")</f>
        <v/>
      </c>
      <c r="AU903">
        <f t="shared" si="204"/>
        <v>0</v>
      </c>
      <c r="AX903" t="str">
        <f>IFERROR(VLOOKUP(AW903,tbFactorMes,2,FALSE),"")</f>
        <v/>
      </c>
      <c r="AY903">
        <f t="shared" si="205"/>
        <v>0</v>
      </c>
      <c r="BB903" t="str">
        <f>IFERROR(VLOOKUP(BA903,tbFactorMes,2,FALSE),"")</f>
        <v/>
      </c>
      <c r="BC903">
        <f t="shared" si="206"/>
        <v>0</v>
      </c>
      <c r="BF903" t="str">
        <f>IFERROR(VLOOKUP(BE903,tbFactorMes,2,FALSE),"")</f>
        <v/>
      </c>
      <c r="BG903">
        <f t="shared" si="207"/>
        <v>0</v>
      </c>
      <c r="BH903">
        <f t="shared" si="208"/>
        <v>0</v>
      </c>
      <c r="BI903">
        <f t="shared" si="209"/>
        <v>0</v>
      </c>
    </row>
    <row r="904" spans="11:61" x14ac:dyDescent="0.35">
      <c r="K904" t="str">
        <f>IFERROR(VLOOKUP(F904,tbTurnos,3,FALSE),"")</f>
        <v/>
      </c>
      <c r="N904" t="str">
        <f>IFERROR(VLOOKUP(M904,tbFactorMes,2,FALSE),"")</f>
        <v/>
      </c>
      <c r="O904">
        <f t="shared" si="196"/>
        <v>0</v>
      </c>
      <c r="R904" t="str">
        <f>IFERROR(VLOOKUP(Q904,tbFactorMes,2,FALSE),"")</f>
        <v/>
      </c>
      <c r="S904">
        <f t="shared" si="197"/>
        <v>0</v>
      </c>
      <c r="V904" t="str">
        <f>IFERROR(VLOOKUP(U904,tbFactorMes,2,FALSE),"")</f>
        <v/>
      </c>
      <c r="W904">
        <f t="shared" si="198"/>
        <v>0</v>
      </c>
      <c r="Z904" t="str">
        <f>IFERROR(VLOOKUP(Y904,tbFactorMes,2,FALSE),"")</f>
        <v/>
      </c>
      <c r="AA904">
        <f t="shared" si="199"/>
        <v>0</v>
      </c>
      <c r="AD904" t="str">
        <f>IFERROR(VLOOKUP(AC904,tbFactorMes,2,FALSE),"")</f>
        <v/>
      </c>
      <c r="AE904">
        <f t="shared" si="200"/>
        <v>0</v>
      </c>
      <c r="AH904" t="str">
        <f>IFERROR(VLOOKUP(AG904,tbFactorMes,2,FALSE),"")</f>
        <v/>
      </c>
      <c r="AI904">
        <f t="shared" si="201"/>
        <v>0</v>
      </c>
      <c r="AL904" t="str">
        <f>IFERROR(VLOOKUP(AK904,tbFactorMes,2,FALSE),"")</f>
        <v/>
      </c>
      <c r="AM904">
        <f t="shared" si="202"/>
        <v>0</v>
      </c>
      <c r="AP904" t="str">
        <f>IFERROR(VLOOKUP(AO904,tbFactorMes,2,FALSE),"")</f>
        <v/>
      </c>
      <c r="AQ904">
        <f t="shared" si="203"/>
        <v>0</v>
      </c>
      <c r="AT904" t="str">
        <f>IFERROR(VLOOKUP(AS904,tbFactorMes,2,FALSE),"")</f>
        <v/>
      </c>
      <c r="AU904">
        <f t="shared" si="204"/>
        <v>0</v>
      </c>
      <c r="AX904" t="str">
        <f>IFERROR(VLOOKUP(AW904,tbFactorMes,2,FALSE),"")</f>
        <v/>
      </c>
      <c r="AY904">
        <f t="shared" si="205"/>
        <v>0</v>
      </c>
      <c r="BB904" t="str">
        <f>IFERROR(VLOOKUP(BA904,tbFactorMes,2,FALSE),"")</f>
        <v/>
      </c>
      <c r="BC904">
        <f t="shared" si="206"/>
        <v>0</v>
      </c>
      <c r="BF904" t="str">
        <f>IFERROR(VLOOKUP(BE904,tbFactorMes,2,FALSE),"")</f>
        <v/>
      </c>
      <c r="BG904">
        <f t="shared" si="207"/>
        <v>0</v>
      </c>
      <c r="BH904">
        <f t="shared" si="208"/>
        <v>0</v>
      </c>
      <c r="BI904">
        <f t="shared" si="209"/>
        <v>0</v>
      </c>
    </row>
    <row r="905" spans="11:61" x14ac:dyDescent="0.35">
      <c r="K905" t="str">
        <f>IFERROR(VLOOKUP(F905,tbTurnos,3,FALSE),"")</f>
        <v/>
      </c>
      <c r="N905" t="str">
        <f>IFERROR(VLOOKUP(M905,tbFactorMes,2,FALSE),"")</f>
        <v/>
      </c>
      <c r="O905">
        <f t="shared" si="196"/>
        <v>0</v>
      </c>
      <c r="R905" t="str">
        <f>IFERROR(VLOOKUP(Q905,tbFactorMes,2,FALSE),"")</f>
        <v/>
      </c>
      <c r="S905">
        <f t="shared" si="197"/>
        <v>0</v>
      </c>
      <c r="V905" t="str">
        <f>IFERROR(VLOOKUP(U905,tbFactorMes,2,FALSE),"")</f>
        <v/>
      </c>
      <c r="W905">
        <f t="shared" si="198"/>
        <v>0</v>
      </c>
      <c r="Z905" t="str">
        <f>IFERROR(VLOOKUP(Y905,tbFactorMes,2,FALSE),"")</f>
        <v/>
      </c>
      <c r="AA905">
        <f t="shared" si="199"/>
        <v>0</v>
      </c>
      <c r="AD905" t="str">
        <f>IFERROR(VLOOKUP(AC905,tbFactorMes,2,FALSE),"")</f>
        <v/>
      </c>
      <c r="AE905">
        <f t="shared" si="200"/>
        <v>0</v>
      </c>
      <c r="AH905" t="str">
        <f>IFERROR(VLOOKUP(AG905,tbFactorMes,2,FALSE),"")</f>
        <v/>
      </c>
      <c r="AI905">
        <f t="shared" si="201"/>
        <v>0</v>
      </c>
      <c r="AL905" t="str">
        <f>IFERROR(VLOOKUP(AK905,tbFactorMes,2,FALSE),"")</f>
        <v/>
      </c>
      <c r="AM905">
        <f t="shared" si="202"/>
        <v>0</v>
      </c>
      <c r="AP905" t="str">
        <f>IFERROR(VLOOKUP(AO905,tbFactorMes,2,FALSE),"")</f>
        <v/>
      </c>
      <c r="AQ905">
        <f t="shared" si="203"/>
        <v>0</v>
      </c>
      <c r="AT905" t="str">
        <f>IFERROR(VLOOKUP(AS905,tbFactorMes,2,FALSE),"")</f>
        <v/>
      </c>
      <c r="AU905">
        <f t="shared" si="204"/>
        <v>0</v>
      </c>
      <c r="AX905" t="str">
        <f>IFERROR(VLOOKUP(AW905,tbFactorMes,2,FALSE),"")</f>
        <v/>
      </c>
      <c r="AY905">
        <f t="shared" si="205"/>
        <v>0</v>
      </c>
      <c r="BB905" t="str">
        <f>IFERROR(VLOOKUP(BA905,tbFactorMes,2,FALSE),"")</f>
        <v/>
      </c>
      <c r="BC905">
        <f t="shared" si="206"/>
        <v>0</v>
      </c>
      <c r="BF905" t="str">
        <f>IFERROR(VLOOKUP(BE905,tbFactorMes,2,FALSE),"")</f>
        <v/>
      </c>
      <c r="BG905">
        <f t="shared" si="207"/>
        <v>0</v>
      </c>
      <c r="BH905">
        <f t="shared" si="208"/>
        <v>0</v>
      </c>
      <c r="BI905">
        <f t="shared" si="209"/>
        <v>0</v>
      </c>
    </row>
    <row r="906" spans="11:61" x14ac:dyDescent="0.35">
      <c r="K906" t="str">
        <f>IFERROR(VLOOKUP(F906,tbTurnos,3,FALSE),"")</f>
        <v/>
      </c>
      <c r="N906" t="str">
        <f>IFERROR(VLOOKUP(M906,tbFactorMes,2,FALSE),"")</f>
        <v/>
      </c>
      <c r="O906">
        <f t="shared" si="196"/>
        <v>0</v>
      </c>
      <c r="R906" t="str">
        <f>IFERROR(VLOOKUP(Q906,tbFactorMes,2,FALSE),"")</f>
        <v/>
      </c>
      <c r="S906">
        <f t="shared" si="197"/>
        <v>0</v>
      </c>
      <c r="V906" t="str">
        <f>IFERROR(VLOOKUP(U906,tbFactorMes,2,FALSE),"")</f>
        <v/>
      </c>
      <c r="W906">
        <f t="shared" si="198"/>
        <v>0</v>
      </c>
      <c r="Z906" t="str">
        <f>IFERROR(VLOOKUP(Y906,tbFactorMes,2,FALSE),"")</f>
        <v/>
      </c>
      <c r="AA906">
        <f t="shared" si="199"/>
        <v>0</v>
      </c>
      <c r="AD906" t="str">
        <f>IFERROR(VLOOKUP(AC906,tbFactorMes,2,FALSE),"")</f>
        <v/>
      </c>
      <c r="AE906">
        <f t="shared" si="200"/>
        <v>0</v>
      </c>
      <c r="AH906" t="str">
        <f>IFERROR(VLOOKUP(AG906,tbFactorMes,2,FALSE),"")</f>
        <v/>
      </c>
      <c r="AI906">
        <f t="shared" si="201"/>
        <v>0</v>
      </c>
      <c r="AL906" t="str">
        <f>IFERROR(VLOOKUP(AK906,tbFactorMes,2,FALSE),"")</f>
        <v/>
      </c>
      <c r="AM906">
        <f t="shared" si="202"/>
        <v>0</v>
      </c>
      <c r="AP906" t="str">
        <f>IFERROR(VLOOKUP(AO906,tbFactorMes,2,FALSE),"")</f>
        <v/>
      </c>
      <c r="AQ906">
        <f t="shared" si="203"/>
        <v>0</v>
      </c>
      <c r="AT906" t="str">
        <f>IFERROR(VLOOKUP(AS906,tbFactorMes,2,FALSE),"")</f>
        <v/>
      </c>
      <c r="AU906">
        <f t="shared" si="204"/>
        <v>0</v>
      </c>
      <c r="AX906" t="str">
        <f>IFERROR(VLOOKUP(AW906,tbFactorMes,2,FALSE),"")</f>
        <v/>
      </c>
      <c r="AY906">
        <f t="shared" si="205"/>
        <v>0</v>
      </c>
      <c r="BB906" t="str">
        <f>IFERROR(VLOOKUP(BA906,tbFactorMes,2,FALSE),"")</f>
        <v/>
      </c>
      <c r="BC906">
        <f t="shared" si="206"/>
        <v>0</v>
      </c>
      <c r="BF906" t="str">
        <f>IFERROR(VLOOKUP(BE906,tbFactorMes,2,FALSE),"")</f>
        <v/>
      </c>
      <c r="BG906">
        <f t="shared" si="207"/>
        <v>0</v>
      </c>
      <c r="BH906">
        <f t="shared" si="208"/>
        <v>0</v>
      </c>
      <c r="BI906">
        <f t="shared" si="209"/>
        <v>0</v>
      </c>
    </row>
    <row r="907" spans="11:61" x14ac:dyDescent="0.35">
      <c r="K907" t="str">
        <f>IFERROR(VLOOKUP(F907,tbTurnos,3,FALSE),"")</f>
        <v/>
      </c>
      <c r="N907" t="str">
        <f>IFERROR(VLOOKUP(M907,tbFactorMes,2,FALSE),"")</f>
        <v/>
      </c>
      <c r="O907">
        <f t="shared" si="196"/>
        <v>0</v>
      </c>
      <c r="R907" t="str">
        <f>IFERROR(VLOOKUP(Q907,tbFactorMes,2,FALSE),"")</f>
        <v/>
      </c>
      <c r="S907">
        <f t="shared" si="197"/>
        <v>0</v>
      </c>
      <c r="V907" t="str">
        <f>IFERROR(VLOOKUP(U907,tbFactorMes,2,FALSE),"")</f>
        <v/>
      </c>
      <c r="W907">
        <f t="shared" si="198"/>
        <v>0</v>
      </c>
      <c r="Z907" t="str">
        <f>IFERROR(VLOOKUP(Y907,tbFactorMes,2,FALSE),"")</f>
        <v/>
      </c>
      <c r="AA907">
        <f t="shared" si="199"/>
        <v>0</v>
      </c>
      <c r="AD907" t="str">
        <f>IFERROR(VLOOKUP(AC907,tbFactorMes,2,FALSE),"")</f>
        <v/>
      </c>
      <c r="AE907">
        <f t="shared" si="200"/>
        <v>0</v>
      </c>
      <c r="AH907" t="str">
        <f>IFERROR(VLOOKUP(AG907,tbFactorMes,2,FALSE),"")</f>
        <v/>
      </c>
      <c r="AI907">
        <f t="shared" si="201"/>
        <v>0</v>
      </c>
      <c r="AL907" t="str">
        <f>IFERROR(VLOOKUP(AK907,tbFactorMes,2,FALSE),"")</f>
        <v/>
      </c>
      <c r="AM907">
        <f t="shared" si="202"/>
        <v>0</v>
      </c>
      <c r="AP907" t="str">
        <f>IFERROR(VLOOKUP(AO907,tbFactorMes,2,FALSE),"")</f>
        <v/>
      </c>
      <c r="AQ907">
        <f t="shared" si="203"/>
        <v>0</v>
      </c>
      <c r="AT907" t="str">
        <f>IFERROR(VLOOKUP(AS907,tbFactorMes,2,FALSE),"")</f>
        <v/>
      </c>
      <c r="AU907">
        <f t="shared" si="204"/>
        <v>0</v>
      </c>
      <c r="AX907" t="str">
        <f>IFERROR(VLOOKUP(AW907,tbFactorMes,2,FALSE),"")</f>
        <v/>
      </c>
      <c r="AY907">
        <f t="shared" si="205"/>
        <v>0</v>
      </c>
      <c r="BB907" t="str">
        <f>IFERROR(VLOOKUP(BA907,tbFactorMes,2,FALSE),"")</f>
        <v/>
      </c>
      <c r="BC907">
        <f t="shared" si="206"/>
        <v>0</v>
      </c>
      <c r="BF907" t="str">
        <f>IFERROR(VLOOKUP(BE907,tbFactorMes,2,FALSE),"")</f>
        <v/>
      </c>
      <c r="BG907">
        <f t="shared" si="207"/>
        <v>0</v>
      </c>
      <c r="BH907">
        <f t="shared" si="208"/>
        <v>0</v>
      </c>
      <c r="BI907">
        <f t="shared" si="209"/>
        <v>0</v>
      </c>
    </row>
    <row r="908" spans="11:61" x14ac:dyDescent="0.35">
      <c r="K908" t="str">
        <f>IFERROR(VLOOKUP(F908,tbTurnos,3,FALSE),"")</f>
        <v/>
      </c>
      <c r="N908" t="str">
        <f>IFERROR(VLOOKUP(M908,tbFactorMes,2,FALSE),"")</f>
        <v/>
      </c>
      <c r="O908">
        <f t="shared" si="196"/>
        <v>0</v>
      </c>
      <c r="R908" t="str">
        <f>IFERROR(VLOOKUP(Q908,tbFactorMes,2,FALSE),"")</f>
        <v/>
      </c>
      <c r="S908">
        <f t="shared" si="197"/>
        <v>0</v>
      </c>
      <c r="V908" t="str">
        <f>IFERROR(VLOOKUP(U908,tbFactorMes,2,FALSE),"")</f>
        <v/>
      </c>
      <c r="W908">
        <f t="shared" si="198"/>
        <v>0</v>
      </c>
      <c r="Z908" t="str">
        <f>IFERROR(VLOOKUP(Y908,tbFactorMes,2,FALSE),"")</f>
        <v/>
      </c>
      <c r="AA908">
        <f t="shared" si="199"/>
        <v>0</v>
      </c>
      <c r="AD908" t="str">
        <f>IFERROR(VLOOKUP(AC908,tbFactorMes,2,FALSE),"")</f>
        <v/>
      </c>
      <c r="AE908">
        <f t="shared" si="200"/>
        <v>0</v>
      </c>
      <c r="AH908" t="str">
        <f>IFERROR(VLOOKUP(AG908,tbFactorMes,2,FALSE),"")</f>
        <v/>
      </c>
      <c r="AI908">
        <f t="shared" si="201"/>
        <v>0</v>
      </c>
      <c r="AL908" t="str">
        <f>IFERROR(VLOOKUP(AK908,tbFactorMes,2,FALSE),"")</f>
        <v/>
      </c>
      <c r="AM908">
        <f t="shared" si="202"/>
        <v>0</v>
      </c>
      <c r="AP908" t="str">
        <f>IFERROR(VLOOKUP(AO908,tbFactorMes,2,FALSE),"")</f>
        <v/>
      </c>
      <c r="AQ908">
        <f t="shared" si="203"/>
        <v>0</v>
      </c>
      <c r="AT908" t="str">
        <f>IFERROR(VLOOKUP(AS908,tbFactorMes,2,FALSE),"")</f>
        <v/>
      </c>
      <c r="AU908">
        <f t="shared" si="204"/>
        <v>0</v>
      </c>
      <c r="AX908" t="str">
        <f>IFERROR(VLOOKUP(AW908,tbFactorMes,2,FALSE),"")</f>
        <v/>
      </c>
      <c r="AY908">
        <f t="shared" si="205"/>
        <v>0</v>
      </c>
      <c r="BB908" t="str">
        <f>IFERROR(VLOOKUP(BA908,tbFactorMes,2,FALSE),"")</f>
        <v/>
      </c>
      <c r="BC908">
        <f t="shared" si="206"/>
        <v>0</v>
      </c>
      <c r="BF908" t="str">
        <f>IFERROR(VLOOKUP(BE908,tbFactorMes,2,FALSE),"")</f>
        <v/>
      </c>
      <c r="BG908">
        <f t="shared" si="207"/>
        <v>0</v>
      </c>
      <c r="BH908">
        <f t="shared" si="208"/>
        <v>0</v>
      </c>
      <c r="BI908">
        <f t="shared" si="209"/>
        <v>0</v>
      </c>
    </row>
    <row r="909" spans="11:61" x14ac:dyDescent="0.35">
      <c r="K909" t="str">
        <f>IFERROR(VLOOKUP(F909,tbTurnos,3,FALSE),"")</f>
        <v/>
      </c>
      <c r="N909" t="str">
        <f>IFERROR(VLOOKUP(M909,tbFactorMes,2,FALSE),"")</f>
        <v/>
      </c>
      <c r="O909">
        <f t="shared" si="196"/>
        <v>0</v>
      </c>
      <c r="R909" t="str">
        <f>IFERROR(VLOOKUP(Q909,tbFactorMes,2,FALSE),"")</f>
        <v/>
      </c>
      <c r="S909">
        <f t="shared" si="197"/>
        <v>0</v>
      </c>
      <c r="V909" t="str">
        <f>IFERROR(VLOOKUP(U909,tbFactorMes,2,FALSE),"")</f>
        <v/>
      </c>
      <c r="W909">
        <f t="shared" si="198"/>
        <v>0</v>
      </c>
      <c r="Z909" t="str">
        <f>IFERROR(VLOOKUP(Y909,tbFactorMes,2,FALSE),"")</f>
        <v/>
      </c>
      <c r="AA909">
        <f t="shared" si="199"/>
        <v>0</v>
      </c>
      <c r="AD909" t="str">
        <f>IFERROR(VLOOKUP(AC909,tbFactorMes,2,FALSE),"")</f>
        <v/>
      </c>
      <c r="AE909">
        <f t="shared" si="200"/>
        <v>0</v>
      </c>
      <c r="AH909" t="str">
        <f>IFERROR(VLOOKUP(AG909,tbFactorMes,2,FALSE),"")</f>
        <v/>
      </c>
      <c r="AI909">
        <f t="shared" si="201"/>
        <v>0</v>
      </c>
      <c r="AL909" t="str">
        <f>IFERROR(VLOOKUP(AK909,tbFactorMes,2,FALSE),"")</f>
        <v/>
      </c>
      <c r="AM909">
        <f t="shared" si="202"/>
        <v>0</v>
      </c>
      <c r="AP909" t="str">
        <f>IFERROR(VLOOKUP(AO909,tbFactorMes,2,FALSE),"")</f>
        <v/>
      </c>
      <c r="AQ909">
        <f t="shared" si="203"/>
        <v>0</v>
      </c>
      <c r="AT909" t="str">
        <f>IFERROR(VLOOKUP(AS909,tbFactorMes,2,FALSE),"")</f>
        <v/>
      </c>
      <c r="AU909">
        <f t="shared" si="204"/>
        <v>0</v>
      </c>
      <c r="AX909" t="str">
        <f>IFERROR(VLOOKUP(AW909,tbFactorMes,2,FALSE),"")</f>
        <v/>
      </c>
      <c r="AY909">
        <f t="shared" si="205"/>
        <v>0</v>
      </c>
      <c r="BB909" t="str">
        <f>IFERROR(VLOOKUP(BA909,tbFactorMes,2,FALSE),"")</f>
        <v/>
      </c>
      <c r="BC909">
        <f t="shared" si="206"/>
        <v>0</v>
      </c>
      <c r="BF909" t="str">
        <f>IFERROR(VLOOKUP(BE909,tbFactorMes,2,FALSE),"")</f>
        <v/>
      </c>
      <c r="BG909">
        <f t="shared" si="207"/>
        <v>0</v>
      </c>
      <c r="BH909">
        <f t="shared" si="208"/>
        <v>0</v>
      </c>
      <c r="BI909">
        <f t="shared" si="209"/>
        <v>0</v>
      </c>
    </row>
    <row r="910" spans="11:61" x14ac:dyDescent="0.35">
      <c r="K910" t="str">
        <f>IFERROR(VLOOKUP(F910,tbTurnos,3,FALSE),"")</f>
        <v/>
      </c>
      <c r="N910" t="str">
        <f>IFERROR(VLOOKUP(M910,tbFactorMes,2,FALSE),"")</f>
        <v/>
      </c>
      <c r="O910">
        <f t="shared" si="196"/>
        <v>0</v>
      </c>
      <c r="R910" t="str">
        <f>IFERROR(VLOOKUP(Q910,tbFactorMes,2,FALSE),"")</f>
        <v/>
      </c>
      <c r="S910">
        <f t="shared" si="197"/>
        <v>0</v>
      </c>
      <c r="V910" t="str">
        <f>IFERROR(VLOOKUP(U910,tbFactorMes,2,FALSE),"")</f>
        <v/>
      </c>
      <c r="W910">
        <f t="shared" si="198"/>
        <v>0</v>
      </c>
      <c r="Z910" t="str">
        <f>IFERROR(VLOOKUP(Y910,tbFactorMes,2,FALSE),"")</f>
        <v/>
      </c>
      <c r="AA910">
        <f t="shared" si="199"/>
        <v>0</v>
      </c>
      <c r="AD910" t="str">
        <f>IFERROR(VLOOKUP(AC910,tbFactorMes,2,FALSE),"")</f>
        <v/>
      </c>
      <c r="AE910">
        <f t="shared" si="200"/>
        <v>0</v>
      </c>
      <c r="AH910" t="str">
        <f>IFERROR(VLOOKUP(AG910,tbFactorMes,2,FALSE),"")</f>
        <v/>
      </c>
      <c r="AI910">
        <f t="shared" si="201"/>
        <v>0</v>
      </c>
      <c r="AL910" t="str">
        <f>IFERROR(VLOOKUP(AK910,tbFactorMes,2,FALSE),"")</f>
        <v/>
      </c>
      <c r="AM910">
        <f t="shared" si="202"/>
        <v>0</v>
      </c>
      <c r="AP910" t="str">
        <f>IFERROR(VLOOKUP(AO910,tbFactorMes,2,FALSE),"")</f>
        <v/>
      </c>
      <c r="AQ910">
        <f t="shared" si="203"/>
        <v>0</v>
      </c>
      <c r="AT910" t="str">
        <f>IFERROR(VLOOKUP(AS910,tbFactorMes,2,FALSE),"")</f>
        <v/>
      </c>
      <c r="AU910">
        <f t="shared" si="204"/>
        <v>0</v>
      </c>
      <c r="AX910" t="str">
        <f>IFERROR(VLOOKUP(AW910,tbFactorMes,2,FALSE),"")</f>
        <v/>
      </c>
      <c r="AY910">
        <f t="shared" si="205"/>
        <v>0</v>
      </c>
      <c r="BB910" t="str">
        <f>IFERROR(VLOOKUP(BA910,tbFactorMes,2,FALSE),"")</f>
        <v/>
      </c>
      <c r="BC910">
        <f t="shared" si="206"/>
        <v>0</v>
      </c>
      <c r="BF910" t="str">
        <f>IFERROR(VLOOKUP(BE910,tbFactorMes,2,FALSE),"")</f>
        <v/>
      </c>
      <c r="BG910">
        <f t="shared" si="207"/>
        <v>0</v>
      </c>
      <c r="BH910">
        <f t="shared" si="208"/>
        <v>0</v>
      </c>
      <c r="BI910">
        <f t="shared" si="209"/>
        <v>0</v>
      </c>
    </row>
    <row r="911" spans="11:61" x14ac:dyDescent="0.35">
      <c r="K911" t="str">
        <f>IFERROR(VLOOKUP(F911,tbTurnos,3,FALSE),"")</f>
        <v/>
      </c>
      <c r="N911" t="str">
        <f>IFERROR(VLOOKUP(M911,tbFactorMes,2,FALSE),"")</f>
        <v/>
      </c>
      <c r="O911">
        <f t="shared" si="196"/>
        <v>0</v>
      </c>
      <c r="R911" t="str">
        <f>IFERROR(VLOOKUP(Q911,tbFactorMes,2,FALSE),"")</f>
        <v/>
      </c>
      <c r="S911">
        <f t="shared" si="197"/>
        <v>0</v>
      </c>
      <c r="V911" t="str">
        <f>IFERROR(VLOOKUP(U911,tbFactorMes,2,FALSE),"")</f>
        <v/>
      </c>
      <c r="W911">
        <f t="shared" si="198"/>
        <v>0</v>
      </c>
      <c r="Z911" t="str">
        <f>IFERROR(VLOOKUP(Y911,tbFactorMes,2,FALSE),"")</f>
        <v/>
      </c>
      <c r="AA911">
        <f t="shared" si="199"/>
        <v>0</v>
      </c>
      <c r="AD911" t="str">
        <f>IFERROR(VLOOKUP(AC911,tbFactorMes,2,FALSE),"")</f>
        <v/>
      </c>
      <c r="AE911">
        <f t="shared" si="200"/>
        <v>0</v>
      </c>
      <c r="AH911" t="str">
        <f>IFERROR(VLOOKUP(AG911,tbFactorMes,2,FALSE),"")</f>
        <v/>
      </c>
      <c r="AI911">
        <f t="shared" si="201"/>
        <v>0</v>
      </c>
      <c r="AL911" t="str">
        <f>IFERROR(VLOOKUP(AK911,tbFactorMes,2,FALSE),"")</f>
        <v/>
      </c>
      <c r="AM911">
        <f t="shared" si="202"/>
        <v>0</v>
      </c>
      <c r="AP911" t="str">
        <f>IFERROR(VLOOKUP(AO911,tbFactorMes,2,FALSE),"")</f>
        <v/>
      </c>
      <c r="AQ911">
        <f t="shared" si="203"/>
        <v>0</v>
      </c>
      <c r="AT911" t="str">
        <f>IFERROR(VLOOKUP(AS911,tbFactorMes,2,FALSE),"")</f>
        <v/>
      </c>
      <c r="AU911">
        <f t="shared" si="204"/>
        <v>0</v>
      </c>
      <c r="AX911" t="str">
        <f>IFERROR(VLOOKUP(AW911,tbFactorMes,2,FALSE),"")</f>
        <v/>
      </c>
      <c r="AY911">
        <f t="shared" si="205"/>
        <v>0</v>
      </c>
      <c r="BB911" t="str">
        <f>IFERROR(VLOOKUP(BA911,tbFactorMes,2,FALSE),"")</f>
        <v/>
      </c>
      <c r="BC911">
        <f t="shared" si="206"/>
        <v>0</v>
      </c>
      <c r="BF911" t="str">
        <f>IFERROR(VLOOKUP(BE911,tbFactorMes,2,FALSE),"")</f>
        <v/>
      </c>
      <c r="BG911">
        <f t="shared" si="207"/>
        <v>0</v>
      </c>
      <c r="BH911">
        <f t="shared" si="208"/>
        <v>0</v>
      </c>
      <c r="BI911">
        <f t="shared" si="209"/>
        <v>0</v>
      </c>
    </row>
    <row r="912" spans="11:61" x14ac:dyDescent="0.35">
      <c r="K912" t="str">
        <f>IFERROR(VLOOKUP(F912,tbTurnos,3,FALSE),"")</f>
        <v/>
      </c>
      <c r="N912" t="str">
        <f>IFERROR(VLOOKUP(M912,tbFactorMes,2,FALSE),"")</f>
        <v/>
      </c>
      <c r="O912">
        <f t="shared" si="196"/>
        <v>0</v>
      </c>
      <c r="R912" t="str">
        <f>IFERROR(VLOOKUP(Q912,tbFactorMes,2,FALSE),"")</f>
        <v/>
      </c>
      <c r="S912">
        <f t="shared" si="197"/>
        <v>0</v>
      </c>
      <c r="V912" t="str">
        <f>IFERROR(VLOOKUP(U912,tbFactorMes,2,FALSE),"")</f>
        <v/>
      </c>
      <c r="W912">
        <f t="shared" si="198"/>
        <v>0</v>
      </c>
      <c r="Z912" t="str">
        <f>IFERROR(VLOOKUP(Y912,tbFactorMes,2,FALSE),"")</f>
        <v/>
      </c>
      <c r="AA912">
        <f t="shared" si="199"/>
        <v>0</v>
      </c>
      <c r="AD912" t="str">
        <f>IFERROR(VLOOKUP(AC912,tbFactorMes,2,FALSE),"")</f>
        <v/>
      </c>
      <c r="AE912">
        <f t="shared" si="200"/>
        <v>0</v>
      </c>
      <c r="AH912" t="str">
        <f>IFERROR(VLOOKUP(AG912,tbFactorMes,2,FALSE),"")</f>
        <v/>
      </c>
      <c r="AI912">
        <f t="shared" si="201"/>
        <v>0</v>
      </c>
      <c r="AL912" t="str">
        <f>IFERROR(VLOOKUP(AK912,tbFactorMes,2,FALSE),"")</f>
        <v/>
      </c>
      <c r="AM912">
        <f t="shared" si="202"/>
        <v>0</v>
      </c>
      <c r="AP912" t="str">
        <f>IFERROR(VLOOKUP(AO912,tbFactorMes,2,FALSE),"")</f>
        <v/>
      </c>
      <c r="AQ912">
        <f t="shared" si="203"/>
        <v>0</v>
      </c>
      <c r="AT912" t="str">
        <f>IFERROR(VLOOKUP(AS912,tbFactorMes,2,FALSE),"")</f>
        <v/>
      </c>
      <c r="AU912">
        <f t="shared" si="204"/>
        <v>0</v>
      </c>
      <c r="AX912" t="str">
        <f>IFERROR(VLOOKUP(AW912,tbFactorMes,2,FALSE),"")</f>
        <v/>
      </c>
      <c r="AY912">
        <f t="shared" si="205"/>
        <v>0</v>
      </c>
      <c r="BB912" t="str">
        <f>IFERROR(VLOOKUP(BA912,tbFactorMes,2,FALSE),"")</f>
        <v/>
      </c>
      <c r="BC912">
        <f t="shared" si="206"/>
        <v>0</v>
      </c>
      <c r="BF912" t="str">
        <f>IFERROR(VLOOKUP(BE912,tbFactorMes,2,FALSE),"")</f>
        <v/>
      </c>
      <c r="BG912">
        <f t="shared" si="207"/>
        <v>0</v>
      </c>
      <c r="BH912">
        <f t="shared" si="208"/>
        <v>0</v>
      </c>
      <c r="BI912">
        <f t="shared" si="209"/>
        <v>0</v>
      </c>
    </row>
    <row r="913" spans="11:61" x14ac:dyDescent="0.35">
      <c r="K913" t="str">
        <f>IFERROR(VLOOKUP(F913,tbTurnos,3,FALSE),"")</f>
        <v/>
      </c>
      <c r="N913" t="str">
        <f>IFERROR(VLOOKUP(M913,tbFactorMes,2,FALSE),"")</f>
        <v/>
      </c>
      <c r="O913">
        <f t="shared" si="196"/>
        <v>0</v>
      </c>
      <c r="R913" t="str">
        <f>IFERROR(VLOOKUP(Q913,tbFactorMes,2,FALSE),"")</f>
        <v/>
      </c>
      <c r="S913">
        <f t="shared" si="197"/>
        <v>0</v>
      </c>
      <c r="V913" t="str">
        <f>IFERROR(VLOOKUP(U913,tbFactorMes,2,FALSE),"")</f>
        <v/>
      </c>
      <c r="W913">
        <f t="shared" si="198"/>
        <v>0</v>
      </c>
      <c r="Z913" t="str">
        <f>IFERROR(VLOOKUP(Y913,tbFactorMes,2,FALSE),"")</f>
        <v/>
      </c>
      <c r="AA913">
        <f t="shared" si="199"/>
        <v>0</v>
      </c>
      <c r="AD913" t="str">
        <f>IFERROR(VLOOKUP(AC913,tbFactorMes,2,FALSE),"")</f>
        <v/>
      </c>
      <c r="AE913">
        <f t="shared" si="200"/>
        <v>0</v>
      </c>
      <c r="AH913" t="str">
        <f>IFERROR(VLOOKUP(AG913,tbFactorMes,2,FALSE),"")</f>
        <v/>
      </c>
      <c r="AI913">
        <f t="shared" si="201"/>
        <v>0</v>
      </c>
      <c r="AL913" t="str">
        <f>IFERROR(VLOOKUP(AK913,tbFactorMes,2,FALSE),"")</f>
        <v/>
      </c>
      <c r="AM913">
        <f t="shared" si="202"/>
        <v>0</v>
      </c>
      <c r="AP913" t="str">
        <f>IFERROR(VLOOKUP(AO913,tbFactorMes,2,FALSE),"")</f>
        <v/>
      </c>
      <c r="AQ913">
        <f t="shared" si="203"/>
        <v>0</v>
      </c>
      <c r="AT913" t="str">
        <f>IFERROR(VLOOKUP(AS913,tbFactorMes,2,FALSE),"")</f>
        <v/>
      </c>
      <c r="AU913">
        <f t="shared" si="204"/>
        <v>0</v>
      </c>
      <c r="AX913" t="str">
        <f>IFERROR(VLOOKUP(AW913,tbFactorMes,2,FALSE),"")</f>
        <v/>
      </c>
      <c r="AY913">
        <f t="shared" si="205"/>
        <v>0</v>
      </c>
      <c r="BB913" t="str">
        <f>IFERROR(VLOOKUP(BA913,tbFactorMes,2,FALSE),"")</f>
        <v/>
      </c>
      <c r="BC913">
        <f t="shared" si="206"/>
        <v>0</v>
      </c>
      <c r="BF913" t="str">
        <f>IFERROR(VLOOKUP(BE913,tbFactorMes,2,FALSE),"")</f>
        <v/>
      </c>
      <c r="BG913">
        <f t="shared" si="207"/>
        <v>0</v>
      </c>
      <c r="BH913">
        <f t="shared" si="208"/>
        <v>0</v>
      </c>
      <c r="BI913">
        <f t="shared" si="209"/>
        <v>0</v>
      </c>
    </row>
    <row r="914" spans="11:61" x14ac:dyDescent="0.35">
      <c r="K914" t="str">
        <f>IFERROR(VLOOKUP(F914,tbTurnos,3,FALSE),"")</f>
        <v/>
      </c>
      <c r="N914" t="str">
        <f>IFERROR(VLOOKUP(M914,tbFactorMes,2,FALSE),"")</f>
        <v/>
      </c>
      <c r="O914">
        <f t="shared" si="196"/>
        <v>0</v>
      </c>
      <c r="R914" t="str">
        <f>IFERROR(VLOOKUP(Q914,tbFactorMes,2,FALSE),"")</f>
        <v/>
      </c>
      <c r="S914">
        <f t="shared" si="197"/>
        <v>0</v>
      </c>
      <c r="V914" t="str">
        <f>IFERROR(VLOOKUP(U914,tbFactorMes,2,FALSE),"")</f>
        <v/>
      </c>
      <c r="W914">
        <f t="shared" si="198"/>
        <v>0</v>
      </c>
      <c r="Z914" t="str">
        <f>IFERROR(VLOOKUP(Y914,tbFactorMes,2,FALSE),"")</f>
        <v/>
      </c>
      <c r="AA914">
        <f t="shared" si="199"/>
        <v>0</v>
      </c>
      <c r="AD914" t="str">
        <f>IFERROR(VLOOKUP(AC914,tbFactorMes,2,FALSE),"")</f>
        <v/>
      </c>
      <c r="AE914">
        <f t="shared" si="200"/>
        <v>0</v>
      </c>
      <c r="AH914" t="str">
        <f>IFERROR(VLOOKUP(AG914,tbFactorMes,2,FALSE),"")</f>
        <v/>
      </c>
      <c r="AI914">
        <f t="shared" si="201"/>
        <v>0</v>
      </c>
      <c r="AL914" t="str">
        <f>IFERROR(VLOOKUP(AK914,tbFactorMes,2,FALSE),"")</f>
        <v/>
      </c>
      <c r="AM914">
        <f t="shared" si="202"/>
        <v>0</v>
      </c>
      <c r="AP914" t="str">
        <f>IFERROR(VLOOKUP(AO914,tbFactorMes,2,FALSE),"")</f>
        <v/>
      </c>
      <c r="AQ914">
        <f t="shared" si="203"/>
        <v>0</v>
      </c>
      <c r="AT914" t="str">
        <f>IFERROR(VLOOKUP(AS914,tbFactorMes,2,FALSE),"")</f>
        <v/>
      </c>
      <c r="AU914">
        <f t="shared" si="204"/>
        <v>0</v>
      </c>
      <c r="AX914" t="str">
        <f>IFERROR(VLOOKUP(AW914,tbFactorMes,2,FALSE),"")</f>
        <v/>
      </c>
      <c r="AY914">
        <f t="shared" si="205"/>
        <v>0</v>
      </c>
      <c r="BB914" t="str">
        <f>IFERROR(VLOOKUP(BA914,tbFactorMes,2,FALSE),"")</f>
        <v/>
      </c>
      <c r="BC914">
        <f t="shared" si="206"/>
        <v>0</v>
      </c>
      <c r="BF914" t="str">
        <f>IFERROR(VLOOKUP(BE914,tbFactorMes,2,FALSE),"")</f>
        <v/>
      </c>
      <c r="BG914">
        <f t="shared" si="207"/>
        <v>0</v>
      </c>
      <c r="BH914">
        <f t="shared" si="208"/>
        <v>0</v>
      </c>
      <c r="BI914">
        <f t="shared" si="209"/>
        <v>0</v>
      </c>
    </row>
    <row r="915" spans="11:61" x14ac:dyDescent="0.35">
      <c r="K915" t="str">
        <f>IFERROR(VLOOKUP(F915,tbTurnos,3,FALSE),"")</f>
        <v/>
      </c>
      <c r="N915" t="str">
        <f>IFERROR(VLOOKUP(M915,tbFactorMes,2,FALSE),"")</f>
        <v/>
      </c>
      <c r="O915">
        <f t="shared" si="196"/>
        <v>0</v>
      </c>
      <c r="R915" t="str">
        <f>IFERROR(VLOOKUP(Q915,tbFactorMes,2,FALSE),"")</f>
        <v/>
      </c>
      <c r="S915">
        <f t="shared" si="197"/>
        <v>0</v>
      </c>
      <c r="V915" t="str">
        <f>IFERROR(VLOOKUP(U915,tbFactorMes,2,FALSE),"")</f>
        <v/>
      </c>
      <c r="W915">
        <f t="shared" si="198"/>
        <v>0</v>
      </c>
      <c r="Z915" t="str">
        <f>IFERROR(VLOOKUP(Y915,tbFactorMes,2,FALSE),"")</f>
        <v/>
      </c>
      <c r="AA915">
        <f t="shared" si="199"/>
        <v>0</v>
      </c>
      <c r="AD915" t="str">
        <f>IFERROR(VLOOKUP(AC915,tbFactorMes,2,FALSE),"")</f>
        <v/>
      </c>
      <c r="AE915">
        <f t="shared" si="200"/>
        <v>0</v>
      </c>
      <c r="AH915" t="str">
        <f>IFERROR(VLOOKUP(AG915,tbFactorMes,2,FALSE),"")</f>
        <v/>
      </c>
      <c r="AI915">
        <f t="shared" si="201"/>
        <v>0</v>
      </c>
      <c r="AL915" t="str">
        <f>IFERROR(VLOOKUP(AK915,tbFactorMes,2,FALSE),"")</f>
        <v/>
      </c>
      <c r="AM915">
        <f t="shared" si="202"/>
        <v>0</v>
      </c>
      <c r="AP915" t="str">
        <f>IFERROR(VLOOKUP(AO915,tbFactorMes,2,FALSE),"")</f>
        <v/>
      </c>
      <c r="AQ915">
        <f t="shared" si="203"/>
        <v>0</v>
      </c>
      <c r="AT915" t="str">
        <f>IFERROR(VLOOKUP(AS915,tbFactorMes,2,FALSE),"")</f>
        <v/>
      </c>
      <c r="AU915">
        <f t="shared" si="204"/>
        <v>0</v>
      </c>
      <c r="AX915" t="str">
        <f>IFERROR(VLOOKUP(AW915,tbFactorMes,2,FALSE),"")</f>
        <v/>
      </c>
      <c r="AY915">
        <f t="shared" si="205"/>
        <v>0</v>
      </c>
      <c r="BB915" t="str">
        <f>IFERROR(VLOOKUP(BA915,tbFactorMes,2,FALSE),"")</f>
        <v/>
      </c>
      <c r="BC915">
        <f t="shared" si="206"/>
        <v>0</v>
      </c>
      <c r="BF915" t="str">
        <f>IFERROR(VLOOKUP(BE915,tbFactorMes,2,FALSE),"")</f>
        <v/>
      </c>
      <c r="BG915">
        <f t="shared" si="207"/>
        <v>0</v>
      </c>
      <c r="BH915">
        <f t="shared" si="208"/>
        <v>0</v>
      </c>
      <c r="BI915">
        <f t="shared" si="209"/>
        <v>0</v>
      </c>
    </row>
    <row r="916" spans="11:61" x14ac:dyDescent="0.35">
      <c r="K916" t="str">
        <f>IFERROR(VLOOKUP(F916,tbTurnos,3,FALSE),"")</f>
        <v/>
      </c>
      <c r="N916" t="str">
        <f>IFERROR(VLOOKUP(M916,tbFactorMes,2,FALSE),"")</f>
        <v/>
      </c>
      <c r="O916">
        <f t="shared" si="196"/>
        <v>0</v>
      </c>
      <c r="R916" t="str">
        <f>IFERROR(VLOOKUP(Q916,tbFactorMes,2,FALSE),"")</f>
        <v/>
      </c>
      <c r="S916">
        <f t="shared" si="197"/>
        <v>0</v>
      </c>
      <c r="V916" t="str">
        <f>IFERROR(VLOOKUP(U916,tbFactorMes,2,FALSE),"")</f>
        <v/>
      </c>
      <c r="W916">
        <f t="shared" si="198"/>
        <v>0</v>
      </c>
      <c r="Z916" t="str">
        <f>IFERROR(VLOOKUP(Y916,tbFactorMes,2,FALSE),"")</f>
        <v/>
      </c>
      <c r="AA916">
        <f t="shared" si="199"/>
        <v>0</v>
      </c>
      <c r="AD916" t="str">
        <f>IFERROR(VLOOKUP(AC916,tbFactorMes,2,FALSE),"")</f>
        <v/>
      </c>
      <c r="AE916">
        <f t="shared" si="200"/>
        <v>0</v>
      </c>
      <c r="AH916" t="str">
        <f>IFERROR(VLOOKUP(AG916,tbFactorMes,2,FALSE),"")</f>
        <v/>
      </c>
      <c r="AI916">
        <f t="shared" si="201"/>
        <v>0</v>
      </c>
      <c r="AL916" t="str">
        <f>IFERROR(VLOOKUP(AK916,tbFactorMes,2,FALSE),"")</f>
        <v/>
      </c>
      <c r="AM916">
        <f t="shared" si="202"/>
        <v>0</v>
      </c>
      <c r="AP916" t="str">
        <f>IFERROR(VLOOKUP(AO916,tbFactorMes,2,FALSE),"")</f>
        <v/>
      </c>
      <c r="AQ916">
        <f t="shared" si="203"/>
        <v>0</v>
      </c>
      <c r="AT916" t="str">
        <f>IFERROR(VLOOKUP(AS916,tbFactorMes,2,FALSE),"")</f>
        <v/>
      </c>
      <c r="AU916">
        <f t="shared" si="204"/>
        <v>0</v>
      </c>
      <c r="AX916" t="str">
        <f>IFERROR(VLOOKUP(AW916,tbFactorMes,2,FALSE),"")</f>
        <v/>
      </c>
      <c r="AY916">
        <f t="shared" si="205"/>
        <v>0</v>
      </c>
      <c r="BB916" t="str">
        <f>IFERROR(VLOOKUP(BA916,tbFactorMes,2,FALSE),"")</f>
        <v/>
      </c>
      <c r="BC916">
        <f t="shared" si="206"/>
        <v>0</v>
      </c>
      <c r="BF916" t="str">
        <f>IFERROR(VLOOKUP(BE916,tbFactorMes,2,FALSE),"")</f>
        <v/>
      </c>
      <c r="BG916">
        <f t="shared" si="207"/>
        <v>0</v>
      </c>
      <c r="BH916">
        <f t="shared" si="208"/>
        <v>0</v>
      </c>
      <c r="BI916">
        <f t="shared" si="209"/>
        <v>0</v>
      </c>
    </row>
    <row r="917" spans="11:61" x14ac:dyDescent="0.35">
      <c r="K917" t="str">
        <f>IFERROR(VLOOKUP(F917,tbTurnos,3,FALSE),"")</f>
        <v/>
      </c>
      <c r="N917" t="str">
        <f>IFERROR(VLOOKUP(M917,tbFactorMes,2,FALSE),"")</f>
        <v/>
      </c>
      <c r="O917">
        <f t="shared" si="196"/>
        <v>0</v>
      </c>
      <c r="R917" t="str">
        <f>IFERROR(VLOOKUP(Q917,tbFactorMes,2,FALSE),"")</f>
        <v/>
      </c>
      <c r="S917">
        <f t="shared" si="197"/>
        <v>0</v>
      </c>
      <c r="V917" t="str">
        <f>IFERROR(VLOOKUP(U917,tbFactorMes,2,FALSE),"")</f>
        <v/>
      </c>
      <c r="W917">
        <f t="shared" si="198"/>
        <v>0</v>
      </c>
      <c r="Z917" t="str">
        <f>IFERROR(VLOOKUP(Y917,tbFactorMes,2,FALSE),"")</f>
        <v/>
      </c>
      <c r="AA917">
        <f t="shared" si="199"/>
        <v>0</v>
      </c>
      <c r="AD917" t="str">
        <f>IFERROR(VLOOKUP(AC917,tbFactorMes,2,FALSE),"")</f>
        <v/>
      </c>
      <c r="AE917">
        <f t="shared" si="200"/>
        <v>0</v>
      </c>
      <c r="AH917" t="str">
        <f>IFERROR(VLOOKUP(AG917,tbFactorMes,2,FALSE),"")</f>
        <v/>
      </c>
      <c r="AI917">
        <f t="shared" si="201"/>
        <v>0</v>
      </c>
      <c r="AL917" t="str">
        <f>IFERROR(VLOOKUP(AK917,tbFactorMes,2,FALSE),"")</f>
        <v/>
      </c>
      <c r="AM917">
        <f t="shared" si="202"/>
        <v>0</v>
      </c>
      <c r="AP917" t="str">
        <f>IFERROR(VLOOKUP(AO917,tbFactorMes,2,FALSE),"")</f>
        <v/>
      </c>
      <c r="AQ917">
        <f t="shared" si="203"/>
        <v>0</v>
      </c>
      <c r="AT917" t="str">
        <f>IFERROR(VLOOKUP(AS917,tbFactorMes,2,FALSE),"")</f>
        <v/>
      </c>
      <c r="AU917">
        <f t="shared" si="204"/>
        <v>0</v>
      </c>
      <c r="AX917" t="str">
        <f>IFERROR(VLOOKUP(AW917,tbFactorMes,2,FALSE),"")</f>
        <v/>
      </c>
      <c r="AY917">
        <f t="shared" si="205"/>
        <v>0</v>
      </c>
      <c r="BB917" t="str">
        <f>IFERROR(VLOOKUP(BA917,tbFactorMes,2,FALSE),"")</f>
        <v/>
      </c>
      <c r="BC917">
        <f t="shared" si="206"/>
        <v>0</v>
      </c>
      <c r="BF917" t="str">
        <f>IFERROR(VLOOKUP(BE917,tbFactorMes,2,FALSE),"")</f>
        <v/>
      </c>
      <c r="BG917">
        <f t="shared" si="207"/>
        <v>0</v>
      </c>
      <c r="BH917">
        <f t="shared" si="208"/>
        <v>0</v>
      </c>
      <c r="BI917">
        <f t="shared" si="209"/>
        <v>0</v>
      </c>
    </row>
    <row r="918" spans="11:61" x14ac:dyDescent="0.35">
      <c r="K918" t="str">
        <f>IFERROR(VLOOKUP(F918,tbTurnos,3,FALSE),"")</f>
        <v/>
      </c>
      <c r="N918" t="str">
        <f>IFERROR(VLOOKUP(M918,tbFactorMes,2,FALSE),"")</f>
        <v/>
      </c>
      <c r="O918">
        <f t="shared" si="196"/>
        <v>0</v>
      </c>
      <c r="R918" t="str">
        <f>IFERROR(VLOOKUP(Q918,tbFactorMes,2,FALSE),"")</f>
        <v/>
      </c>
      <c r="S918">
        <f t="shared" si="197"/>
        <v>0</v>
      </c>
      <c r="V918" t="str">
        <f>IFERROR(VLOOKUP(U918,tbFactorMes,2,FALSE),"")</f>
        <v/>
      </c>
      <c r="W918">
        <f t="shared" si="198"/>
        <v>0</v>
      </c>
      <c r="Z918" t="str">
        <f>IFERROR(VLOOKUP(Y918,tbFactorMes,2,FALSE),"")</f>
        <v/>
      </c>
      <c r="AA918">
        <f t="shared" si="199"/>
        <v>0</v>
      </c>
      <c r="AD918" t="str">
        <f>IFERROR(VLOOKUP(AC918,tbFactorMes,2,FALSE),"")</f>
        <v/>
      </c>
      <c r="AE918">
        <f t="shared" si="200"/>
        <v>0</v>
      </c>
      <c r="AH918" t="str">
        <f>IFERROR(VLOOKUP(AG918,tbFactorMes,2,FALSE),"")</f>
        <v/>
      </c>
      <c r="AI918">
        <f t="shared" si="201"/>
        <v>0</v>
      </c>
      <c r="AL918" t="str">
        <f>IFERROR(VLOOKUP(AK918,tbFactorMes,2,FALSE),"")</f>
        <v/>
      </c>
      <c r="AM918">
        <f t="shared" si="202"/>
        <v>0</v>
      </c>
      <c r="AP918" t="str">
        <f>IFERROR(VLOOKUP(AO918,tbFactorMes,2,FALSE),"")</f>
        <v/>
      </c>
      <c r="AQ918">
        <f t="shared" si="203"/>
        <v>0</v>
      </c>
      <c r="AT918" t="str">
        <f>IFERROR(VLOOKUP(AS918,tbFactorMes,2,FALSE),"")</f>
        <v/>
      </c>
      <c r="AU918">
        <f t="shared" si="204"/>
        <v>0</v>
      </c>
      <c r="AX918" t="str">
        <f>IFERROR(VLOOKUP(AW918,tbFactorMes,2,FALSE),"")</f>
        <v/>
      </c>
      <c r="AY918">
        <f t="shared" si="205"/>
        <v>0</v>
      </c>
      <c r="BB918" t="str">
        <f>IFERROR(VLOOKUP(BA918,tbFactorMes,2,FALSE),"")</f>
        <v/>
      </c>
      <c r="BC918">
        <f t="shared" si="206"/>
        <v>0</v>
      </c>
      <c r="BF918" t="str">
        <f>IFERROR(VLOOKUP(BE918,tbFactorMes,2,FALSE),"")</f>
        <v/>
      </c>
      <c r="BG918">
        <f t="shared" si="207"/>
        <v>0</v>
      </c>
      <c r="BH918">
        <f t="shared" si="208"/>
        <v>0</v>
      </c>
      <c r="BI918">
        <f t="shared" si="209"/>
        <v>0</v>
      </c>
    </row>
    <row r="919" spans="11:61" x14ac:dyDescent="0.35">
      <c r="K919" t="str">
        <f>IFERROR(VLOOKUP(F919,tbTurnos,3,FALSE),"")</f>
        <v/>
      </c>
      <c r="N919" t="str">
        <f>IFERROR(VLOOKUP(M919,tbFactorMes,2,FALSE),"")</f>
        <v/>
      </c>
      <c r="O919">
        <f t="shared" si="196"/>
        <v>0</v>
      </c>
      <c r="R919" t="str">
        <f>IFERROR(VLOOKUP(Q919,tbFactorMes,2,FALSE),"")</f>
        <v/>
      </c>
      <c r="S919">
        <f t="shared" si="197"/>
        <v>0</v>
      </c>
      <c r="V919" t="str">
        <f>IFERROR(VLOOKUP(U919,tbFactorMes,2,FALSE),"")</f>
        <v/>
      </c>
      <c r="W919">
        <f t="shared" si="198"/>
        <v>0</v>
      </c>
      <c r="Z919" t="str">
        <f>IFERROR(VLOOKUP(Y919,tbFactorMes,2,FALSE),"")</f>
        <v/>
      </c>
      <c r="AA919">
        <f t="shared" si="199"/>
        <v>0</v>
      </c>
      <c r="AD919" t="str">
        <f>IFERROR(VLOOKUP(AC919,tbFactorMes,2,FALSE),"")</f>
        <v/>
      </c>
      <c r="AE919">
        <f t="shared" si="200"/>
        <v>0</v>
      </c>
      <c r="AH919" t="str">
        <f>IFERROR(VLOOKUP(AG919,tbFactorMes,2,FALSE),"")</f>
        <v/>
      </c>
      <c r="AI919">
        <f t="shared" si="201"/>
        <v>0</v>
      </c>
      <c r="AL919" t="str">
        <f>IFERROR(VLOOKUP(AK919,tbFactorMes,2,FALSE),"")</f>
        <v/>
      </c>
      <c r="AM919">
        <f t="shared" si="202"/>
        <v>0</v>
      </c>
      <c r="AP919" t="str">
        <f>IFERROR(VLOOKUP(AO919,tbFactorMes,2,FALSE),"")</f>
        <v/>
      </c>
      <c r="AQ919">
        <f t="shared" si="203"/>
        <v>0</v>
      </c>
      <c r="AT919" t="str">
        <f>IFERROR(VLOOKUP(AS919,tbFactorMes,2,FALSE),"")</f>
        <v/>
      </c>
      <c r="AU919">
        <f t="shared" si="204"/>
        <v>0</v>
      </c>
      <c r="AX919" t="str">
        <f>IFERROR(VLOOKUP(AW919,tbFactorMes,2,FALSE),"")</f>
        <v/>
      </c>
      <c r="AY919">
        <f t="shared" si="205"/>
        <v>0</v>
      </c>
      <c r="BB919" t="str">
        <f>IFERROR(VLOOKUP(BA919,tbFactorMes,2,FALSE),"")</f>
        <v/>
      </c>
      <c r="BC919">
        <f t="shared" si="206"/>
        <v>0</v>
      </c>
      <c r="BF919" t="str">
        <f>IFERROR(VLOOKUP(BE919,tbFactorMes,2,FALSE),"")</f>
        <v/>
      </c>
      <c r="BG919">
        <f t="shared" si="207"/>
        <v>0</v>
      </c>
      <c r="BH919">
        <f t="shared" si="208"/>
        <v>0</v>
      </c>
      <c r="BI919">
        <f t="shared" si="209"/>
        <v>0</v>
      </c>
    </row>
    <row r="920" spans="11:61" x14ac:dyDescent="0.35">
      <c r="K920" t="str">
        <f>IFERROR(VLOOKUP(F920,tbTurnos,3,FALSE),"")</f>
        <v/>
      </c>
      <c r="N920" t="str">
        <f>IFERROR(VLOOKUP(M920,tbFactorMes,2,FALSE),"")</f>
        <v/>
      </c>
      <c r="O920">
        <f t="shared" si="196"/>
        <v>0</v>
      </c>
      <c r="R920" t="str">
        <f>IFERROR(VLOOKUP(Q920,tbFactorMes,2,FALSE),"")</f>
        <v/>
      </c>
      <c r="S920">
        <f t="shared" si="197"/>
        <v>0</v>
      </c>
      <c r="V920" t="str">
        <f>IFERROR(VLOOKUP(U920,tbFactorMes,2,FALSE),"")</f>
        <v/>
      </c>
      <c r="W920">
        <f t="shared" si="198"/>
        <v>0</v>
      </c>
      <c r="Z920" t="str">
        <f>IFERROR(VLOOKUP(Y920,tbFactorMes,2,FALSE),"")</f>
        <v/>
      </c>
      <c r="AA920">
        <f t="shared" si="199"/>
        <v>0</v>
      </c>
      <c r="AD920" t="str">
        <f>IFERROR(VLOOKUP(AC920,tbFactorMes,2,FALSE),"")</f>
        <v/>
      </c>
      <c r="AE920">
        <f t="shared" si="200"/>
        <v>0</v>
      </c>
      <c r="AH920" t="str">
        <f>IFERROR(VLOOKUP(AG920,tbFactorMes,2,FALSE),"")</f>
        <v/>
      </c>
      <c r="AI920">
        <f t="shared" si="201"/>
        <v>0</v>
      </c>
      <c r="AL920" t="str">
        <f>IFERROR(VLOOKUP(AK920,tbFactorMes,2,FALSE),"")</f>
        <v/>
      </c>
      <c r="AM920">
        <f t="shared" si="202"/>
        <v>0</v>
      </c>
      <c r="AP920" t="str">
        <f>IFERROR(VLOOKUP(AO920,tbFactorMes,2,FALSE),"")</f>
        <v/>
      </c>
      <c r="AQ920">
        <f t="shared" si="203"/>
        <v>0</v>
      </c>
      <c r="AT920" t="str">
        <f>IFERROR(VLOOKUP(AS920,tbFactorMes,2,FALSE),"")</f>
        <v/>
      </c>
      <c r="AU920">
        <f t="shared" si="204"/>
        <v>0</v>
      </c>
      <c r="AX920" t="str">
        <f>IFERROR(VLOOKUP(AW920,tbFactorMes,2,FALSE),"")</f>
        <v/>
      </c>
      <c r="AY920">
        <f t="shared" si="205"/>
        <v>0</v>
      </c>
      <c r="BB920" t="str">
        <f>IFERROR(VLOOKUP(BA920,tbFactorMes,2,FALSE),"")</f>
        <v/>
      </c>
      <c r="BC920">
        <f t="shared" si="206"/>
        <v>0</v>
      </c>
      <c r="BF920" t="str">
        <f>IFERROR(VLOOKUP(BE920,tbFactorMes,2,FALSE),"")</f>
        <v/>
      </c>
      <c r="BG920">
        <f t="shared" si="207"/>
        <v>0</v>
      </c>
      <c r="BH920">
        <f t="shared" si="208"/>
        <v>0</v>
      </c>
      <c r="BI920">
        <f t="shared" si="209"/>
        <v>0</v>
      </c>
    </row>
    <row r="921" spans="11:61" x14ac:dyDescent="0.35">
      <c r="K921" t="str">
        <f>IFERROR(VLOOKUP(F921,tbTurnos,3,FALSE),"")</f>
        <v/>
      </c>
      <c r="N921" t="str">
        <f>IFERROR(VLOOKUP(M921,tbFactorMes,2,FALSE),"")</f>
        <v/>
      </c>
      <c r="O921">
        <f t="shared" si="196"/>
        <v>0</v>
      </c>
      <c r="R921" t="str">
        <f>IFERROR(VLOOKUP(Q921,tbFactorMes,2,FALSE),"")</f>
        <v/>
      </c>
      <c r="S921">
        <f t="shared" si="197"/>
        <v>0</v>
      </c>
      <c r="V921" t="str">
        <f>IFERROR(VLOOKUP(U921,tbFactorMes,2,FALSE),"")</f>
        <v/>
      </c>
      <c r="W921">
        <f t="shared" si="198"/>
        <v>0</v>
      </c>
      <c r="Z921" t="str">
        <f>IFERROR(VLOOKUP(Y921,tbFactorMes,2,FALSE),"")</f>
        <v/>
      </c>
      <c r="AA921">
        <f t="shared" si="199"/>
        <v>0</v>
      </c>
      <c r="AD921" t="str">
        <f>IFERROR(VLOOKUP(AC921,tbFactorMes,2,FALSE),"")</f>
        <v/>
      </c>
      <c r="AE921">
        <f t="shared" si="200"/>
        <v>0</v>
      </c>
      <c r="AH921" t="str">
        <f>IFERROR(VLOOKUP(AG921,tbFactorMes,2,FALSE),"")</f>
        <v/>
      </c>
      <c r="AI921">
        <f t="shared" si="201"/>
        <v>0</v>
      </c>
      <c r="AL921" t="str">
        <f>IFERROR(VLOOKUP(AK921,tbFactorMes,2,FALSE),"")</f>
        <v/>
      </c>
      <c r="AM921">
        <f t="shared" si="202"/>
        <v>0</v>
      </c>
      <c r="AP921" t="str">
        <f>IFERROR(VLOOKUP(AO921,tbFactorMes,2,FALSE),"")</f>
        <v/>
      </c>
      <c r="AQ921">
        <f t="shared" si="203"/>
        <v>0</v>
      </c>
      <c r="AT921" t="str">
        <f>IFERROR(VLOOKUP(AS921,tbFactorMes,2,FALSE),"")</f>
        <v/>
      </c>
      <c r="AU921">
        <f t="shared" si="204"/>
        <v>0</v>
      </c>
      <c r="AX921" t="str">
        <f>IFERROR(VLOOKUP(AW921,tbFactorMes,2,FALSE),"")</f>
        <v/>
      </c>
      <c r="AY921">
        <f t="shared" si="205"/>
        <v>0</v>
      </c>
      <c r="BB921" t="str">
        <f>IFERROR(VLOOKUP(BA921,tbFactorMes,2,FALSE),"")</f>
        <v/>
      </c>
      <c r="BC921">
        <f t="shared" si="206"/>
        <v>0</v>
      </c>
      <c r="BF921" t="str">
        <f>IFERROR(VLOOKUP(BE921,tbFactorMes,2,FALSE),"")</f>
        <v/>
      </c>
      <c r="BG921">
        <f t="shared" si="207"/>
        <v>0</v>
      </c>
      <c r="BH921">
        <f t="shared" si="208"/>
        <v>0</v>
      </c>
      <c r="BI921">
        <f t="shared" si="209"/>
        <v>0</v>
      </c>
    </row>
    <row r="922" spans="11:61" x14ac:dyDescent="0.35">
      <c r="K922" t="str">
        <f>IFERROR(VLOOKUP(F922,tbTurnos,3,FALSE),"")</f>
        <v/>
      </c>
      <c r="N922" t="str">
        <f>IFERROR(VLOOKUP(M922,tbFactorMes,2,FALSE),"")</f>
        <v/>
      </c>
      <c r="O922">
        <f t="shared" si="196"/>
        <v>0</v>
      </c>
      <c r="R922" t="str">
        <f>IFERROR(VLOOKUP(Q922,tbFactorMes,2,FALSE),"")</f>
        <v/>
      </c>
      <c r="S922">
        <f t="shared" si="197"/>
        <v>0</v>
      </c>
      <c r="V922" t="str">
        <f>IFERROR(VLOOKUP(U922,tbFactorMes,2,FALSE),"")</f>
        <v/>
      </c>
      <c r="W922">
        <f t="shared" si="198"/>
        <v>0</v>
      </c>
      <c r="Z922" t="str">
        <f>IFERROR(VLOOKUP(Y922,tbFactorMes,2,FALSE),"")</f>
        <v/>
      </c>
      <c r="AA922">
        <f t="shared" si="199"/>
        <v>0</v>
      </c>
      <c r="AD922" t="str">
        <f>IFERROR(VLOOKUP(AC922,tbFactorMes,2,FALSE),"")</f>
        <v/>
      </c>
      <c r="AE922">
        <f t="shared" si="200"/>
        <v>0</v>
      </c>
      <c r="AH922" t="str">
        <f>IFERROR(VLOOKUP(AG922,tbFactorMes,2,FALSE),"")</f>
        <v/>
      </c>
      <c r="AI922">
        <f t="shared" si="201"/>
        <v>0</v>
      </c>
      <c r="AL922" t="str">
        <f>IFERROR(VLOOKUP(AK922,tbFactorMes,2,FALSE),"")</f>
        <v/>
      </c>
      <c r="AM922">
        <f t="shared" si="202"/>
        <v>0</v>
      </c>
      <c r="AP922" t="str">
        <f>IFERROR(VLOOKUP(AO922,tbFactorMes,2,FALSE),"")</f>
        <v/>
      </c>
      <c r="AQ922">
        <f t="shared" si="203"/>
        <v>0</v>
      </c>
      <c r="AT922" t="str">
        <f>IFERROR(VLOOKUP(AS922,tbFactorMes,2,FALSE),"")</f>
        <v/>
      </c>
      <c r="AU922">
        <f t="shared" si="204"/>
        <v>0</v>
      </c>
      <c r="AX922" t="str">
        <f>IFERROR(VLOOKUP(AW922,tbFactorMes,2,FALSE),"")</f>
        <v/>
      </c>
      <c r="AY922">
        <f t="shared" si="205"/>
        <v>0</v>
      </c>
      <c r="BB922" t="str">
        <f>IFERROR(VLOOKUP(BA922,tbFactorMes,2,FALSE),"")</f>
        <v/>
      </c>
      <c r="BC922">
        <f t="shared" si="206"/>
        <v>0</v>
      </c>
      <c r="BF922" t="str">
        <f>IFERROR(VLOOKUP(BE922,tbFactorMes,2,FALSE),"")</f>
        <v/>
      </c>
      <c r="BG922">
        <f t="shared" si="207"/>
        <v>0</v>
      </c>
      <c r="BH922">
        <f t="shared" si="208"/>
        <v>0</v>
      </c>
      <c r="BI922">
        <f t="shared" si="209"/>
        <v>0</v>
      </c>
    </row>
    <row r="923" spans="11:61" x14ac:dyDescent="0.35">
      <c r="K923" t="str">
        <f>IFERROR(VLOOKUP(F923,tbTurnos,3,FALSE),"")</f>
        <v/>
      </c>
      <c r="N923" t="str">
        <f>IFERROR(VLOOKUP(M923,tbFactorMes,2,FALSE),"")</f>
        <v/>
      </c>
      <c r="O923">
        <f t="shared" si="196"/>
        <v>0</v>
      </c>
      <c r="R923" t="str">
        <f>IFERROR(VLOOKUP(Q923,tbFactorMes,2,FALSE),"")</f>
        <v/>
      </c>
      <c r="S923">
        <f t="shared" si="197"/>
        <v>0</v>
      </c>
      <c r="V923" t="str">
        <f>IFERROR(VLOOKUP(U923,tbFactorMes,2,FALSE),"")</f>
        <v/>
      </c>
      <c r="W923">
        <f t="shared" si="198"/>
        <v>0</v>
      </c>
      <c r="Z923" t="str">
        <f>IFERROR(VLOOKUP(Y923,tbFactorMes,2,FALSE),"")</f>
        <v/>
      </c>
      <c r="AA923">
        <f t="shared" si="199"/>
        <v>0</v>
      </c>
      <c r="AD923" t="str">
        <f>IFERROR(VLOOKUP(AC923,tbFactorMes,2,FALSE),"")</f>
        <v/>
      </c>
      <c r="AE923">
        <f t="shared" si="200"/>
        <v>0</v>
      </c>
      <c r="AH923" t="str">
        <f>IFERROR(VLOOKUP(AG923,tbFactorMes,2,FALSE),"")</f>
        <v/>
      </c>
      <c r="AI923">
        <f t="shared" si="201"/>
        <v>0</v>
      </c>
      <c r="AL923" t="str">
        <f>IFERROR(VLOOKUP(AK923,tbFactorMes,2,FALSE),"")</f>
        <v/>
      </c>
      <c r="AM923">
        <f t="shared" si="202"/>
        <v>0</v>
      </c>
      <c r="AP923" t="str">
        <f>IFERROR(VLOOKUP(AO923,tbFactorMes,2,FALSE),"")</f>
        <v/>
      </c>
      <c r="AQ923">
        <f t="shared" si="203"/>
        <v>0</v>
      </c>
      <c r="AT923" t="str">
        <f>IFERROR(VLOOKUP(AS923,tbFactorMes,2,FALSE),"")</f>
        <v/>
      </c>
      <c r="AU923">
        <f t="shared" si="204"/>
        <v>0</v>
      </c>
      <c r="AX923" t="str">
        <f>IFERROR(VLOOKUP(AW923,tbFactorMes,2,FALSE),"")</f>
        <v/>
      </c>
      <c r="AY923">
        <f t="shared" si="205"/>
        <v>0</v>
      </c>
      <c r="BB923" t="str">
        <f>IFERROR(VLOOKUP(BA923,tbFactorMes,2,FALSE),"")</f>
        <v/>
      </c>
      <c r="BC923">
        <f t="shared" si="206"/>
        <v>0</v>
      </c>
      <c r="BF923" t="str">
        <f>IFERROR(VLOOKUP(BE923,tbFactorMes,2,FALSE),"")</f>
        <v/>
      </c>
      <c r="BG923">
        <f t="shared" si="207"/>
        <v>0</v>
      </c>
      <c r="BH923">
        <f t="shared" si="208"/>
        <v>0</v>
      </c>
      <c r="BI923">
        <f t="shared" si="209"/>
        <v>0</v>
      </c>
    </row>
    <row r="924" spans="11:61" x14ac:dyDescent="0.35">
      <c r="K924" t="str">
        <f>IFERROR(VLOOKUP(F924,tbTurnos,3,FALSE),"")</f>
        <v/>
      </c>
      <c r="N924" t="str">
        <f>IFERROR(VLOOKUP(M924,tbFactorMes,2,FALSE),"")</f>
        <v/>
      </c>
      <c r="O924">
        <f t="shared" si="196"/>
        <v>0</v>
      </c>
      <c r="R924" t="str">
        <f>IFERROR(VLOOKUP(Q924,tbFactorMes,2,FALSE),"")</f>
        <v/>
      </c>
      <c r="S924">
        <f t="shared" si="197"/>
        <v>0</v>
      </c>
      <c r="V924" t="str">
        <f>IFERROR(VLOOKUP(U924,tbFactorMes,2,FALSE),"")</f>
        <v/>
      </c>
      <c r="W924">
        <f t="shared" si="198"/>
        <v>0</v>
      </c>
      <c r="Z924" t="str">
        <f>IFERROR(VLOOKUP(Y924,tbFactorMes,2,FALSE),"")</f>
        <v/>
      </c>
      <c r="AA924">
        <f t="shared" si="199"/>
        <v>0</v>
      </c>
      <c r="AD924" t="str">
        <f>IFERROR(VLOOKUP(AC924,tbFactorMes,2,FALSE),"")</f>
        <v/>
      </c>
      <c r="AE924">
        <f t="shared" si="200"/>
        <v>0</v>
      </c>
      <c r="AH924" t="str">
        <f>IFERROR(VLOOKUP(AG924,tbFactorMes,2,FALSE),"")</f>
        <v/>
      </c>
      <c r="AI924">
        <f t="shared" si="201"/>
        <v>0</v>
      </c>
      <c r="AL924" t="str">
        <f>IFERROR(VLOOKUP(AK924,tbFactorMes,2,FALSE),"")</f>
        <v/>
      </c>
      <c r="AM924">
        <f t="shared" si="202"/>
        <v>0</v>
      </c>
      <c r="AP924" t="str">
        <f>IFERROR(VLOOKUP(AO924,tbFactorMes,2,FALSE),"")</f>
        <v/>
      </c>
      <c r="AQ924">
        <f t="shared" si="203"/>
        <v>0</v>
      </c>
      <c r="AT924" t="str">
        <f>IFERROR(VLOOKUP(AS924,tbFactorMes,2,FALSE),"")</f>
        <v/>
      </c>
      <c r="AU924">
        <f t="shared" si="204"/>
        <v>0</v>
      </c>
      <c r="AX924" t="str">
        <f>IFERROR(VLOOKUP(AW924,tbFactorMes,2,FALSE),"")</f>
        <v/>
      </c>
      <c r="AY924">
        <f t="shared" si="205"/>
        <v>0</v>
      </c>
      <c r="BB924" t="str">
        <f>IFERROR(VLOOKUP(BA924,tbFactorMes,2,FALSE),"")</f>
        <v/>
      </c>
      <c r="BC924">
        <f t="shared" si="206"/>
        <v>0</v>
      </c>
      <c r="BF924" t="str">
        <f>IFERROR(VLOOKUP(BE924,tbFactorMes,2,FALSE),"")</f>
        <v/>
      </c>
      <c r="BG924">
        <f t="shared" si="207"/>
        <v>0</v>
      </c>
      <c r="BH924">
        <f t="shared" si="208"/>
        <v>0</v>
      </c>
      <c r="BI924">
        <f t="shared" si="209"/>
        <v>0</v>
      </c>
    </row>
    <row r="925" spans="11:61" x14ac:dyDescent="0.35">
      <c r="K925" t="str">
        <f>IFERROR(VLOOKUP(F925,tbTurnos,3,FALSE),"")</f>
        <v/>
      </c>
      <c r="N925" t="str">
        <f>IFERROR(VLOOKUP(M925,tbFactorMes,2,FALSE),"")</f>
        <v/>
      </c>
      <c r="O925">
        <f t="shared" si="196"/>
        <v>0</v>
      </c>
      <c r="R925" t="str">
        <f>IFERROR(VLOOKUP(Q925,tbFactorMes,2,FALSE),"")</f>
        <v/>
      </c>
      <c r="S925">
        <f t="shared" si="197"/>
        <v>0</v>
      </c>
      <c r="V925" t="str">
        <f>IFERROR(VLOOKUP(U925,tbFactorMes,2,FALSE),"")</f>
        <v/>
      </c>
      <c r="W925">
        <f t="shared" si="198"/>
        <v>0</v>
      </c>
      <c r="Z925" t="str">
        <f>IFERROR(VLOOKUP(Y925,tbFactorMes,2,FALSE),"")</f>
        <v/>
      </c>
      <c r="AA925">
        <f t="shared" si="199"/>
        <v>0</v>
      </c>
      <c r="AD925" t="str">
        <f>IFERROR(VLOOKUP(AC925,tbFactorMes,2,FALSE),"")</f>
        <v/>
      </c>
      <c r="AE925">
        <f t="shared" si="200"/>
        <v>0</v>
      </c>
      <c r="AH925" t="str">
        <f>IFERROR(VLOOKUP(AG925,tbFactorMes,2,FALSE),"")</f>
        <v/>
      </c>
      <c r="AI925">
        <f t="shared" si="201"/>
        <v>0</v>
      </c>
      <c r="AL925" t="str">
        <f>IFERROR(VLOOKUP(AK925,tbFactorMes,2,FALSE),"")</f>
        <v/>
      </c>
      <c r="AM925">
        <f t="shared" si="202"/>
        <v>0</v>
      </c>
      <c r="AP925" t="str">
        <f>IFERROR(VLOOKUP(AO925,tbFactorMes,2,FALSE),"")</f>
        <v/>
      </c>
      <c r="AQ925">
        <f t="shared" si="203"/>
        <v>0</v>
      </c>
      <c r="AT925" t="str">
        <f>IFERROR(VLOOKUP(AS925,tbFactorMes,2,FALSE),"")</f>
        <v/>
      </c>
      <c r="AU925">
        <f t="shared" si="204"/>
        <v>0</v>
      </c>
      <c r="AX925" t="str">
        <f>IFERROR(VLOOKUP(AW925,tbFactorMes,2,FALSE),"")</f>
        <v/>
      </c>
      <c r="AY925">
        <f t="shared" si="205"/>
        <v>0</v>
      </c>
      <c r="BB925" t="str">
        <f>IFERROR(VLOOKUP(BA925,tbFactorMes,2,FALSE),"")</f>
        <v/>
      </c>
      <c r="BC925">
        <f t="shared" si="206"/>
        <v>0</v>
      </c>
      <c r="BF925" t="str">
        <f>IFERROR(VLOOKUP(BE925,tbFactorMes,2,FALSE),"")</f>
        <v/>
      </c>
      <c r="BG925">
        <f t="shared" si="207"/>
        <v>0</v>
      </c>
      <c r="BH925">
        <f t="shared" si="208"/>
        <v>0</v>
      </c>
      <c r="BI925">
        <f t="shared" si="209"/>
        <v>0</v>
      </c>
    </row>
    <row r="926" spans="11:61" x14ac:dyDescent="0.35">
      <c r="K926" t="str">
        <f>IFERROR(VLOOKUP(F926,tbTurnos,3,FALSE),"")</f>
        <v/>
      </c>
      <c r="N926" t="str">
        <f>IFERROR(VLOOKUP(M926,tbFactorMes,2,FALSE),"")</f>
        <v/>
      </c>
      <c r="O926">
        <f t="shared" si="196"/>
        <v>0</v>
      </c>
      <c r="R926" t="str">
        <f>IFERROR(VLOOKUP(Q926,tbFactorMes,2,FALSE),"")</f>
        <v/>
      </c>
      <c r="S926">
        <f t="shared" si="197"/>
        <v>0</v>
      </c>
      <c r="V926" t="str">
        <f>IFERROR(VLOOKUP(U926,tbFactorMes,2,FALSE),"")</f>
        <v/>
      </c>
      <c r="W926">
        <f t="shared" si="198"/>
        <v>0</v>
      </c>
      <c r="Z926" t="str">
        <f>IFERROR(VLOOKUP(Y926,tbFactorMes,2,FALSE),"")</f>
        <v/>
      </c>
      <c r="AA926">
        <f t="shared" si="199"/>
        <v>0</v>
      </c>
      <c r="AD926" t="str">
        <f>IFERROR(VLOOKUP(AC926,tbFactorMes,2,FALSE),"")</f>
        <v/>
      </c>
      <c r="AE926">
        <f t="shared" si="200"/>
        <v>0</v>
      </c>
      <c r="AH926" t="str">
        <f>IFERROR(VLOOKUP(AG926,tbFactorMes,2,FALSE),"")</f>
        <v/>
      </c>
      <c r="AI926">
        <f t="shared" si="201"/>
        <v>0</v>
      </c>
      <c r="AL926" t="str">
        <f>IFERROR(VLOOKUP(AK926,tbFactorMes,2,FALSE),"")</f>
        <v/>
      </c>
      <c r="AM926">
        <f t="shared" si="202"/>
        <v>0</v>
      </c>
      <c r="AP926" t="str">
        <f>IFERROR(VLOOKUP(AO926,tbFactorMes,2,FALSE),"")</f>
        <v/>
      </c>
      <c r="AQ926">
        <f t="shared" si="203"/>
        <v>0</v>
      </c>
      <c r="AT926" t="str">
        <f>IFERROR(VLOOKUP(AS926,tbFactorMes,2,FALSE),"")</f>
        <v/>
      </c>
      <c r="AU926">
        <f t="shared" si="204"/>
        <v>0</v>
      </c>
      <c r="AX926" t="str">
        <f>IFERROR(VLOOKUP(AW926,tbFactorMes,2,FALSE),"")</f>
        <v/>
      </c>
      <c r="AY926">
        <f t="shared" si="205"/>
        <v>0</v>
      </c>
      <c r="BB926" t="str">
        <f>IFERROR(VLOOKUP(BA926,tbFactorMes,2,FALSE),"")</f>
        <v/>
      </c>
      <c r="BC926">
        <f t="shared" si="206"/>
        <v>0</v>
      </c>
      <c r="BF926" t="str">
        <f>IFERROR(VLOOKUP(BE926,tbFactorMes,2,FALSE),"")</f>
        <v/>
      </c>
      <c r="BG926">
        <f t="shared" si="207"/>
        <v>0</v>
      </c>
      <c r="BH926">
        <f t="shared" si="208"/>
        <v>0</v>
      </c>
      <c r="BI926">
        <f t="shared" si="209"/>
        <v>0</v>
      </c>
    </row>
    <row r="927" spans="11:61" x14ac:dyDescent="0.35">
      <c r="K927" t="str">
        <f>IFERROR(VLOOKUP(F927,tbTurnos,3,FALSE),"")</f>
        <v/>
      </c>
      <c r="N927" t="str">
        <f>IFERROR(VLOOKUP(M927,tbFactorMes,2,FALSE),"")</f>
        <v/>
      </c>
      <c r="O927">
        <f t="shared" si="196"/>
        <v>0</v>
      </c>
      <c r="R927" t="str">
        <f>IFERROR(VLOOKUP(Q927,tbFactorMes,2,FALSE),"")</f>
        <v/>
      </c>
      <c r="S927">
        <f t="shared" si="197"/>
        <v>0</v>
      </c>
      <c r="V927" t="str">
        <f>IFERROR(VLOOKUP(U927,tbFactorMes,2,FALSE),"")</f>
        <v/>
      </c>
      <c r="W927">
        <f t="shared" si="198"/>
        <v>0</v>
      </c>
      <c r="Z927" t="str">
        <f>IFERROR(VLOOKUP(Y927,tbFactorMes,2,FALSE),"")</f>
        <v/>
      </c>
      <c r="AA927">
        <f t="shared" si="199"/>
        <v>0</v>
      </c>
      <c r="AD927" t="str">
        <f>IFERROR(VLOOKUP(AC927,tbFactorMes,2,FALSE),"")</f>
        <v/>
      </c>
      <c r="AE927">
        <f t="shared" si="200"/>
        <v>0</v>
      </c>
      <c r="AH927" t="str">
        <f>IFERROR(VLOOKUP(AG927,tbFactorMes,2,FALSE),"")</f>
        <v/>
      </c>
      <c r="AI927">
        <f t="shared" si="201"/>
        <v>0</v>
      </c>
      <c r="AL927" t="str">
        <f>IFERROR(VLOOKUP(AK927,tbFactorMes,2,FALSE),"")</f>
        <v/>
      </c>
      <c r="AM927">
        <f t="shared" si="202"/>
        <v>0</v>
      </c>
      <c r="AP927" t="str">
        <f>IFERROR(VLOOKUP(AO927,tbFactorMes,2,FALSE),"")</f>
        <v/>
      </c>
      <c r="AQ927">
        <f t="shared" si="203"/>
        <v>0</v>
      </c>
      <c r="AT927" t="str">
        <f>IFERROR(VLOOKUP(AS927,tbFactorMes,2,FALSE),"")</f>
        <v/>
      </c>
      <c r="AU927">
        <f t="shared" si="204"/>
        <v>0</v>
      </c>
      <c r="AX927" t="str">
        <f>IFERROR(VLOOKUP(AW927,tbFactorMes,2,FALSE),"")</f>
        <v/>
      </c>
      <c r="AY927">
        <f t="shared" si="205"/>
        <v>0</v>
      </c>
      <c r="BB927" t="str">
        <f>IFERROR(VLOOKUP(BA927,tbFactorMes,2,FALSE),"")</f>
        <v/>
      </c>
      <c r="BC927">
        <f t="shared" si="206"/>
        <v>0</v>
      </c>
      <c r="BF927" t="str">
        <f>IFERROR(VLOOKUP(BE927,tbFactorMes,2,FALSE),"")</f>
        <v/>
      </c>
      <c r="BG927">
        <f t="shared" si="207"/>
        <v>0</v>
      </c>
      <c r="BH927">
        <f t="shared" si="208"/>
        <v>0</v>
      </c>
      <c r="BI927">
        <f t="shared" si="209"/>
        <v>0</v>
      </c>
    </row>
    <row r="928" spans="11:61" x14ac:dyDescent="0.35">
      <c r="K928" t="str">
        <f>IFERROR(VLOOKUP(F928,tbTurnos,3,FALSE),"")</f>
        <v/>
      </c>
      <c r="N928" t="str">
        <f>IFERROR(VLOOKUP(M928,tbFactorMes,2,FALSE),"")</f>
        <v/>
      </c>
      <c r="O928">
        <f t="shared" si="196"/>
        <v>0</v>
      </c>
      <c r="R928" t="str">
        <f>IFERROR(VLOOKUP(Q928,tbFactorMes,2,FALSE),"")</f>
        <v/>
      </c>
      <c r="S928">
        <f t="shared" si="197"/>
        <v>0</v>
      </c>
      <c r="V928" t="str">
        <f>IFERROR(VLOOKUP(U928,tbFactorMes,2,FALSE),"")</f>
        <v/>
      </c>
      <c r="W928">
        <f t="shared" si="198"/>
        <v>0</v>
      </c>
      <c r="Z928" t="str">
        <f>IFERROR(VLOOKUP(Y928,tbFactorMes,2,FALSE),"")</f>
        <v/>
      </c>
      <c r="AA928">
        <f t="shared" si="199"/>
        <v>0</v>
      </c>
      <c r="AD928" t="str">
        <f>IFERROR(VLOOKUP(AC928,tbFactorMes,2,FALSE),"")</f>
        <v/>
      </c>
      <c r="AE928">
        <f t="shared" si="200"/>
        <v>0</v>
      </c>
      <c r="AH928" t="str">
        <f>IFERROR(VLOOKUP(AG928,tbFactorMes,2,FALSE),"")</f>
        <v/>
      </c>
      <c r="AI928">
        <f t="shared" si="201"/>
        <v>0</v>
      </c>
      <c r="AL928" t="str">
        <f>IFERROR(VLOOKUP(AK928,tbFactorMes,2,FALSE),"")</f>
        <v/>
      </c>
      <c r="AM928">
        <f t="shared" si="202"/>
        <v>0</v>
      </c>
      <c r="AP928" t="str">
        <f>IFERROR(VLOOKUP(AO928,tbFactorMes,2,FALSE),"")</f>
        <v/>
      </c>
      <c r="AQ928">
        <f t="shared" si="203"/>
        <v>0</v>
      </c>
      <c r="AT928" t="str">
        <f>IFERROR(VLOOKUP(AS928,tbFactorMes,2,FALSE),"")</f>
        <v/>
      </c>
      <c r="AU928">
        <f t="shared" si="204"/>
        <v>0</v>
      </c>
      <c r="AX928" t="str">
        <f>IFERROR(VLOOKUP(AW928,tbFactorMes,2,FALSE),"")</f>
        <v/>
      </c>
      <c r="AY928">
        <f t="shared" si="205"/>
        <v>0</v>
      </c>
      <c r="BB928" t="str">
        <f>IFERROR(VLOOKUP(BA928,tbFactorMes,2,FALSE),"")</f>
        <v/>
      </c>
      <c r="BC928">
        <f t="shared" si="206"/>
        <v>0</v>
      </c>
      <c r="BF928" t="str">
        <f>IFERROR(VLOOKUP(BE928,tbFactorMes,2,FALSE),"")</f>
        <v/>
      </c>
      <c r="BG928">
        <f t="shared" si="207"/>
        <v>0</v>
      </c>
      <c r="BH928">
        <f t="shared" si="208"/>
        <v>0</v>
      </c>
      <c r="BI928">
        <f t="shared" si="209"/>
        <v>0</v>
      </c>
    </row>
    <row r="929" spans="11:61" x14ac:dyDescent="0.35">
      <c r="K929" t="str">
        <f>IFERROR(VLOOKUP(F929,tbTurnos,3,FALSE),"")</f>
        <v/>
      </c>
      <c r="N929" t="str">
        <f>IFERROR(VLOOKUP(M929,tbFactorMes,2,FALSE),"")</f>
        <v/>
      </c>
      <c r="O929">
        <f t="shared" si="196"/>
        <v>0</v>
      </c>
      <c r="R929" t="str">
        <f>IFERROR(VLOOKUP(Q929,tbFactorMes,2,FALSE),"")</f>
        <v/>
      </c>
      <c r="S929">
        <f t="shared" si="197"/>
        <v>0</v>
      </c>
      <c r="V929" t="str">
        <f>IFERROR(VLOOKUP(U929,tbFactorMes,2,FALSE),"")</f>
        <v/>
      </c>
      <c r="W929">
        <f t="shared" si="198"/>
        <v>0</v>
      </c>
      <c r="Z929" t="str">
        <f>IFERROR(VLOOKUP(Y929,tbFactorMes,2,FALSE),"")</f>
        <v/>
      </c>
      <c r="AA929">
        <f t="shared" si="199"/>
        <v>0</v>
      </c>
      <c r="AD929" t="str">
        <f>IFERROR(VLOOKUP(AC929,tbFactorMes,2,FALSE),"")</f>
        <v/>
      </c>
      <c r="AE929">
        <f t="shared" si="200"/>
        <v>0</v>
      </c>
      <c r="AH929" t="str">
        <f>IFERROR(VLOOKUP(AG929,tbFactorMes,2,FALSE),"")</f>
        <v/>
      </c>
      <c r="AI929">
        <f t="shared" si="201"/>
        <v>0</v>
      </c>
      <c r="AL929" t="str">
        <f>IFERROR(VLOOKUP(AK929,tbFactorMes,2,FALSE),"")</f>
        <v/>
      </c>
      <c r="AM929">
        <f t="shared" si="202"/>
        <v>0</v>
      </c>
      <c r="AP929" t="str">
        <f>IFERROR(VLOOKUP(AO929,tbFactorMes,2,FALSE),"")</f>
        <v/>
      </c>
      <c r="AQ929">
        <f t="shared" si="203"/>
        <v>0</v>
      </c>
      <c r="AT929" t="str">
        <f>IFERROR(VLOOKUP(AS929,tbFactorMes,2,FALSE),"")</f>
        <v/>
      </c>
      <c r="AU929">
        <f t="shared" si="204"/>
        <v>0</v>
      </c>
      <c r="AX929" t="str">
        <f>IFERROR(VLOOKUP(AW929,tbFactorMes,2,FALSE),"")</f>
        <v/>
      </c>
      <c r="AY929">
        <f t="shared" si="205"/>
        <v>0</v>
      </c>
      <c r="BB929" t="str">
        <f>IFERROR(VLOOKUP(BA929,tbFactorMes,2,FALSE),"")</f>
        <v/>
      </c>
      <c r="BC929">
        <f t="shared" si="206"/>
        <v>0</v>
      </c>
      <c r="BF929" t="str">
        <f>IFERROR(VLOOKUP(BE929,tbFactorMes,2,FALSE),"")</f>
        <v/>
      </c>
      <c r="BG929">
        <f t="shared" si="207"/>
        <v>0</v>
      </c>
      <c r="BH929">
        <f t="shared" si="208"/>
        <v>0</v>
      </c>
      <c r="BI929">
        <f t="shared" si="209"/>
        <v>0</v>
      </c>
    </row>
    <row r="930" spans="11:61" x14ac:dyDescent="0.35">
      <c r="K930" t="str">
        <f>IFERROR(VLOOKUP(F930,tbTurnos,3,FALSE),"")</f>
        <v/>
      </c>
      <c r="N930" t="str">
        <f>IFERROR(VLOOKUP(M930,tbFactorMes,2,FALSE),"")</f>
        <v/>
      </c>
      <c r="O930">
        <f t="shared" si="196"/>
        <v>0</v>
      </c>
      <c r="R930" t="str">
        <f>IFERROR(VLOOKUP(Q930,tbFactorMes,2,FALSE),"")</f>
        <v/>
      </c>
      <c r="S930">
        <f t="shared" si="197"/>
        <v>0</v>
      </c>
      <c r="V930" t="str">
        <f>IFERROR(VLOOKUP(U930,tbFactorMes,2,FALSE),"")</f>
        <v/>
      </c>
      <c r="W930">
        <f t="shared" si="198"/>
        <v>0</v>
      </c>
      <c r="Z930" t="str">
        <f>IFERROR(VLOOKUP(Y930,tbFactorMes,2,FALSE),"")</f>
        <v/>
      </c>
      <c r="AA930">
        <f t="shared" si="199"/>
        <v>0</v>
      </c>
      <c r="AD930" t="str">
        <f>IFERROR(VLOOKUP(AC930,tbFactorMes,2,FALSE),"")</f>
        <v/>
      </c>
      <c r="AE930">
        <f t="shared" si="200"/>
        <v>0</v>
      </c>
      <c r="AH930" t="str">
        <f>IFERROR(VLOOKUP(AG930,tbFactorMes,2,FALSE),"")</f>
        <v/>
      </c>
      <c r="AI930">
        <f t="shared" si="201"/>
        <v>0</v>
      </c>
      <c r="AL930" t="str">
        <f>IFERROR(VLOOKUP(AK930,tbFactorMes,2,FALSE),"")</f>
        <v/>
      </c>
      <c r="AM930">
        <f t="shared" si="202"/>
        <v>0</v>
      </c>
      <c r="AP930" t="str">
        <f>IFERROR(VLOOKUP(AO930,tbFactorMes,2,FALSE),"")</f>
        <v/>
      </c>
      <c r="AQ930">
        <f t="shared" si="203"/>
        <v>0</v>
      </c>
      <c r="AT930" t="str">
        <f>IFERROR(VLOOKUP(AS930,tbFactorMes,2,FALSE),"")</f>
        <v/>
      </c>
      <c r="AU930">
        <f t="shared" si="204"/>
        <v>0</v>
      </c>
      <c r="AX930" t="str">
        <f>IFERROR(VLOOKUP(AW930,tbFactorMes,2,FALSE),"")</f>
        <v/>
      </c>
      <c r="AY930">
        <f t="shared" si="205"/>
        <v>0</v>
      </c>
      <c r="BB930" t="str">
        <f>IFERROR(VLOOKUP(BA930,tbFactorMes,2,FALSE),"")</f>
        <v/>
      </c>
      <c r="BC930">
        <f t="shared" si="206"/>
        <v>0</v>
      </c>
      <c r="BF930" t="str">
        <f>IFERROR(VLOOKUP(BE930,tbFactorMes,2,FALSE),"")</f>
        <v/>
      </c>
      <c r="BG930">
        <f t="shared" si="207"/>
        <v>0</v>
      </c>
      <c r="BH930">
        <f t="shared" si="208"/>
        <v>0</v>
      </c>
      <c r="BI930">
        <f t="shared" si="209"/>
        <v>0</v>
      </c>
    </row>
    <row r="931" spans="11:61" x14ac:dyDescent="0.35">
      <c r="K931" t="str">
        <f>IFERROR(VLOOKUP(F931,tbTurnos,3,FALSE),"")</f>
        <v/>
      </c>
      <c r="N931" t="str">
        <f>IFERROR(VLOOKUP(M931,tbFactorMes,2,FALSE),"")</f>
        <v/>
      </c>
      <c r="O931">
        <f t="shared" si="196"/>
        <v>0</v>
      </c>
      <c r="R931" t="str">
        <f>IFERROR(VLOOKUP(Q931,tbFactorMes,2,FALSE),"")</f>
        <v/>
      </c>
      <c r="S931">
        <f t="shared" si="197"/>
        <v>0</v>
      </c>
      <c r="V931" t="str">
        <f>IFERROR(VLOOKUP(U931,tbFactorMes,2,FALSE),"")</f>
        <v/>
      </c>
      <c r="W931">
        <f t="shared" si="198"/>
        <v>0</v>
      </c>
      <c r="Z931" t="str">
        <f>IFERROR(VLOOKUP(Y931,tbFactorMes,2,FALSE),"")</f>
        <v/>
      </c>
      <c r="AA931">
        <f t="shared" si="199"/>
        <v>0</v>
      </c>
      <c r="AD931" t="str">
        <f>IFERROR(VLOOKUP(AC931,tbFactorMes,2,FALSE),"")</f>
        <v/>
      </c>
      <c r="AE931">
        <f t="shared" si="200"/>
        <v>0</v>
      </c>
      <c r="AH931" t="str">
        <f>IFERROR(VLOOKUP(AG931,tbFactorMes,2,FALSE),"")</f>
        <v/>
      </c>
      <c r="AI931">
        <f t="shared" si="201"/>
        <v>0</v>
      </c>
      <c r="AL931" t="str">
        <f>IFERROR(VLOOKUP(AK931,tbFactorMes,2,FALSE),"")</f>
        <v/>
      </c>
      <c r="AM931">
        <f t="shared" si="202"/>
        <v>0</v>
      </c>
      <c r="AP931" t="str">
        <f>IFERROR(VLOOKUP(AO931,tbFactorMes,2,FALSE),"")</f>
        <v/>
      </c>
      <c r="AQ931">
        <f t="shared" si="203"/>
        <v>0</v>
      </c>
      <c r="AT931" t="str">
        <f>IFERROR(VLOOKUP(AS931,tbFactorMes,2,FALSE),"")</f>
        <v/>
      </c>
      <c r="AU931">
        <f t="shared" si="204"/>
        <v>0</v>
      </c>
      <c r="AX931" t="str">
        <f>IFERROR(VLOOKUP(AW931,tbFactorMes,2,FALSE),"")</f>
        <v/>
      </c>
      <c r="AY931">
        <f t="shared" si="205"/>
        <v>0</v>
      </c>
      <c r="BB931" t="str">
        <f>IFERROR(VLOOKUP(BA931,tbFactorMes,2,FALSE),"")</f>
        <v/>
      </c>
      <c r="BC931">
        <f t="shared" si="206"/>
        <v>0</v>
      </c>
      <c r="BF931" t="str">
        <f>IFERROR(VLOOKUP(BE931,tbFactorMes,2,FALSE),"")</f>
        <v/>
      </c>
      <c r="BG931">
        <f t="shared" si="207"/>
        <v>0</v>
      </c>
      <c r="BH931">
        <f t="shared" si="208"/>
        <v>0</v>
      </c>
      <c r="BI931">
        <f t="shared" si="209"/>
        <v>0</v>
      </c>
    </row>
    <row r="932" spans="11:61" x14ac:dyDescent="0.35">
      <c r="K932" t="str">
        <f>IFERROR(VLOOKUP(F932,tbTurnos,3,FALSE),"")</f>
        <v/>
      </c>
      <c r="N932" t="str">
        <f>IFERROR(VLOOKUP(M932,tbFactorMes,2,FALSE),"")</f>
        <v/>
      </c>
      <c r="O932">
        <f t="shared" si="196"/>
        <v>0</v>
      </c>
      <c r="R932" t="str">
        <f>IFERROR(VLOOKUP(Q932,tbFactorMes,2,FALSE),"")</f>
        <v/>
      </c>
      <c r="S932">
        <f t="shared" si="197"/>
        <v>0</v>
      </c>
      <c r="V932" t="str">
        <f>IFERROR(VLOOKUP(U932,tbFactorMes,2,FALSE),"")</f>
        <v/>
      </c>
      <c r="W932">
        <f t="shared" si="198"/>
        <v>0</v>
      </c>
      <c r="Z932" t="str">
        <f>IFERROR(VLOOKUP(Y932,tbFactorMes,2,FALSE),"")</f>
        <v/>
      </c>
      <c r="AA932">
        <f t="shared" si="199"/>
        <v>0</v>
      </c>
      <c r="AD932" t="str">
        <f>IFERROR(VLOOKUP(AC932,tbFactorMes,2,FALSE),"")</f>
        <v/>
      </c>
      <c r="AE932">
        <f t="shared" si="200"/>
        <v>0</v>
      </c>
      <c r="AH932" t="str">
        <f>IFERROR(VLOOKUP(AG932,tbFactorMes,2,FALSE),"")</f>
        <v/>
      </c>
      <c r="AI932">
        <f t="shared" si="201"/>
        <v>0</v>
      </c>
      <c r="AL932" t="str">
        <f>IFERROR(VLOOKUP(AK932,tbFactorMes,2,FALSE),"")</f>
        <v/>
      </c>
      <c r="AM932">
        <f t="shared" si="202"/>
        <v>0</v>
      </c>
      <c r="AP932" t="str">
        <f>IFERROR(VLOOKUP(AO932,tbFactorMes,2,FALSE),"")</f>
        <v/>
      </c>
      <c r="AQ932">
        <f t="shared" si="203"/>
        <v>0</v>
      </c>
      <c r="AT932" t="str">
        <f>IFERROR(VLOOKUP(AS932,tbFactorMes,2,FALSE),"")</f>
        <v/>
      </c>
      <c r="AU932">
        <f t="shared" si="204"/>
        <v>0</v>
      </c>
      <c r="AX932" t="str">
        <f>IFERROR(VLOOKUP(AW932,tbFactorMes,2,FALSE),"")</f>
        <v/>
      </c>
      <c r="AY932">
        <f t="shared" si="205"/>
        <v>0</v>
      </c>
      <c r="BB932" t="str">
        <f>IFERROR(VLOOKUP(BA932,tbFactorMes,2,FALSE),"")</f>
        <v/>
      </c>
      <c r="BC932">
        <f t="shared" si="206"/>
        <v>0</v>
      </c>
      <c r="BF932" t="str">
        <f>IFERROR(VLOOKUP(BE932,tbFactorMes,2,FALSE),"")</f>
        <v/>
      </c>
      <c r="BG932">
        <f t="shared" si="207"/>
        <v>0</v>
      </c>
      <c r="BH932">
        <f t="shared" si="208"/>
        <v>0</v>
      </c>
      <c r="BI932">
        <f t="shared" si="209"/>
        <v>0</v>
      </c>
    </row>
    <row r="933" spans="11:61" x14ac:dyDescent="0.35">
      <c r="K933" t="str">
        <f>IFERROR(VLOOKUP(F933,tbTurnos,3,FALSE),"")</f>
        <v/>
      </c>
      <c r="N933" t="str">
        <f>IFERROR(VLOOKUP(M933,tbFactorMes,2,FALSE),"")</f>
        <v/>
      </c>
      <c r="O933">
        <f t="shared" si="196"/>
        <v>0</v>
      </c>
      <c r="R933" t="str">
        <f>IFERROR(VLOOKUP(Q933,tbFactorMes,2,FALSE),"")</f>
        <v/>
      </c>
      <c r="S933">
        <f t="shared" si="197"/>
        <v>0</v>
      </c>
      <c r="V933" t="str">
        <f>IFERROR(VLOOKUP(U933,tbFactorMes,2,FALSE),"")</f>
        <v/>
      </c>
      <c r="W933">
        <f t="shared" si="198"/>
        <v>0</v>
      </c>
      <c r="Z933" t="str">
        <f>IFERROR(VLOOKUP(Y933,tbFactorMes,2,FALSE),"")</f>
        <v/>
      </c>
      <c r="AA933">
        <f t="shared" si="199"/>
        <v>0</v>
      </c>
      <c r="AD933" t="str">
        <f>IFERROR(VLOOKUP(AC933,tbFactorMes,2,FALSE),"")</f>
        <v/>
      </c>
      <c r="AE933">
        <f t="shared" si="200"/>
        <v>0</v>
      </c>
      <c r="AH933" t="str">
        <f>IFERROR(VLOOKUP(AG933,tbFactorMes,2,FALSE),"")</f>
        <v/>
      </c>
      <c r="AI933">
        <f t="shared" si="201"/>
        <v>0</v>
      </c>
      <c r="AL933" t="str">
        <f>IFERROR(VLOOKUP(AK933,tbFactorMes,2,FALSE),"")</f>
        <v/>
      </c>
      <c r="AM933">
        <f t="shared" si="202"/>
        <v>0</v>
      </c>
      <c r="AP933" t="str">
        <f>IFERROR(VLOOKUP(AO933,tbFactorMes,2,FALSE),"")</f>
        <v/>
      </c>
      <c r="AQ933">
        <f t="shared" si="203"/>
        <v>0</v>
      </c>
      <c r="AT933" t="str">
        <f>IFERROR(VLOOKUP(AS933,tbFactorMes,2,FALSE),"")</f>
        <v/>
      </c>
      <c r="AU933">
        <f t="shared" si="204"/>
        <v>0</v>
      </c>
      <c r="AX933" t="str">
        <f>IFERROR(VLOOKUP(AW933,tbFactorMes,2,FALSE),"")</f>
        <v/>
      </c>
      <c r="AY933">
        <f t="shared" si="205"/>
        <v>0</v>
      </c>
      <c r="BB933" t="str">
        <f>IFERROR(VLOOKUP(BA933,tbFactorMes,2,FALSE),"")</f>
        <v/>
      </c>
      <c r="BC933">
        <f t="shared" si="206"/>
        <v>0</v>
      </c>
      <c r="BF933" t="str">
        <f>IFERROR(VLOOKUP(BE933,tbFactorMes,2,FALSE),"")</f>
        <v/>
      </c>
      <c r="BG933">
        <f t="shared" si="207"/>
        <v>0</v>
      </c>
      <c r="BH933">
        <f t="shared" si="208"/>
        <v>0</v>
      </c>
      <c r="BI933">
        <f t="shared" si="209"/>
        <v>0</v>
      </c>
    </row>
    <row r="934" spans="11:61" x14ac:dyDescent="0.35">
      <c r="K934" t="str">
        <f>IFERROR(VLOOKUP(F934,tbTurnos,3,FALSE),"")</f>
        <v/>
      </c>
      <c r="N934" t="str">
        <f>IFERROR(VLOOKUP(M934,tbFactorMes,2,FALSE),"")</f>
        <v/>
      </c>
      <c r="O934">
        <f t="shared" si="196"/>
        <v>0</v>
      </c>
      <c r="R934" t="str">
        <f>IFERROR(VLOOKUP(Q934,tbFactorMes,2,FALSE),"")</f>
        <v/>
      </c>
      <c r="S934">
        <f t="shared" si="197"/>
        <v>0</v>
      </c>
      <c r="V934" t="str">
        <f>IFERROR(VLOOKUP(U934,tbFactorMes,2,FALSE),"")</f>
        <v/>
      </c>
      <c r="W934">
        <f t="shared" si="198"/>
        <v>0</v>
      </c>
      <c r="Z934" t="str">
        <f>IFERROR(VLOOKUP(Y934,tbFactorMes,2,FALSE),"")</f>
        <v/>
      </c>
      <c r="AA934">
        <f t="shared" si="199"/>
        <v>0</v>
      </c>
      <c r="AD934" t="str">
        <f>IFERROR(VLOOKUP(AC934,tbFactorMes,2,FALSE),"")</f>
        <v/>
      </c>
      <c r="AE934">
        <f t="shared" si="200"/>
        <v>0</v>
      </c>
      <c r="AH934" t="str">
        <f>IFERROR(VLOOKUP(AG934,tbFactorMes,2,FALSE),"")</f>
        <v/>
      </c>
      <c r="AI934">
        <f t="shared" si="201"/>
        <v>0</v>
      </c>
      <c r="AL934" t="str">
        <f>IFERROR(VLOOKUP(AK934,tbFactorMes,2,FALSE),"")</f>
        <v/>
      </c>
      <c r="AM934">
        <f t="shared" si="202"/>
        <v>0</v>
      </c>
      <c r="AP934" t="str">
        <f>IFERROR(VLOOKUP(AO934,tbFactorMes,2,FALSE),"")</f>
        <v/>
      </c>
      <c r="AQ934">
        <f t="shared" si="203"/>
        <v>0</v>
      </c>
      <c r="AT934" t="str">
        <f>IFERROR(VLOOKUP(AS934,tbFactorMes,2,FALSE),"")</f>
        <v/>
      </c>
      <c r="AU934">
        <f t="shared" si="204"/>
        <v>0</v>
      </c>
      <c r="AX934" t="str">
        <f>IFERROR(VLOOKUP(AW934,tbFactorMes,2,FALSE),"")</f>
        <v/>
      </c>
      <c r="AY934">
        <f t="shared" si="205"/>
        <v>0</v>
      </c>
      <c r="BB934" t="str">
        <f>IFERROR(VLOOKUP(BA934,tbFactorMes,2,FALSE),"")</f>
        <v/>
      </c>
      <c r="BC934">
        <f t="shared" si="206"/>
        <v>0</v>
      </c>
      <c r="BF934" t="str">
        <f>IFERROR(VLOOKUP(BE934,tbFactorMes,2,FALSE),"")</f>
        <v/>
      </c>
      <c r="BG934">
        <f t="shared" si="207"/>
        <v>0</v>
      </c>
      <c r="BH934">
        <f t="shared" si="208"/>
        <v>0</v>
      </c>
      <c r="BI934">
        <f t="shared" si="209"/>
        <v>0</v>
      </c>
    </row>
    <row r="935" spans="11:61" x14ac:dyDescent="0.35">
      <c r="K935" t="str">
        <f>IFERROR(VLOOKUP(F935,tbTurnos,3,FALSE),"")</f>
        <v/>
      </c>
      <c r="N935" t="str">
        <f>IFERROR(VLOOKUP(M935,tbFactorMes,2,FALSE),"")</f>
        <v/>
      </c>
      <c r="O935">
        <f t="shared" si="196"/>
        <v>0</v>
      </c>
      <c r="R935" t="str">
        <f>IFERROR(VLOOKUP(Q935,tbFactorMes,2,FALSE),"")</f>
        <v/>
      </c>
      <c r="S935">
        <f t="shared" si="197"/>
        <v>0</v>
      </c>
      <c r="V935" t="str">
        <f>IFERROR(VLOOKUP(U935,tbFactorMes,2,FALSE),"")</f>
        <v/>
      </c>
      <c r="W935">
        <f t="shared" si="198"/>
        <v>0</v>
      </c>
      <c r="Z935" t="str">
        <f>IFERROR(VLOOKUP(Y935,tbFactorMes,2,FALSE),"")</f>
        <v/>
      </c>
      <c r="AA935">
        <f t="shared" si="199"/>
        <v>0</v>
      </c>
      <c r="AD935" t="str">
        <f>IFERROR(VLOOKUP(AC935,tbFactorMes,2,FALSE),"")</f>
        <v/>
      </c>
      <c r="AE935">
        <f t="shared" si="200"/>
        <v>0</v>
      </c>
      <c r="AH935" t="str">
        <f>IFERROR(VLOOKUP(AG935,tbFactorMes,2,FALSE),"")</f>
        <v/>
      </c>
      <c r="AI935">
        <f t="shared" si="201"/>
        <v>0</v>
      </c>
      <c r="AL935" t="str">
        <f>IFERROR(VLOOKUP(AK935,tbFactorMes,2,FALSE),"")</f>
        <v/>
      </c>
      <c r="AM935">
        <f t="shared" si="202"/>
        <v>0</v>
      </c>
      <c r="AP935" t="str">
        <f>IFERROR(VLOOKUP(AO935,tbFactorMes,2,FALSE),"")</f>
        <v/>
      </c>
      <c r="AQ935">
        <f t="shared" si="203"/>
        <v>0</v>
      </c>
      <c r="AT935" t="str">
        <f>IFERROR(VLOOKUP(AS935,tbFactorMes,2,FALSE),"")</f>
        <v/>
      </c>
      <c r="AU935">
        <f t="shared" si="204"/>
        <v>0</v>
      </c>
      <c r="AX935" t="str">
        <f>IFERROR(VLOOKUP(AW935,tbFactorMes,2,FALSE),"")</f>
        <v/>
      </c>
      <c r="AY935">
        <f t="shared" si="205"/>
        <v>0</v>
      </c>
      <c r="BB935" t="str">
        <f>IFERROR(VLOOKUP(BA935,tbFactorMes,2,FALSE),"")</f>
        <v/>
      </c>
      <c r="BC935">
        <f t="shared" si="206"/>
        <v>0</v>
      </c>
      <c r="BF935" t="str">
        <f>IFERROR(VLOOKUP(BE935,tbFactorMes,2,FALSE),"")</f>
        <v/>
      </c>
      <c r="BG935">
        <f t="shared" si="207"/>
        <v>0</v>
      </c>
      <c r="BH935">
        <f t="shared" si="208"/>
        <v>0</v>
      </c>
      <c r="BI935">
        <f t="shared" si="209"/>
        <v>0</v>
      </c>
    </row>
    <row r="936" spans="11:61" x14ac:dyDescent="0.35">
      <c r="K936" t="str">
        <f>IFERROR(VLOOKUP(F936,tbTurnos,3,FALSE),"")</f>
        <v/>
      </c>
      <c r="N936" t="str">
        <f>IFERROR(VLOOKUP(M936,tbFactorMes,2,FALSE),"")</f>
        <v/>
      </c>
      <c r="O936">
        <f t="shared" si="196"/>
        <v>0</v>
      </c>
      <c r="R936" t="str">
        <f>IFERROR(VLOOKUP(Q936,tbFactorMes,2,FALSE),"")</f>
        <v/>
      </c>
      <c r="S936">
        <f t="shared" si="197"/>
        <v>0</v>
      </c>
      <c r="V936" t="str">
        <f>IFERROR(VLOOKUP(U936,tbFactorMes,2,FALSE),"")</f>
        <v/>
      </c>
      <c r="W936">
        <f t="shared" si="198"/>
        <v>0</v>
      </c>
      <c r="Z936" t="str">
        <f>IFERROR(VLOOKUP(Y936,tbFactorMes,2,FALSE),"")</f>
        <v/>
      </c>
      <c r="AA936">
        <f t="shared" si="199"/>
        <v>0</v>
      </c>
      <c r="AD936" t="str">
        <f>IFERROR(VLOOKUP(AC936,tbFactorMes,2,FALSE),"")</f>
        <v/>
      </c>
      <c r="AE936">
        <f t="shared" si="200"/>
        <v>0</v>
      </c>
      <c r="AH936" t="str">
        <f>IFERROR(VLOOKUP(AG936,tbFactorMes,2,FALSE),"")</f>
        <v/>
      </c>
      <c r="AI936">
        <f t="shared" si="201"/>
        <v>0</v>
      </c>
      <c r="AL936" t="str">
        <f>IFERROR(VLOOKUP(AK936,tbFactorMes,2,FALSE),"")</f>
        <v/>
      </c>
      <c r="AM936">
        <f t="shared" si="202"/>
        <v>0</v>
      </c>
      <c r="AP936" t="str">
        <f>IFERROR(VLOOKUP(AO936,tbFactorMes,2,FALSE),"")</f>
        <v/>
      </c>
      <c r="AQ936">
        <f t="shared" si="203"/>
        <v>0</v>
      </c>
      <c r="AT936" t="str">
        <f>IFERROR(VLOOKUP(AS936,tbFactorMes,2,FALSE),"")</f>
        <v/>
      </c>
      <c r="AU936">
        <f t="shared" si="204"/>
        <v>0</v>
      </c>
      <c r="AX936" t="str">
        <f>IFERROR(VLOOKUP(AW936,tbFactorMes,2,FALSE),"")</f>
        <v/>
      </c>
      <c r="AY936">
        <f t="shared" si="205"/>
        <v>0</v>
      </c>
      <c r="BB936" t="str">
        <f>IFERROR(VLOOKUP(BA936,tbFactorMes,2,FALSE),"")</f>
        <v/>
      </c>
      <c r="BC936">
        <f t="shared" si="206"/>
        <v>0</v>
      </c>
      <c r="BF936" t="str">
        <f>IFERROR(VLOOKUP(BE936,tbFactorMes,2,FALSE),"")</f>
        <v/>
      </c>
      <c r="BG936">
        <f t="shared" si="207"/>
        <v>0</v>
      </c>
      <c r="BH936">
        <f t="shared" si="208"/>
        <v>0</v>
      </c>
      <c r="BI936">
        <f t="shared" si="209"/>
        <v>0</v>
      </c>
    </row>
    <row r="937" spans="11:61" x14ac:dyDescent="0.35">
      <c r="K937" t="str">
        <f>IFERROR(VLOOKUP(F937,tbTurnos,3,FALSE),"")</f>
        <v/>
      </c>
      <c r="N937" t="str">
        <f>IFERROR(VLOOKUP(M937,tbFactorMes,2,FALSE),"")</f>
        <v/>
      </c>
      <c r="O937">
        <f t="shared" si="196"/>
        <v>0</v>
      </c>
      <c r="R937" t="str">
        <f>IFERROR(VLOOKUP(Q937,tbFactorMes,2,FALSE),"")</f>
        <v/>
      </c>
      <c r="S937">
        <f t="shared" si="197"/>
        <v>0</v>
      </c>
      <c r="V937" t="str">
        <f>IFERROR(VLOOKUP(U937,tbFactorMes,2,FALSE),"")</f>
        <v/>
      </c>
      <c r="W937">
        <f t="shared" si="198"/>
        <v>0</v>
      </c>
      <c r="Z937" t="str">
        <f>IFERROR(VLOOKUP(Y937,tbFactorMes,2,FALSE),"")</f>
        <v/>
      </c>
      <c r="AA937">
        <f t="shared" si="199"/>
        <v>0</v>
      </c>
      <c r="AD937" t="str">
        <f>IFERROR(VLOOKUP(AC937,tbFactorMes,2,FALSE),"")</f>
        <v/>
      </c>
      <c r="AE937">
        <f t="shared" si="200"/>
        <v>0</v>
      </c>
      <c r="AH937" t="str">
        <f>IFERROR(VLOOKUP(AG937,tbFactorMes,2,FALSE),"")</f>
        <v/>
      </c>
      <c r="AI937">
        <f t="shared" si="201"/>
        <v>0</v>
      </c>
      <c r="AL937" t="str">
        <f>IFERROR(VLOOKUP(AK937,tbFactorMes,2,FALSE),"")</f>
        <v/>
      </c>
      <c r="AM937">
        <f t="shared" si="202"/>
        <v>0</v>
      </c>
      <c r="AP937" t="str">
        <f>IFERROR(VLOOKUP(AO937,tbFactorMes,2,FALSE),"")</f>
        <v/>
      </c>
      <c r="AQ937">
        <f t="shared" si="203"/>
        <v>0</v>
      </c>
      <c r="AT937" t="str">
        <f>IFERROR(VLOOKUP(AS937,tbFactorMes,2,FALSE),"")</f>
        <v/>
      </c>
      <c r="AU937">
        <f t="shared" si="204"/>
        <v>0</v>
      </c>
      <c r="AX937" t="str">
        <f>IFERROR(VLOOKUP(AW937,tbFactorMes,2,FALSE),"")</f>
        <v/>
      </c>
      <c r="AY937">
        <f t="shared" si="205"/>
        <v>0</v>
      </c>
      <c r="BB937" t="str">
        <f>IFERROR(VLOOKUP(BA937,tbFactorMes,2,FALSE),"")</f>
        <v/>
      </c>
      <c r="BC937">
        <f t="shared" si="206"/>
        <v>0</v>
      </c>
      <c r="BF937" t="str">
        <f>IFERROR(VLOOKUP(BE937,tbFactorMes,2,FALSE),"")</f>
        <v/>
      </c>
      <c r="BG937">
        <f t="shared" si="207"/>
        <v>0</v>
      </c>
      <c r="BH937">
        <f t="shared" si="208"/>
        <v>0</v>
      </c>
      <c r="BI937">
        <f t="shared" si="209"/>
        <v>0</v>
      </c>
    </row>
    <row r="938" spans="11:61" x14ac:dyDescent="0.35">
      <c r="K938" t="str">
        <f>IFERROR(VLOOKUP(F938,tbTurnos,3,FALSE),"")</f>
        <v/>
      </c>
      <c r="N938" t="str">
        <f>IFERROR(VLOOKUP(M938,tbFactorMes,2,FALSE),"")</f>
        <v/>
      </c>
      <c r="O938">
        <f t="shared" si="196"/>
        <v>0</v>
      </c>
      <c r="R938" t="str">
        <f>IFERROR(VLOOKUP(Q938,tbFactorMes,2,FALSE),"")</f>
        <v/>
      </c>
      <c r="S938">
        <f t="shared" si="197"/>
        <v>0</v>
      </c>
      <c r="V938" t="str">
        <f>IFERROR(VLOOKUP(U938,tbFactorMes,2,FALSE),"")</f>
        <v/>
      </c>
      <c r="W938">
        <f t="shared" si="198"/>
        <v>0</v>
      </c>
      <c r="Z938" t="str">
        <f>IFERROR(VLOOKUP(Y938,tbFactorMes,2,FALSE),"")</f>
        <v/>
      </c>
      <c r="AA938">
        <f t="shared" si="199"/>
        <v>0</v>
      </c>
      <c r="AD938" t="str">
        <f>IFERROR(VLOOKUP(AC938,tbFactorMes,2,FALSE),"")</f>
        <v/>
      </c>
      <c r="AE938">
        <f t="shared" si="200"/>
        <v>0</v>
      </c>
      <c r="AH938" t="str">
        <f>IFERROR(VLOOKUP(AG938,tbFactorMes,2,FALSE),"")</f>
        <v/>
      </c>
      <c r="AI938">
        <f t="shared" si="201"/>
        <v>0</v>
      </c>
      <c r="AL938" t="str">
        <f>IFERROR(VLOOKUP(AK938,tbFactorMes,2,FALSE),"")</f>
        <v/>
      </c>
      <c r="AM938">
        <f t="shared" si="202"/>
        <v>0</v>
      </c>
      <c r="AP938" t="str">
        <f>IFERROR(VLOOKUP(AO938,tbFactorMes,2,FALSE),"")</f>
        <v/>
      </c>
      <c r="AQ938">
        <f t="shared" si="203"/>
        <v>0</v>
      </c>
      <c r="AT938" t="str">
        <f>IFERROR(VLOOKUP(AS938,tbFactorMes,2,FALSE),"")</f>
        <v/>
      </c>
      <c r="AU938">
        <f t="shared" si="204"/>
        <v>0</v>
      </c>
      <c r="AX938" t="str">
        <f>IFERROR(VLOOKUP(AW938,tbFactorMes,2,FALSE),"")</f>
        <v/>
      </c>
      <c r="AY938">
        <f t="shared" si="205"/>
        <v>0</v>
      </c>
      <c r="BB938" t="str">
        <f>IFERROR(VLOOKUP(BA938,tbFactorMes,2,FALSE),"")</f>
        <v/>
      </c>
      <c r="BC938">
        <f t="shared" si="206"/>
        <v>0</v>
      </c>
      <c r="BF938" t="str">
        <f>IFERROR(VLOOKUP(BE938,tbFactorMes,2,FALSE),"")</f>
        <v/>
      </c>
      <c r="BG938">
        <f t="shared" si="207"/>
        <v>0</v>
      </c>
      <c r="BH938">
        <f t="shared" si="208"/>
        <v>0</v>
      </c>
      <c r="BI938">
        <f t="shared" si="209"/>
        <v>0</v>
      </c>
    </row>
    <row r="939" spans="11:61" x14ac:dyDescent="0.35">
      <c r="K939" t="str">
        <f>IFERROR(VLOOKUP(F939,tbTurnos,3,FALSE),"")</f>
        <v/>
      </c>
      <c r="N939" t="str">
        <f>IFERROR(VLOOKUP(M939,tbFactorMes,2,FALSE),"")</f>
        <v/>
      </c>
      <c r="O939">
        <f t="shared" si="196"/>
        <v>0</v>
      </c>
      <c r="R939" t="str">
        <f>IFERROR(VLOOKUP(Q939,tbFactorMes,2,FALSE),"")</f>
        <v/>
      </c>
      <c r="S939">
        <f t="shared" si="197"/>
        <v>0</v>
      </c>
      <c r="V939" t="str">
        <f>IFERROR(VLOOKUP(U939,tbFactorMes,2,FALSE),"")</f>
        <v/>
      </c>
      <c r="W939">
        <f t="shared" si="198"/>
        <v>0</v>
      </c>
      <c r="Z939" t="str">
        <f>IFERROR(VLOOKUP(Y939,tbFactorMes,2,FALSE),"")</f>
        <v/>
      </c>
      <c r="AA939">
        <f t="shared" si="199"/>
        <v>0</v>
      </c>
      <c r="AD939" t="str">
        <f>IFERROR(VLOOKUP(AC939,tbFactorMes,2,FALSE),"")</f>
        <v/>
      </c>
      <c r="AE939">
        <f t="shared" si="200"/>
        <v>0</v>
      </c>
      <c r="AH939" t="str">
        <f>IFERROR(VLOOKUP(AG939,tbFactorMes,2,FALSE),"")</f>
        <v/>
      </c>
      <c r="AI939">
        <f t="shared" si="201"/>
        <v>0</v>
      </c>
      <c r="AL939" t="str">
        <f>IFERROR(VLOOKUP(AK939,tbFactorMes,2,FALSE),"")</f>
        <v/>
      </c>
      <c r="AM939">
        <f t="shared" si="202"/>
        <v>0</v>
      </c>
      <c r="AP939" t="str">
        <f>IFERROR(VLOOKUP(AO939,tbFactorMes,2,FALSE),"")</f>
        <v/>
      </c>
      <c r="AQ939">
        <f t="shared" si="203"/>
        <v>0</v>
      </c>
      <c r="AT939" t="str">
        <f>IFERROR(VLOOKUP(AS939,tbFactorMes,2,FALSE),"")</f>
        <v/>
      </c>
      <c r="AU939">
        <f t="shared" si="204"/>
        <v>0</v>
      </c>
      <c r="AX939" t="str">
        <f>IFERROR(VLOOKUP(AW939,tbFactorMes,2,FALSE),"")</f>
        <v/>
      </c>
      <c r="AY939">
        <f t="shared" si="205"/>
        <v>0</v>
      </c>
      <c r="BB939" t="str">
        <f>IFERROR(VLOOKUP(BA939,tbFactorMes,2,FALSE),"")</f>
        <v/>
      </c>
      <c r="BC939">
        <f t="shared" si="206"/>
        <v>0</v>
      </c>
      <c r="BF939" t="str">
        <f>IFERROR(VLOOKUP(BE939,tbFactorMes,2,FALSE),"")</f>
        <v/>
      </c>
      <c r="BG939">
        <f t="shared" si="207"/>
        <v>0</v>
      </c>
      <c r="BH939">
        <f t="shared" si="208"/>
        <v>0</v>
      </c>
      <c r="BI939">
        <f t="shared" si="209"/>
        <v>0</v>
      </c>
    </row>
    <row r="940" spans="11:61" x14ac:dyDescent="0.35">
      <c r="K940" t="str">
        <f>IFERROR(VLOOKUP(F940,tbTurnos,3,FALSE),"")</f>
        <v/>
      </c>
      <c r="N940" t="str">
        <f>IFERROR(VLOOKUP(M940,tbFactorMes,2,FALSE),"")</f>
        <v/>
      </c>
      <c r="O940">
        <f t="shared" si="196"/>
        <v>0</v>
      </c>
      <c r="R940" t="str">
        <f>IFERROR(VLOOKUP(Q940,tbFactorMes,2,FALSE),"")</f>
        <v/>
      </c>
      <c r="S940">
        <f t="shared" si="197"/>
        <v>0</v>
      </c>
      <c r="V940" t="str">
        <f>IFERROR(VLOOKUP(U940,tbFactorMes,2,FALSE),"")</f>
        <v/>
      </c>
      <c r="W940">
        <f t="shared" si="198"/>
        <v>0</v>
      </c>
      <c r="Z940" t="str">
        <f>IFERROR(VLOOKUP(Y940,tbFactorMes,2,FALSE),"")</f>
        <v/>
      </c>
      <c r="AA940">
        <f t="shared" si="199"/>
        <v>0</v>
      </c>
      <c r="AD940" t="str">
        <f>IFERROR(VLOOKUP(AC940,tbFactorMes,2,FALSE),"")</f>
        <v/>
      </c>
      <c r="AE940">
        <f t="shared" si="200"/>
        <v>0</v>
      </c>
      <c r="AH940" t="str">
        <f>IFERROR(VLOOKUP(AG940,tbFactorMes,2,FALSE),"")</f>
        <v/>
      </c>
      <c r="AI940">
        <f t="shared" si="201"/>
        <v>0</v>
      </c>
      <c r="AL940" t="str">
        <f>IFERROR(VLOOKUP(AK940,tbFactorMes,2,FALSE),"")</f>
        <v/>
      </c>
      <c r="AM940">
        <f t="shared" si="202"/>
        <v>0</v>
      </c>
      <c r="AP940" t="str">
        <f>IFERROR(VLOOKUP(AO940,tbFactorMes,2,FALSE),"")</f>
        <v/>
      </c>
      <c r="AQ940">
        <f t="shared" si="203"/>
        <v>0</v>
      </c>
      <c r="AT940" t="str">
        <f>IFERROR(VLOOKUP(AS940,tbFactorMes,2,FALSE),"")</f>
        <v/>
      </c>
      <c r="AU940">
        <f t="shared" si="204"/>
        <v>0</v>
      </c>
      <c r="AX940" t="str">
        <f>IFERROR(VLOOKUP(AW940,tbFactorMes,2,FALSE),"")</f>
        <v/>
      </c>
      <c r="AY940">
        <f t="shared" si="205"/>
        <v>0</v>
      </c>
      <c r="BB940" t="str">
        <f>IFERROR(VLOOKUP(BA940,tbFactorMes,2,FALSE),"")</f>
        <v/>
      </c>
      <c r="BC940">
        <f t="shared" si="206"/>
        <v>0</v>
      </c>
      <c r="BF940" t="str">
        <f>IFERROR(VLOOKUP(BE940,tbFactorMes,2,FALSE),"")</f>
        <v/>
      </c>
      <c r="BG940">
        <f t="shared" si="207"/>
        <v>0</v>
      </c>
      <c r="BH940">
        <f t="shared" si="208"/>
        <v>0</v>
      </c>
      <c r="BI940">
        <f t="shared" si="209"/>
        <v>0</v>
      </c>
    </row>
    <row r="941" spans="11:61" x14ac:dyDescent="0.35">
      <c r="K941" t="str">
        <f>IFERROR(VLOOKUP(F941,tbTurnos,3,FALSE),"")</f>
        <v/>
      </c>
      <c r="N941" t="str">
        <f>IFERROR(VLOOKUP(M941,tbFactorMes,2,FALSE),"")</f>
        <v/>
      </c>
      <c r="O941">
        <f t="shared" si="196"/>
        <v>0</v>
      </c>
      <c r="R941" t="str">
        <f>IFERROR(VLOOKUP(Q941,tbFactorMes,2,FALSE),"")</f>
        <v/>
      </c>
      <c r="S941">
        <f t="shared" si="197"/>
        <v>0</v>
      </c>
      <c r="V941" t="str">
        <f>IFERROR(VLOOKUP(U941,tbFactorMes,2,FALSE),"")</f>
        <v/>
      </c>
      <c r="W941">
        <f t="shared" si="198"/>
        <v>0</v>
      </c>
      <c r="Z941" t="str">
        <f>IFERROR(VLOOKUP(Y941,tbFactorMes,2,FALSE),"")</f>
        <v/>
      </c>
      <c r="AA941">
        <f t="shared" si="199"/>
        <v>0</v>
      </c>
      <c r="AD941" t="str">
        <f>IFERROR(VLOOKUP(AC941,tbFactorMes,2,FALSE),"")</f>
        <v/>
      </c>
      <c r="AE941">
        <f t="shared" si="200"/>
        <v>0</v>
      </c>
      <c r="AH941" t="str">
        <f>IFERROR(VLOOKUP(AG941,tbFactorMes,2,FALSE),"")</f>
        <v/>
      </c>
      <c r="AI941">
        <f t="shared" si="201"/>
        <v>0</v>
      </c>
      <c r="AL941" t="str">
        <f>IFERROR(VLOOKUP(AK941,tbFactorMes,2,FALSE),"")</f>
        <v/>
      </c>
      <c r="AM941">
        <f t="shared" si="202"/>
        <v>0</v>
      </c>
      <c r="AP941" t="str">
        <f>IFERROR(VLOOKUP(AO941,tbFactorMes,2,FALSE),"")</f>
        <v/>
      </c>
      <c r="AQ941">
        <f t="shared" si="203"/>
        <v>0</v>
      </c>
      <c r="AT941" t="str">
        <f>IFERROR(VLOOKUP(AS941,tbFactorMes,2,FALSE),"")</f>
        <v/>
      </c>
      <c r="AU941">
        <f t="shared" si="204"/>
        <v>0</v>
      </c>
      <c r="AX941" t="str">
        <f>IFERROR(VLOOKUP(AW941,tbFactorMes,2,FALSE),"")</f>
        <v/>
      </c>
      <c r="AY941">
        <f t="shared" si="205"/>
        <v>0</v>
      </c>
      <c r="BB941" t="str">
        <f>IFERROR(VLOOKUP(BA941,tbFactorMes,2,FALSE),"")</f>
        <v/>
      </c>
      <c r="BC941">
        <f t="shared" si="206"/>
        <v>0</v>
      </c>
      <c r="BF941" t="str">
        <f>IFERROR(VLOOKUP(BE941,tbFactorMes,2,FALSE),"")</f>
        <v/>
      </c>
      <c r="BG941">
        <f t="shared" si="207"/>
        <v>0</v>
      </c>
      <c r="BH941">
        <f t="shared" si="208"/>
        <v>0</v>
      </c>
      <c r="BI941">
        <f t="shared" si="209"/>
        <v>0</v>
      </c>
    </row>
    <row r="942" spans="11:61" x14ac:dyDescent="0.35">
      <c r="K942" t="str">
        <f>IFERROR(VLOOKUP(F942,tbTurnos,3,FALSE),"")</f>
        <v/>
      </c>
      <c r="N942" t="str">
        <f>IFERROR(VLOOKUP(M942,tbFactorMes,2,FALSE),"")</f>
        <v/>
      </c>
      <c r="O942">
        <f t="shared" si="196"/>
        <v>0</v>
      </c>
      <c r="R942" t="str">
        <f>IFERROR(VLOOKUP(Q942,tbFactorMes,2,FALSE),"")</f>
        <v/>
      </c>
      <c r="S942">
        <f t="shared" si="197"/>
        <v>0</v>
      </c>
      <c r="V942" t="str">
        <f>IFERROR(VLOOKUP(U942,tbFactorMes,2,FALSE),"")</f>
        <v/>
      </c>
      <c r="W942">
        <f t="shared" si="198"/>
        <v>0</v>
      </c>
      <c r="Z942" t="str">
        <f>IFERROR(VLOOKUP(Y942,tbFactorMes,2,FALSE),"")</f>
        <v/>
      </c>
      <c r="AA942">
        <f t="shared" si="199"/>
        <v>0</v>
      </c>
      <c r="AD942" t="str">
        <f>IFERROR(VLOOKUP(AC942,tbFactorMes,2,FALSE),"")</f>
        <v/>
      </c>
      <c r="AE942">
        <f t="shared" si="200"/>
        <v>0</v>
      </c>
      <c r="AH942" t="str">
        <f>IFERROR(VLOOKUP(AG942,tbFactorMes,2,FALSE),"")</f>
        <v/>
      </c>
      <c r="AI942">
        <f t="shared" si="201"/>
        <v>0</v>
      </c>
      <c r="AL942" t="str">
        <f>IFERROR(VLOOKUP(AK942,tbFactorMes,2,FALSE),"")</f>
        <v/>
      </c>
      <c r="AM942">
        <f t="shared" si="202"/>
        <v>0</v>
      </c>
      <c r="AP942" t="str">
        <f>IFERROR(VLOOKUP(AO942,tbFactorMes,2,FALSE),"")</f>
        <v/>
      </c>
      <c r="AQ942">
        <f t="shared" si="203"/>
        <v>0</v>
      </c>
      <c r="AT942" t="str">
        <f>IFERROR(VLOOKUP(AS942,tbFactorMes,2,FALSE),"")</f>
        <v/>
      </c>
      <c r="AU942">
        <f t="shared" si="204"/>
        <v>0</v>
      </c>
      <c r="AX942" t="str">
        <f>IFERROR(VLOOKUP(AW942,tbFactorMes,2,FALSE),"")</f>
        <v/>
      </c>
      <c r="AY942">
        <f t="shared" si="205"/>
        <v>0</v>
      </c>
      <c r="BB942" t="str">
        <f>IFERROR(VLOOKUP(BA942,tbFactorMes,2,FALSE),"")</f>
        <v/>
      </c>
      <c r="BC942">
        <f t="shared" si="206"/>
        <v>0</v>
      </c>
      <c r="BF942" t="str">
        <f>IFERROR(VLOOKUP(BE942,tbFactorMes,2,FALSE),"")</f>
        <v/>
      </c>
      <c r="BG942">
        <f t="shared" si="207"/>
        <v>0</v>
      </c>
      <c r="BH942">
        <f t="shared" si="208"/>
        <v>0</v>
      </c>
      <c r="BI942">
        <f t="shared" si="209"/>
        <v>0</v>
      </c>
    </row>
    <row r="943" spans="11:61" x14ac:dyDescent="0.35">
      <c r="K943" t="str">
        <f>IFERROR(VLOOKUP(F943,tbTurnos,3,FALSE),"")</f>
        <v/>
      </c>
      <c r="N943" t="str">
        <f>IFERROR(VLOOKUP(M943,tbFactorMes,2,FALSE),"")</f>
        <v/>
      </c>
      <c r="O943">
        <f t="shared" si="196"/>
        <v>0</v>
      </c>
      <c r="R943" t="str">
        <f>IFERROR(VLOOKUP(Q943,tbFactorMes,2,FALSE),"")</f>
        <v/>
      </c>
      <c r="S943">
        <f t="shared" si="197"/>
        <v>0</v>
      </c>
      <c r="V943" t="str">
        <f>IFERROR(VLOOKUP(U943,tbFactorMes,2,FALSE),"")</f>
        <v/>
      </c>
      <c r="W943">
        <f t="shared" si="198"/>
        <v>0</v>
      </c>
      <c r="Z943" t="str">
        <f>IFERROR(VLOOKUP(Y943,tbFactorMes,2,FALSE),"")</f>
        <v/>
      </c>
      <c r="AA943">
        <f t="shared" si="199"/>
        <v>0</v>
      </c>
      <c r="AD943" t="str">
        <f>IFERROR(VLOOKUP(AC943,tbFactorMes,2,FALSE),"")</f>
        <v/>
      </c>
      <c r="AE943">
        <f t="shared" si="200"/>
        <v>0</v>
      </c>
      <c r="AH943" t="str">
        <f>IFERROR(VLOOKUP(AG943,tbFactorMes,2,FALSE),"")</f>
        <v/>
      </c>
      <c r="AI943">
        <f t="shared" si="201"/>
        <v>0</v>
      </c>
      <c r="AL943" t="str">
        <f>IFERROR(VLOOKUP(AK943,tbFactorMes,2,FALSE),"")</f>
        <v/>
      </c>
      <c r="AM943">
        <f t="shared" si="202"/>
        <v>0</v>
      </c>
      <c r="AP943" t="str">
        <f>IFERROR(VLOOKUP(AO943,tbFactorMes,2,FALSE),"")</f>
        <v/>
      </c>
      <c r="AQ943">
        <f t="shared" si="203"/>
        <v>0</v>
      </c>
      <c r="AT943" t="str">
        <f>IFERROR(VLOOKUP(AS943,tbFactorMes,2,FALSE),"")</f>
        <v/>
      </c>
      <c r="AU943">
        <f t="shared" si="204"/>
        <v>0</v>
      </c>
      <c r="AX943" t="str">
        <f>IFERROR(VLOOKUP(AW943,tbFactorMes,2,FALSE),"")</f>
        <v/>
      </c>
      <c r="AY943">
        <f t="shared" si="205"/>
        <v>0</v>
      </c>
      <c r="BB943" t="str">
        <f>IFERROR(VLOOKUP(BA943,tbFactorMes,2,FALSE),"")</f>
        <v/>
      </c>
      <c r="BC943">
        <f t="shared" si="206"/>
        <v>0</v>
      </c>
      <c r="BF943" t="str">
        <f>IFERROR(VLOOKUP(BE943,tbFactorMes,2,FALSE),"")</f>
        <v/>
      </c>
      <c r="BG943">
        <f t="shared" si="207"/>
        <v>0</v>
      </c>
      <c r="BH943">
        <f t="shared" si="208"/>
        <v>0</v>
      </c>
      <c r="BI943">
        <f t="shared" si="209"/>
        <v>0</v>
      </c>
    </row>
    <row r="944" spans="11:61" x14ac:dyDescent="0.35">
      <c r="K944" t="str">
        <f>IFERROR(VLOOKUP(F944,tbTurnos,3,FALSE),"")</f>
        <v/>
      </c>
      <c r="N944" t="str">
        <f>IFERROR(VLOOKUP(M944,tbFactorMes,2,FALSE),"")</f>
        <v/>
      </c>
      <c r="O944">
        <f t="shared" si="196"/>
        <v>0</v>
      </c>
      <c r="R944" t="str">
        <f>IFERROR(VLOOKUP(Q944,tbFactorMes,2,FALSE),"")</f>
        <v/>
      </c>
      <c r="S944">
        <f t="shared" si="197"/>
        <v>0</v>
      </c>
      <c r="V944" t="str">
        <f>IFERROR(VLOOKUP(U944,tbFactorMes,2,FALSE),"")</f>
        <v/>
      </c>
      <c r="W944">
        <f t="shared" si="198"/>
        <v>0</v>
      </c>
      <c r="Z944" t="str">
        <f>IFERROR(VLOOKUP(Y944,tbFactorMes,2,FALSE),"")</f>
        <v/>
      </c>
      <c r="AA944">
        <f t="shared" si="199"/>
        <v>0</v>
      </c>
      <c r="AD944" t="str">
        <f>IFERROR(VLOOKUP(AC944,tbFactorMes,2,FALSE),"")</f>
        <v/>
      </c>
      <c r="AE944">
        <f t="shared" si="200"/>
        <v>0</v>
      </c>
      <c r="AH944" t="str">
        <f>IFERROR(VLOOKUP(AG944,tbFactorMes,2,FALSE),"")</f>
        <v/>
      </c>
      <c r="AI944">
        <f t="shared" si="201"/>
        <v>0</v>
      </c>
      <c r="AL944" t="str">
        <f>IFERROR(VLOOKUP(AK944,tbFactorMes,2,FALSE),"")</f>
        <v/>
      </c>
      <c r="AM944">
        <f t="shared" si="202"/>
        <v>0</v>
      </c>
      <c r="AP944" t="str">
        <f>IFERROR(VLOOKUP(AO944,tbFactorMes,2,FALSE),"")</f>
        <v/>
      </c>
      <c r="AQ944">
        <f t="shared" si="203"/>
        <v>0</v>
      </c>
      <c r="AT944" t="str">
        <f>IFERROR(VLOOKUP(AS944,tbFactorMes,2,FALSE),"")</f>
        <v/>
      </c>
      <c r="AU944">
        <f t="shared" si="204"/>
        <v>0</v>
      </c>
      <c r="AX944" t="str">
        <f>IFERROR(VLOOKUP(AW944,tbFactorMes,2,FALSE),"")</f>
        <v/>
      </c>
      <c r="AY944">
        <f t="shared" si="205"/>
        <v>0</v>
      </c>
      <c r="BB944" t="str">
        <f>IFERROR(VLOOKUP(BA944,tbFactorMes,2,FALSE),"")</f>
        <v/>
      </c>
      <c r="BC944">
        <f t="shared" si="206"/>
        <v>0</v>
      </c>
      <c r="BF944" t="str">
        <f>IFERROR(VLOOKUP(BE944,tbFactorMes,2,FALSE),"")</f>
        <v/>
      </c>
      <c r="BG944">
        <f t="shared" si="207"/>
        <v>0</v>
      </c>
      <c r="BH944">
        <f t="shared" si="208"/>
        <v>0</v>
      </c>
      <c r="BI944">
        <f t="shared" si="209"/>
        <v>0</v>
      </c>
    </row>
    <row r="945" spans="11:61" x14ac:dyDescent="0.35">
      <c r="K945" t="str">
        <f>IFERROR(VLOOKUP(F945,tbTurnos,3,FALSE),"")</f>
        <v/>
      </c>
      <c r="N945" t="str">
        <f>IFERROR(VLOOKUP(M945,tbFactorMes,2,FALSE),"")</f>
        <v/>
      </c>
      <c r="O945">
        <f t="shared" si="196"/>
        <v>0</v>
      </c>
      <c r="R945" t="str">
        <f>IFERROR(VLOOKUP(Q945,tbFactorMes,2,FALSE),"")</f>
        <v/>
      </c>
      <c r="S945">
        <f t="shared" si="197"/>
        <v>0</v>
      </c>
      <c r="V945" t="str">
        <f>IFERROR(VLOOKUP(U945,tbFactorMes,2,FALSE),"")</f>
        <v/>
      </c>
      <c r="W945">
        <f t="shared" si="198"/>
        <v>0</v>
      </c>
      <c r="Z945" t="str">
        <f>IFERROR(VLOOKUP(Y945,tbFactorMes,2,FALSE),"")</f>
        <v/>
      </c>
      <c r="AA945">
        <f t="shared" si="199"/>
        <v>0</v>
      </c>
      <c r="AD945" t="str">
        <f>IFERROR(VLOOKUP(AC945,tbFactorMes,2,FALSE),"")</f>
        <v/>
      </c>
      <c r="AE945">
        <f t="shared" si="200"/>
        <v>0</v>
      </c>
      <c r="AH945" t="str">
        <f>IFERROR(VLOOKUP(AG945,tbFactorMes,2,FALSE),"")</f>
        <v/>
      </c>
      <c r="AI945">
        <f t="shared" si="201"/>
        <v>0</v>
      </c>
      <c r="AL945" t="str">
        <f>IFERROR(VLOOKUP(AK945,tbFactorMes,2,FALSE),"")</f>
        <v/>
      </c>
      <c r="AM945">
        <f t="shared" si="202"/>
        <v>0</v>
      </c>
      <c r="AP945" t="str">
        <f>IFERROR(VLOOKUP(AO945,tbFactorMes,2,FALSE),"")</f>
        <v/>
      </c>
      <c r="AQ945">
        <f t="shared" si="203"/>
        <v>0</v>
      </c>
      <c r="AT945" t="str">
        <f>IFERROR(VLOOKUP(AS945,tbFactorMes,2,FALSE),"")</f>
        <v/>
      </c>
      <c r="AU945">
        <f t="shared" si="204"/>
        <v>0</v>
      </c>
      <c r="AX945" t="str">
        <f>IFERROR(VLOOKUP(AW945,tbFactorMes,2,FALSE),"")</f>
        <v/>
      </c>
      <c r="AY945">
        <f t="shared" si="205"/>
        <v>0</v>
      </c>
      <c r="BB945" t="str">
        <f>IFERROR(VLOOKUP(BA945,tbFactorMes,2,FALSE),"")</f>
        <v/>
      </c>
      <c r="BC945">
        <f t="shared" si="206"/>
        <v>0</v>
      </c>
      <c r="BF945" t="str">
        <f>IFERROR(VLOOKUP(BE945,tbFactorMes,2,FALSE),"")</f>
        <v/>
      </c>
      <c r="BG945">
        <f t="shared" si="207"/>
        <v>0</v>
      </c>
      <c r="BH945">
        <f t="shared" si="208"/>
        <v>0</v>
      </c>
      <c r="BI945">
        <f t="shared" si="209"/>
        <v>0</v>
      </c>
    </row>
    <row r="946" spans="11:61" x14ac:dyDescent="0.35">
      <c r="K946" t="str">
        <f>IFERROR(VLOOKUP(F946,tbTurnos,3,FALSE),"")</f>
        <v/>
      </c>
      <c r="N946" t="str">
        <f>IFERROR(VLOOKUP(M946,tbFactorMes,2,FALSE),"")</f>
        <v/>
      </c>
      <c r="O946">
        <f t="shared" si="196"/>
        <v>0</v>
      </c>
      <c r="R946" t="str">
        <f>IFERROR(VLOOKUP(Q946,tbFactorMes,2,FALSE),"")</f>
        <v/>
      </c>
      <c r="S946">
        <f t="shared" si="197"/>
        <v>0</v>
      </c>
      <c r="V946" t="str">
        <f>IFERROR(VLOOKUP(U946,tbFactorMes,2,FALSE),"")</f>
        <v/>
      </c>
      <c r="W946">
        <f t="shared" si="198"/>
        <v>0</v>
      </c>
      <c r="Z946" t="str">
        <f>IFERROR(VLOOKUP(Y946,tbFactorMes,2,FALSE),"")</f>
        <v/>
      </c>
      <c r="AA946">
        <f t="shared" si="199"/>
        <v>0</v>
      </c>
      <c r="AD946" t="str">
        <f>IFERROR(VLOOKUP(AC946,tbFactorMes,2,FALSE),"")</f>
        <v/>
      </c>
      <c r="AE946">
        <f t="shared" si="200"/>
        <v>0</v>
      </c>
      <c r="AH946" t="str">
        <f>IFERROR(VLOOKUP(AG946,tbFactorMes,2,FALSE),"")</f>
        <v/>
      </c>
      <c r="AI946">
        <f t="shared" si="201"/>
        <v>0</v>
      </c>
      <c r="AL946" t="str">
        <f>IFERROR(VLOOKUP(AK946,tbFactorMes,2,FALSE),"")</f>
        <v/>
      </c>
      <c r="AM946">
        <f t="shared" si="202"/>
        <v>0</v>
      </c>
      <c r="AP946" t="str">
        <f>IFERROR(VLOOKUP(AO946,tbFactorMes,2,FALSE),"")</f>
        <v/>
      </c>
      <c r="AQ946">
        <f t="shared" si="203"/>
        <v>0</v>
      </c>
      <c r="AT946" t="str">
        <f>IFERROR(VLOOKUP(AS946,tbFactorMes,2,FALSE),"")</f>
        <v/>
      </c>
      <c r="AU946">
        <f t="shared" si="204"/>
        <v>0</v>
      </c>
      <c r="AX946" t="str">
        <f>IFERROR(VLOOKUP(AW946,tbFactorMes,2,FALSE),"")</f>
        <v/>
      </c>
      <c r="AY946">
        <f t="shared" si="205"/>
        <v>0</v>
      </c>
      <c r="BB946" t="str">
        <f>IFERROR(VLOOKUP(BA946,tbFactorMes,2,FALSE),"")</f>
        <v/>
      </c>
      <c r="BC946">
        <f t="shared" si="206"/>
        <v>0</v>
      </c>
      <c r="BF946" t="str">
        <f>IFERROR(VLOOKUP(BE946,tbFactorMes,2,FALSE),"")</f>
        <v/>
      </c>
      <c r="BG946">
        <f t="shared" si="207"/>
        <v>0</v>
      </c>
      <c r="BH946">
        <f t="shared" si="208"/>
        <v>0</v>
      </c>
      <c r="BI946">
        <f t="shared" si="209"/>
        <v>0</v>
      </c>
    </row>
    <row r="947" spans="11:61" x14ac:dyDescent="0.35">
      <c r="K947" t="str">
        <f>IFERROR(VLOOKUP(F947,tbTurnos,3,FALSE),"")</f>
        <v/>
      </c>
      <c r="N947" t="str">
        <f>IFERROR(VLOOKUP(M947,tbFactorMes,2,FALSE),"")</f>
        <v/>
      </c>
      <c r="O947">
        <f t="shared" si="196"/>
        <v>0</v>
      </c>
      <c r="R947" t="str">
        <f>IFERROR(VLOOKUP(Q947,tbFactorMes,2,FALSE),"")</f>
        <v/>
      </c>
      <c r="S947">
        <f t="shared" si="197"/>
        <v>0</v>
      </c>
      <c r="V947" t="str">
        <f>IFERROR(VLOOKUP(U947,tbFactorMes,2,FALSE),"")</f>
        <v/>
      </c>
      <c r="W947">
        <f t="shared" si="198"/>
        <v>0</v>
      </c>
      <c r="Z947" t="str">
        <f>IFERROR(VLOOKUP(Y947,tbFactorMes,2,FALSE),"")</f>
        <v/>
      </c>
      <c r="AA947">
        <f t="shared" si="199"/>
        <v>0</v>
      </c>
      <c r="AD947" t="str">
        <f>IFERROR(VLOOKUP(AC947,tbFactorMes,2,FALSE),"")</f>
        <v/>
      </c>
      <c r="AE947">
        <f t="shared" si="200"/>
        <v>0</v>
      </c>
      <c r="AH947" t="str">
        <f>IFERROR(VLOOKUP(AG947,tbFactorMes,2,FALSE),"")</f>
        <v/>
      </c>
      <c r="AI947">
        <f t="shared" si="201"/>
        <v>0</v>
      </c>
      <c r="AL947" t="str">
        <f>IFERROR(VLOOKUP(AK947,tbFactorMes,2,FALSE),"")</f>
        <v/>
      </c>
      <c r="AM947">
        <f t="shared" si="202"/>
        <v>0</v>
      </c>
      <c r="AP947" t="str">
        <f>IFERROR(VLOOKUP(AO947,tbFactorMes,2,FALSE),"")</f>
        <v/>
      </c>
      <c r="AQ947">
        <f t="shared" si="203"/>
        <v>0</v>
      </c>
      <c r="AT947" t="str">
        <f>IFERROR(VLOOKUP(AS947,tbFactorMes,2,FALSE),"")</f>
        <v/>
      </c>
      <c r="AU947">
        <f t="shared" si="204"/>
        <v>0</v>
      </c>
      <c r="AX947" t="str">
        <f>IFERROR(VLOOKUP(AW947,tbFactorMes,2,FALSE),"")</f>
        <v/>
      </c>
      <c r="AY947">
        <f t="shared" si="205"/>
        <v>0</v>
      </c>
      <c r="BB947" t="str">
        <f>IFERROR(VLOOKUP(BA947,tbFactorMes,2,FALSE),"")</f>
        <v/>
      </c>
      <c r="BC947">
        <f t="shared" si="206"/>
        <v>0</v>
      </c>
      <c r="BF947" t="str">
        <f>IFERROR(VLOOKUP(BE947,tbFactorMes,2,FALSE),"")</f>
        <v/>
      </c>
      <c r="BG947">
        <f t="shared" si="207"/>
        <v>0</v>
      </c>
      <c r="BH947">
        <f t="shared" si="208"/>
        <v>0</v>
      </c>
      <c r="BI947">
        <f t="shared" si="209"/>
        <v>0</v>
      </c>
    </row>
    <row r="948" spans="11:61" x14ac:dyDescent="0.35">
      <c r="K948" t="str">
        <f>IFERROR(VLOOKUP(F948,tbTurnos,3,FALSE),"")</f>
        <v/>
      </c>
      <c r="N948" t="str">
        <f>IFERROR(VLOOKUP(M948,tbFactorMes,2,FALSE),"")</f>
        <v/>
      </c>
      <c r="O948">
        <f t="shared" si="196"/>
        <v>0</v>
      </c>
      <c r="R948" t="str">
        <f>IFERROR(VLOOKUP(Q948,tbFactorMes,2,FALSE),"")</f>
        <v/>
      </c>
      <c r="S948">
        <f t="shared" si="197"/>
        <v>0</v>
      </c>
      <c r="V948" t="str">
        <f>IFERROR(VLOOKUP(U948,tbFactorMes,2,FALSE),"")</f>
        <v/>
      </c>
      <c r="W948">
        <f t="shared" si="198"/>
        <v>0</v>
      </c>
      <c r="Z948" t="str">
        <f>IFERROR(VLOOKUP(Y948,tbFactorMes,2,FALSE),"")</f>
        <v/>
      </c>
      <c r="AA948">
        <f t="shared" si="199"/>
        <v>0</v>
      </c>
      <c r="AD948" t="str">
        <f>IFERROR(VLOOKUP(AC948,tbFactorMes,2,FALSE),"")</f>
        <v/>
      </c>
      <c r="AE948">
        <f t="shared" si="200"/>
        <v>0</v>
      </c>
      <c r="AH948" t="str">
        <f>IFERROR(VLOOKUP(AG948,tbFactorMes,2,FALSE),"")</f>
        <v/>
      </c>
      <c r="AI948">
        <f t="shared" si="201"/>
        <v>0</v>
      </c>
      <c r="AL948" t="str">
        <f>IFERROR(VLOOKUP(AK948,tbFactorMes,2,FALSE),"")</f>
        <v/>
      </c>
      <c r="AM948">
        <f t="shared" si="202"/>
        <v>0</v>
      </c>
      <c r="AP948" t="str">
        <f>IFERROR(VLOOKUP(AO948,tbFactorMes,2,FALSE),"")</f>
        <v/>
      </c>
      <c r="AQ948">
        <f t="shared" si="203"/>
        <v>0</v>
      </c>
      <c r="AT948" t="str">
        <f>IFERROR(VLOOKUP(AS948,tbFactorMes,2,FALSE),"")</f>
        <v/>
      </c>
      <c r="AU948">
        <f t="shared" si="204"/>
        <v>0</v>
      </c>
      <c r="AX948" t="str">
        <f>IFERROR(VLOOKUP(AW948,tbFactorMes,2,FALSE),"")</f>
        <v/>
      </c>
      <c r="AY948">
        <f t="shared" si="205"/>
        <v>0</v>
      </c>
      <c r="BB948" t="str">
        <f>IFERROR(VLOOKUP(BA948,tbFactorMes,2,FALSE),"")</f>
        <v/>
      </c>
      <c r="BC948">
        <f t="shared" si="206"/>
        <v>0</v>
      </c>
      <c r="BF948" t="str">
        <f>IFERROR(VLOOKUP(BE948,tbFactorMes,2,FALSE),"")</f>
        <v/>
      </c>
      <c r="BG948">
        <f t="shared" si="207"/>
        <v>0</v>
      </c>
      <c r="BH948">
        <f t="shared" si="208"/>
        <v>0</v>
      </c>
      <c r="BI948">
        <f t="shared" si="209"/>
        <v>0</v>
      </c>
    </row>
    <row r="949" spans="11:61" x14ac:dyDescent="0.35">
      <c r="K949" t="str">
        <f>IFERROR(VLOOKUP(F949,tbTurnos,3,FALSE),"")</f>
        <v/>
      </c>
      <c r="N949" t="str">
        <f>IFERROR(VLOOKUP(M949,tbFactorMes,2,FALSE),"")</f>
        <v/>
      </c>
      <c r="O949">
        <f t="shared" si="196"/>
        <v>0</v>
      </c>
      <c r="R949" t="str">
        <f>IFERROR(VLOOKUP(Q949,tbFactorMes,2,FALSE),"")</f>
        <v/>
      </c>
      <c r="S949">
        <f t="shared" si="197"/>
        <v>0</v>
      </c>
      <c r="V949" t="str">
        <f>IFERROR(VLOOKUP(U949,tbFactorMes,2,FALSE),"")</f>
        <v/>
      </c>
      <c r="W949">
        <f t="shared" si="198"/>
        <v>0</v>
      </c>
      <c r="Z949" t="str">
        <f>IFERROR(VLOOKUP(Y949,tbFactorMes,2,FALSE),"")</f>
        <v/>
      </c>
      <c r="AA949">
        <f t="shared" si="199"/>
        <v>0</v>
      </c>
      <c r="AD949" t="str">
        <f>IFERROR(VLOOKUP(AC949,tbFactorMes,2,FALSE),"")</f>
        <v/>
      </c>
      <c r="AE949">
        <f t="shared" si="200"/>
        <v>0</v>
      </c>
      <c r="AH949" t="str">
        <f>IFERROR(VLOOKUP(AG949,tbFactorMes,2,FALSE),"")</f>
        <v/>
      </c>
      <c r="AI949">
        <f t="shared" si="201"/>
        <v>0</v>
      </c>
      <c r="AL949" t="str">
        <f>IFERROR(VLOOKUP(AK949,tbFactorMes,2,FALSE),"")</f>
        <v/>
      </c>
      <c r="AM949">
        <f t="shared" si="202"/>
        <v>0</v>
      </c>
      <c r="AP949" t="str">
        <f>IFERROR(VLOOKUP(AO949,tbFactorMes,2,FALSE),"")</f>
        <v/>
      </c>
      <c r="AQ949">
        <f t="shared" si="203"/>
        <v>0</v>
      </c>
      <c r="AT949" t="str">
        <f>IFERROR(VLOOKUP(AS949,tbFactorMes,2,FALSE),"")</f>
        <v/>
      </c>
      <c r="AU949">
        <f t="shared" si="204"/>
        <v>0</v>
      </c>
      <c r="AX949" t="str">
        <f>IFERROR(VLOOKUP(AW949,tbFactorMes,2,FALSE),"")</f>
        <v/>
      </c>
      <c r="AY949">
        <f t="shared" si="205"/>
        <v>0</v>
      </c>
      <c r="BB949" t="str">
        <f>IFERROR(VLOOKUP(BA949,tbFactorMes,2,FALSE),"")</f>
        <v/>
      </c>
      <c r="BC949">
        <f t="shared" si="206"/>
        <v>0</v>
      </c>
      <c r="BF949" t="str">
        <f>IFERROR(VLOOKUP(BE949,tbFactorMes,2,FALSE),"")</f>
        <v/>
      </c>
      <c r="BG949">
        <f t="shared" si="207"/>
        <v>0</v>
      </c>
      <c r="BH949">
        <f t="shared" si="208"/>
        <v>0</v>
      </c>
      <c r="BI949">
        <f t="shared" si="209"/>
        <v>0</v>
      </c>
    </row>
    <row r="950" spans="11:61" x14ac:dyDescent="0.35">
      <c r="K950" t="str">
        <f>IFERROR(VLOOKUP(F950,tbTurnos,3,FALSE),"")</f>
        <v/>
      </c>
      <c r="N950" t="str">
        <f>IFERROR(VLOOKUP(M950,tbFactorMes,2,FALSE),"")</f>
        <v/>
      </c>
      <c r="O950">
        <f t="shared" si="196"/>
        <v>0</v>
      </c>
      <c r="R950" t="str">
        <f>IFERROR(VLOOKUP(Q950,tbFactorMes,2,FALSE),"")</f>
        <v/>
      </c>
      <c r="S950">
        <f t="shared" si="197"/>
        <v>0</v>
      </c>
      <c r="V950" t="str">
        <f>IFERROR(VLOOKUP(U950,tbFactorMes,2,FALSE),"")</f>
        <v/>
      </c>
      <c r="W950">
        <f t="shared" si="198"/>
        <v>0</v>
      </c>
      <c r="Z950" t="str">
        <f>IFERROR(VLOOKUP(Y950,tbFactorMes,2,FALSE),"")</f>
        <v/>
      </c>
      <c r="AA950">
        <f t="shared" si="199"/>
        <v>0</v>
      </c>
      <c r="AD950" t="str">
        <f>IFERROR(VLOOKUP(AC950,tbFactorMes,2,FALSE),"")</f>
        <v/>
      </c>
      <c r="AE950">
        <f t="shared" si="200"/>
        <v>0</v>
      </c>
      <c r="AH950" t="str">
        <f>IFERROR(VLOOKUP(AG950,tbFactorMes,2,FALSE),"")</f>
        <v/>
      </c>
      <c r="AI950">
        <f t="shared" si="201"/>
        <v>0</v>
      </c>
      <c r="AL950" t="str">
        <f>IFERROR(VLOOKUP(AK950,tbFactorMes,2,FALSE),"")</f>
        <v/>
      </c>
      <c r="AM950">
        <f t="shared" si="202"/>
        <v>0</v>
      </c>
      <c r="AP950" t="str">
        <f>IFERROR(VLOOKUP(AO950,tbFactorMes,2,FALSE),"")</f>
        <v/>
      </c>
      <c r="AQ950">
        <f t="shared" si="203"/>
        <v>0</v>
      </c>
      <c r="AT950" t="str">
        <f>IFERROR(VLOOKUP(AS950,tbFactorMes,2,FALSE),"")</f>
        <v/>
      </c>
      <c r="AU950">
        <f t="shared" si="204"/>
        <v>0</v>
      </c>
      <c r="AX950" t="str">
        <f>IFERROR(VLOOKUP(AW950,tbFactorMes,2,FALSE),"")</f>
        <v/>
      </c>
      <c r="AY950">
        <f t="shared" si="205"/>
        <v>0</v>
      </c>
      <c r="BB950" t="str">
        <f>IFERROR(VLOOKUP(BA950,tbFactorMes,2,FALSE),"")</f>
        <v/>
      </c>
      <c r="BC950">
        <f t="shared" si="206"/>
        <v>0</v>
      </c>
      <c r="BF950" t="str">
        <f>IFERROR(VLOOKUP(BE950,tbFactorMes,2,FALSE),"")</f>
        <v/>
      </c>
      <c r="BG950">
        <f t="shared" si="207"/>
        <v>0</v>
      </c>
      <c r="BH950">
        <f t="shared" si="208"/>
        <v>0</v>
      </c>
      <c r="BI950">
        <f t="shared" si="209"/>
        <v>0</v>
      </c>
    </row>
    <row r="951" spans="11:61" x14ac:dyDescent="0.35">
      <c r="K951" t="str">
        <f>IFERROR(VLOOKUP(F951,tbTurnos,3,FALSE),"")</f>
        <v/>
      </c>
      <c r="N951" t="str">
        <f>IFERROR(VLOOKUP(M951,tbFactorMes,2,FALSE),"")</f>
        <v/>
      </c>
      <c r="O951">
        <f t="shared" si="196"/>
        <v>0</v>
      </c>
      <c r="R951" t="str">
        <f>IFERROR(VLOOKUP(Q951,tbFactorMes,2,FALSE),"")</f>
        <v/>
      </c>
      <c r="S951">
        <f t="shared" si="197"/>
        <v>0</v>
      </c>
      <c r="V951" t="str">
        <f>IFERROR(VLOOKUP(U951,tbFactorMes,2,FALSE),"")</f>
        <v/>
      </c>
      <c r="W951">
        <f t="shared" si="198"/>
        <v>0</v>
      </c>
      <c r="Z951" t="str">
        <f>IFERROR(VLOOKUP(Y951,tbFactorMes,2,FALSE),"")</f>
        <v/>
      </c>
      <c r="AA951">
        <f t="shared" si="199"/>
        <v>0</v>
      </c>
      <c r="AD951" t="str">
        <f>IFERROR(VLOOKUP(AC951,tbFactorMes,2,FALSE),"")</f>
        <v/>
      </c>
      <c r="AE951">
        <f t="shared" si="200"/>
        <v>0</v>
      </c>
      <c r="AH951" t="str">
        <f>IFERROR(VLOOKUP(AG951,tbFactorMes,2,FALSE),"")</f>
        <v/>
      </c>
      <c r="AI951">
        <f t="shared" si="201"/>
        <v>0</v>
      </c>
      <c r="AL951" t="str">
        <f>IFERROR(VLOOKUP(AK951,tbFactorMes,2,FALSE),"")</f>
        <v/>
      </c>
      <c r="AM951">
        <f t="shared" si="202"/>
        <v>0</v>
      </c>
      <c r="AP951" t="str">
        <f>IFERROR(VLOOKUP(AO951,tbFactorMes,2,FALSE),"")</f>
        <v/>
      </c>
      <c r="AQ951">
        <f t="shared" si="203"/>
        <v>0</v>
      </c>
      <c r="AT951" t="str">
        <f>IFERROR(VLOOKUP(AS951,tbFactorMes,2,FALSE),"")</f>
        <v/>
      </c>
      <c r="AU951">
        <f t="shared" si="204"/>
        <v>0</v>
      </c>
      <c r="AX951" t="str">
        <f>IFERROR(VLOOKUP(AW951,tbFactorMes,2,FALSE),"")</f>
        <v/>
      </c>
      <c r="AY951">
        <f t="shared" si="205"/>
        <v>0</v>
      </c>
      <c r="BB951" t="str">
        <f>IFERROR(VLOOKUP(BA951,tbFactorMes,2,FALSE),"")</f>
        <v/>
      </c>
      <c r="BC951">
        <f t="shared" si="206"/>
        <v>0</v>
      </c>
      <c r="BF951" t="str">
        <f>IFERROR(VLOOKUP(BE951,tbFactorMes,2,FALSE),"")</f>
        <v/>
      </c>
      <c r="BG951">
        <f t="shared" si="207"/>
        <v>0</v>
      </c>
      <c r="BH951">
        <f t="shared" si="208"/>
        <v>0</v>
      </c>
      <c r="BI951">
        <f t="shared" si="209"/>
        <v>0</v>
      </c>
    </row>
    <row r="952" spans="11:61" x14ac:dyDescent="0.35">
      <c r="K952" t="str">
        <f>IFERROR(VLOOKUP(F952,tbTurnos,3,FALSE),"")</f>
        <v/>
      </c>
      <c r="N952" t="str">
        <f>IFERROR(VLOOKUP(M952,tbFactorMes,2,FALSE),"")</f>
        <v/>
      </c>
      <c r="O952">
        <f t="shared" si="196"/>
        <v>0</v>
      </c>
      <c r="R952" t="str">
        <f>IFERROR(VLOOKUP(Q952,tbFactorMes,2,FALSE),"")</f>
        <v/>
      </c>
      <c r="S952">
        <f t="shared" si="197"/>
        <v>0</v>
      </c>
      <c r="V952" t="str">
        <f>IFERROR(VLOOKUP(U952,tbFactorMes,2,FALSE),"")</f>
        <v/>
      </c>
      <c r="W952">
        <f t="shared" si="198"/>
        <v>0</v>
      </c>
      <c r="Z952" t="str">
        <f>IFERROR(VLOOKUP(Y952,tbFactorMes,2,FALSE),"")</f>
        <v/>
      </c>
      <c r="AA952">
        <f t="shared" si="199"/>
        <v>0</v>
      </c>
      <c r="AD952" t="str">
        <f>IFERROR(VLOOKUP(AC952,tbFactorMes,2,FALSE),"")</f>
        <v/>
      </c>
      <c r="AE952">
        <f t="shared" si="200"/>
        <v>0</v>
      </c>
      <c r="AH952" t="str">
        <f>IFERROR(VLOOKUP(AG952,tbFactorMes,2,FALSE),"")</f>
        <v/>
      </c>
      <c r="AI952">
        <f t="shared" si="201"/>
        <v>0</v>
      </c>
      <c r="AL952" t="str">
        <f>IFERROR(VLOOKUP(AK952,tbFactorMes,2,FALSE),"")</f>
        <v/>
      </c>
      <c r="AM952">
        <f t="shared" si="202"/>
        <v>0</v>
      </c>
      <c r="AP952" t="str">
        <f>IFERROR(VLOOKUP(AO952,tbFactorMes,2,FALSE),"")</f>
        <v/>
      </c>
      <c r="AQ952">
        <f t="shared" si="203"/>
        <v>0</v>
      </c>
      <c r="AT952" t="str">
        <f>IFERROR(VLOOKUP(AS952,tbFactorMes,2,FALSE),"")</f>
        <v/>
      </c>
      <c r="AU952">
        <f t="shared" si="204"/>
        <v>0</v>
      </c>
      <c r="AX952" t="str">
        <f>IFERROR(VLOOKUP(AW952,tbFactorMes,2,FALSE),"")</f>
        <v/>
      </c>
      <c r="AY952">
        <f t="shared" si="205"/>
        <v>0</v>
      </c>
      <c r="BB952" t="str">
        <f>IFERROR(VLOOKUP(BA952,tbFactorMes,2,FALSE),"")</f>
        <v/>
      </c>
      <c r="BC952">
        <f t="shared" si="206"/>
        <v>0</v>
      </c>
      <c r="BF952" t="str">
        <f>IFERROR(VLOOKUP(BE952,tbFactorMes,2,FALSE),"")</f>
        <v/>
      </c>
      <c r="BG952">
        <f t="shared" si="207"/>
        <v>0</v>
      </c>
      <c r="BH952">
        <f t="shared" si="208"/>
        <v>0</v>
      </c>
      <c r="BI952">
        <f t="shared" si="209"/>
        <v>0</v>
      </c>
    </row>
    <row r="953" spans="11:61" x14ac:dyDescent="0.35">
      <c r="K953" t="str">
        <f>IFERROR(VLOOKUP(F953,tbTurnos,3,FALSE),"")</f>
        <v/>
      </c>
      <c r="N953" t="str">
        <f>IFERROR(VLOOKUP(M953,tbFactorMes,2,FALSE),"")</f>
        <v/>
      </c>
      <c r="O953">
        <f t="shared" si="196"/>
        <v>0</v>
      </c>
      <c r="R953" t="str">
        <f>IFERROR(VLOOKUP(Q953,tbFactorMes,2,FALSE),"")</f>
        <v/>
      </c>
      <c r="S953">
        <f t="shared" si="197"/>
        <v>0</v>
      </c>
      <c r="V953" t="str">
        <f>IFERROR(VLOOKUP(U953,tbFactorMes,2,FALSE),"")</f>
        <v/>
      </c>
      <c r="W953">
        <f t="shared" si="198"/>
        <v>0</v>
      </c>
      <c r="Z953" t="str">
        <f>IFERROR(VLOOKUP(Y953,tbFactorMes,2,FALSE),"")</f>
        <v/>
      </c>
      <c r="AA953">
        <f t="shared" si="199"/>
        <v>0</v>
      </c>
      <c r="AD953" t="str">
        <f>IFERROR(VLOOKUP(AC953,tbFactorMes,2,FALSE),"")</f>
        <v/>
      </c>
      <c r="AE953">
        <f t="shared" si="200"/>
        <v>0</v>
      </c>
      <c r="AH953" t="str">
        <f>IFERROR(VLOOKUP(AG953,tbFactorMes,2,FALSE),"")</f>
        <v/>
      </c>
      <c r="AI953">
        <f t="shared" si="201"/>
        <v>0</v>
      </c>
      <c r="AL953" t="str">
        <f>IFERROR(VLOOKUP(AK953,tbFactorMes,2,FALSE),"")</f>
        <v/>
      </c>
      <c r="AM953">
        <f t="shared" si="202"/>
        <v>0</v>
      </c>
      <c r="AP953" t="str">
        <f>IFERROR(VLOOKUP(AO953,tbFactorMes,2,FALSE),"")</f>
        <v/>
      </c>
      <c r="AQ953">
        <f t="shared" si="203"/>
        <v>0</v>
      </c>
      <c r="AT953" t="str">
        <f>IFERROR(VLOOKUP(AS953,tbFactorMes,2,FALSE),"")</f>
        <v/>
      </c>
      <c r="AU953">
        <f t="shared" si="204"/>
        <v>0</v>
      </c>
      <c r="AX953" t="str">
        <f>IFERROR(VLOOKUP(AW953,tbFactorMes,2,FALSE),"")</f>
        <v/>
      </c>
      <c r="AY953">
        <f t="shared" si="205"/>
        <v>0</v>
      </c>
      <c r="BB953" t="str">
        <f>IFERROR(VLOOKUP(BA953,tbFactorMes,2,FALSE),"")</f>
        <v/>
      </c>
      <c r="BC953">
        <f t="shared" si="206"/>
        <v>0</v>
      </c>
      <c r="BF953" t="str">
        <f>IFERROR(VLOOKUP(BE953,tbFactorMes,2,FALSE),"")</f>
        <v/>
      </c>
      <c r="BG953">
        <f t="shared" si="207"/>
        <v>0</v>
      </c>
      <c r="BH953">
        <f t="shared" si="208"/>
        <v>0</v>
      </c>
      <c r="BI953">
        <f t="shared" si="209"/>
        <v>0</v>
      </c>
    </row>
    <row r="954" spans="11:61" x14ac:dyDescent="0.35">
      <c r="K954" t="str">
        <f>IFERROR(VLOOKUP(F954,tbTurnos,3,FALSE),"")</f>
        <v/>
      </c>
      <c r="N954" t="str">
        <f>IFERROR(VLOOKUP(M954,tbFactorMes,2,FALSE),"")</f>
        <v/>
      </c>
      <c r="O954">
        <f t="shared" si="196"/>
        <v>0</v>
      </c>
      <c r="R954" t="str">
        <f>IFERROR(VLOOKUP(Q954,tbFactorMes,2,FALSE),"")</f>
        <v/>
      </c>
      <c r="S954">
        <f t="shared" si="197"/>
        <v>0</v>
      </c>
      <c r="V954" t="str">
        <f>IFERROR(VLOOKUP(U954,tbFactorMes,2,FALSE),"")</f>
        <v/>
      </c>
      <c r="W954">
        <f t="shared" si="198"/>
        <v>0</v>
      </c>
      <c r="Z954" t="str">
        <f>IFERROR(VLOOKUP(Y954,tbFactorMes,2,FALSE),"")</f>
        <v/>
      </c>
      <c r="AA954">
        <f t="shared" si="199"/>
        <v>0</v>
      </c>
      <c r="AD954" t="str">
        <f>IFERROR(VLOOKUP(AC954,tbFactorMes,2,FALSE),"")</f>
        <v/>
      </c>
      <c r="AE954">
        <f t="shared" si="200"/>
        <v>0</v>
      </c>
      <c r="AH954" t="str">
        <f>IFERROR(VLOOKUP(AG954,tbFactorMes,2,FALSE),"")</f>
        <v/>
      </c>
      <c r="AI954">
        <f t="shared" si="201"/>
        <v>0</v>
      </c>
      <c r="AL954" t="str">
        <f>IFERROR(VLOOKUP(AK954,tbFactorMes,2,FALSE),"")</f>
        <v/>
      </c>
      <c r="AM954">
        <f t="shared" si="202"/>
        <v>0</v>
      </c>
      <c r="AP954" t="str">
        <f>IFERROR(VLOOKUP(AO954,tbFactorMes,2,FALSE),"")</f>
        <v/>
      </c>
      <c r="AQ954">
        <f t="shared" si="203"/>
        <v>0</v>
      </c>
      <c r="AT954" t="str">
        <f>IFERROR(VLOOKUP(AS954,tbFactorMes,2,FALSE),"")</f>
        <v/>
      </c>
      <c r="AU954">
        <f t="shared" si="204"/>
        <v>0</v>
      </c>
      <c r="AX954" t="str">
        <f>IFERROR(VLOOKUP(AW954,tbFactorMes,2,FALSE),"")</f>
        <v/>
      </c>
      <c r="AY954">
        <f t="shared" si="205"/>
        <v>0</v>
      </c>
      <c r="BB954" t="str">
        <f>IFERROR(VLOOKUP(BA954,tbFactorMes,2,FALSE),"")</f>
        <v/>
      </c>
      <c r="BC954">
        <f t="shared" si="206"/>
        <v>0</v>
      </c>
      <c r="BF954" t="str">
        <f>IFERROR(VLOOKUP(BE954,tbFactorMes,2,FALSE),"")</f>
        <v/>
      </c>
      <c r="BG954">
        <f t="shared" si="207"/>
        <v>0</v>
      </c>
      <c r="BH954">
        <f t="shared" si="208"/>
        <v>0</v>
      </c>
      <c r="BI954">
        <f t="shared" si="209"/>
        <v>0</v>
      </c>
    </row>
    <row r="955" spans="11:61" x14ac:dyDescent="0.35">
      <c r="K955" t="str">
        <f>IFERROR(VLOOKUP(F955,tbTurnos,3,FALSE),"")</f>
        <v/>
      </c>
      <c r="N955" t="str">
        <f>IFERROR(VLOOKUP(M955,tbFactorMes,2,FALSE),"")</f>
        <v/>
      </c>
      <c r="O955">
        <f t="shared" si="196"/>
        <v>0</v>
      </c>
      <c r="R955" t="str">
        <f>IFERROR(VLOOKUP(Q955,tbFactorMes,2,FALSE),"")</f>
        <v/>
      </c>
      <c r="S955">
        <f t="shared" si="197"/>
        <v>0</v>
      </c>
      <c r="V955" t="str">
        <f>IFERROR(VLOOKUP(U955,tbFactorMes,2,FALSE),"")</f>
        <v/>
      </c>
      <c r="W955">
        <f t="shared" si="198"/>
        <v>0</v>
      </c>
      <c r="Z955" t="str">
        <f>IFERROR(VLOOKUP(Y955,tbFactorMes,2,FALSE),"")</f>
        <v/>
      </c>
      <c r="AA955">
        <f t="shared" si="199"/>
        <v>0</v>
      </c>
      <c r="AD955" t="str">
        <f>IFERROR(VLOOKUP(AC955,tbFactorMes,2,FALSE),"")</f>
        <v/>
      </c>
      <c r="AE955">
        <f t="shared" si="200"/>
        <v>0</v>
      </c>
      <c r="AH955" t="str">
        <f>IFERROR(VLOOKUP(AG955,tbFactorMes,2,FALSE),"")</f>
        <v/>
      </c>
      <c r="AI955">
        <f t="shared" si="201"/>
        <v>0</v>
      </c>
      <c r="AL955" t="str">
        <f>IFERROR(VLOOKUP(AK955,tbFactorMes,2,FALSE),"")</f>
        <v/>
      </c>
      <c r="AM955">
        <f t="shared" si="202"/>
        <v>0</v>
      </c>
      <c r="AP955" t="str">
        <f>IFERROR(VLOOKUP(AO955,tbFactorMes,2,FALSE),"")</f>
        <v/>
      </c>
      <c r="AQ955">
        <f t="shared" si="203"/>
        <v>0</v>
      </c>
      <c r="AT955" t="str">
        <f>IFERROR(VLOOKUP(AS955,tbFactorMes,2,FALSE),"")</f>
        <v/>
      </c>
      <c r="AU955">
        <f t="shared" si="204"/>
        <v>0</v>
      </c>
      <c r="AX955" t="str">
        <f>IFERROR(VLOOKUP(AW955,tbFactorMes,2,FALSE),"")</f>
        <v/>
      </c>
      <c r="AY955">
        <f t="shared" si="205"/>
        <v>0</v>
      </c>
      <c r="BB955" t="str">
        <f>IFERROR(VLOOKUP(BA955,tbFactorMes,2,FALSE),"")</f>
        <v/>
      </c>
      <c r="BC955">
        <f t="shared" si="206"/>
        <v>0</v>
      </c>
      <c r="BF955" t="str">
        <f>IFERROR(VLOOKUP(BE955,tbFactorMes,2,FALSE),"")</f>
        <v/>
      </c>
      <c r="BG955">
        <f t="shared" si="207"/>
        <v>0</v>
      </c>
      <c r="BH955">
        <f t="shared" si="208"/>
        <v>0</v>
      </c>
      <c r="BI955">
        <f t="shared" si="209"/>
        <v>0</v>
      </c>
    </row>
    <row r="956" spans="11:61" x14ac:dyDescent="0.35">
      <c r="K956" t="str">
        <f>IFERROR(VLOOKUP(F956,tbTurnos,3,FALSE),"")</f>
        <v/>
      </c>
      <c r="N956" t="str">
        <f>IFERROR(VLOOKUP(M956,tbFactorMes,2,FALSE),"")</f>
        <v/>
      </c>
      <c r="O956">
        <f t="shared" si="196"/>
        <v>0</v>
      </c>
      <c r="R956" t="str">
        <f>IFERROR(VLOOKUP(Q956,tbFactorMes,2,FALSE),"")</f>
        <v/>
      </c>
      <c r="S956">
        <f t="shared" si="197"/>
        <v>0</v>
      </c>
      <c r="V956" t="str">
        <f>IFERROR(VLOOKUP(U956,tbFactorMes,2,FALSE),"")</f>
        <v/>
      </c>
      <c r="W956">
        <f t="shared" si="198"/>
        <v>0</v>
      </c>
      <c r="Z956" t="str">
        <f>IFERROR(VLOOKUP(Y956,tbFactorMes,2,FALSE),"")</f>
        <v/>
      </c>
      <c r="AA956">
        <f t="shared" si="199"/>
        <v>0</v>
      </c>
      <c r="AD956" t="str">
        <f>IFERROR(VLOOKUP(AC956,tbFactorMes,2,FALSE),"")</f>
        <v/>
      </c>
      <c r="AE956">
        <f t="shared" si="200"/>
        <v>0</v>
      </c>
      <c r="AH956" t="str">
        <f>IFERROR(VLOOKUP(AG956,tbFactorMes,2,FALSE),"")</f>
        <v/>
      </c>
      <c r="AI956">
        <f t="shared" si="201"/>
        <v>0</v>
      </c>
      <c r="AL956" t="str">
        <f>IFERROR(VLOOKUP(AK956,tbFactorMes,2,FALSE),"")</f>
        <v/>
      </c>
      <c r="AM956">
        <f t="shared" si="202"/>
        <v>0</v>
      </c>
      <c r="AP956" t="str">
        <f>IFERROR(VLOOKUP(AO956,tbFactorMes,2,FALSE),"")</f>
        <v/>
      </c>
      <c r="AQ956">
        <f t="shared" si="203"/>
        <v>0</v>
      </c>
      <c r="AT956" t="str">
        <f>IFERROR(VLOOKUP(AS956,tbFactorMes,2,FALSE),"")</f>
        <v/>
      </c>
      <c r="AU956">
        <f t="shared" si="204"/>
        <v>0</v>
      </c>
      <c r="AX956" t="str">
        <f>IFERROR(VLOOKUP(AW956,tbFactorMes,2,FALSE),"")</f>
        <v/>
      </c>
      <c r="AY956">
        <f t="shared" si="205"/>
        <v>0</v>
      </c>
      <c r="BB956" t="str">
        <f>IFERROR(VLOOKUP(BA956,tbFactorMes,2,FALSE),"")</f>
        <v/>
      </c>
      <c r="BC956">
        <f t="shared" si="206"/>
        <v>0</v>
      </c>
      <c r="BF956" t="str">
        <f>IFERROR(VLOOKUP(BE956,tbFactorMes,2,FALSE),"")</f>
        <v/>
      </c>
      <c r="BG956">
        <f t="shared" si="207"/>
        <v>0</v>
      </c>
      <c r="BH956">
        <f t="shared" si="208"/>
        <v>0</v>
      </c>
      <c r="BI956">
        <f t="shared" si="209"/>
        <v>0</v>
      </c>
    </row>
    <row r="957" spans="11:61" x14ac:dyDescent="0.35">
      <c r="K957" t="str">
        <f>IFERROR(VLOOKUP(F957,tbTurnos,3,FALSE),"")</f>
        <v/>
      </c>
      <c r="N957" t="str">
        <f>IFERROR(VLOOKUP(M957,tbFactorMes,2,FALSE),"")</f>
        <v/>
      </c>
      <c r="O957">
        <f t="shared" si="196"/>
        <v>0</v>
      </c>
      <c r="R957" t="str">
        <f>IFERROR(VLOOKUP(Q957,tbFactorMes,2,FALSE),"")</f>
        <v/>
      </c>
      <c r="S957">
        <f t="shared" si="197"/>
        <v>0</v>
      </c>
      <c r="V957" t="str">
        <f>IFERROR(VLOOKUP(U957,tbFactorMes,2,FALSE),"")</f>
        <v/>
      </c>
      <c r="W957">
        <f t="shared" si="198"/>
        <v>0</v>
      </c>
      <c r="Z957" t="str">
        <f>IFERROR(VLOOKUP(Y957,tbFactorMes,2,FALSE),"")</f>
        <v/>
      </c>
      <c r="AA957">
        <f t="shared" si="199"/>
        <v>0</v>
      </c>
      <c r="AD957" t="str">
        <f>IFERROR(VLOOKUP(AC957,tbFactorMes,2,FALSE),"")</f>
        <v/>
      </c>
      <c r="AE957">
        <f t="shared" si="200"/>
        <v>0</v>
      </c>
      <c r="AH957" t="str">
        <f>IFERROR(VLOOKUP(AG957,tbFactorMes,2,FALSE),"")</f>
        <v/>
      </c>
      <c r="AI957">
        <f t="shared" si="201"/>
        <v>0</v>
      </c>
      <c r="AL957" t="str">
        <f>IFERROR(VLOOKUP(AK957,tbFactorMes,2,FALSE),"")</f>
        <v/>
      </c>
      <c r="AM957">
        <f t="shared" si="202"/>
        <v>0</v>
      </c>
      <c r="AP957" t="str">
        <f>IFERROR(VLOOKUP(AO957,tbFactorMes,2,FALSE),"")</f>
        <v/>
      </c>
      <c r="AQ957">
        <f t="shared" si="203"/>
        <v>0</v>
      </c>
      <c r="AT957" t="str">
        <f>IFERROR(VLOOKUP(AS957,tbFactorMes,2,FALSE),"")</f>
        <v/>
      </c>
      <c r="AU957">
        <f t="shared" si="204"/>
        <v>0</v>
      </c>
      <c r="AX957" t="str">
        <f>IFERROR(VLOOKUP(AW957,tbFactorMes,2,FALSE),"")</f>
        <v/>
      </c>
      <c r="AY957">
        <f t="shared" si="205"/>
        <v>0</v>
      </c>
      <c r="BB957" t="str">
        <f>IFERROR(VLOOKUP(BA957,tbFactorMes,2,FALSE),"")</f>
        <v/>
      </c>
      <c r="BC957">
        <f t="shared" si="206"/>
        <v>0</v>
      </c>
      <c r="BF957" t="str">
        <f>IFERROR(VLOOKUP(BE957,tbFactorMes,2,FALSE),"")</f>
        <v/>
      </c>
      <c r="BG957">
        <f t="shared" si="207"/>
        <v>0</v>
      </c>
      <c r="BH957">
        <f t="shared" si="208"/>
        <v>0</v>
      </c>
      <c r="BI957">
        <f t="shared" si="209"/>
        <v>0</v>
      </c>
    </row>
    <row r="958" spans="11:61" x14ac:dyDescent="0.35">
      <c r="K958" t="str">
        <f>IFERROR(VLOOKUP(F958,tbTurnos,3,FALSE),"")</f>
        <v/>
      </c>
      <c r="N958" t="str">
        <f>IFERROR(VLOOKUP(M958,tbFactorMes,2,FALSE),"")</f>
        <v/>
      </c>
      <c r="O958">
        <f t="shared" si="196"/>
        <v>0</v>
      </c>
      <c r="R958" t="str">
        <f>IFERROR(VLOOKUP(Q958,tbFactorMes,2,FALSE),"")</f>
        <v/>
      </c>
      <c r="S958">
        <f t="shared" si="197"/>
        <v>0</v>
      </c>
      <c r="V958" t="str">
        <f>IFERROR(VLOOKUP(U958,tbFactorMes,2,FALSE),"")</f>
        <v/>
      </c>
      <c r="W958">
        <f t="shared" si="198"/>
        <v>0</v>
      </c>
      <c r="Z958" t="str">
        <f>IFERROR(VLOOKUP(Y958,tbFactorMes,2,FALSE),"")</f>
        <v/>
      </c>
      <c r="AA958">
        <f t="shared" si="199"/>
        <v>0</v>
      </c>
      <c r="AD958" t="str">
        <f>IFERROR(VLOOKUP(AC958,tbFactorMes,2,FALSE),"")</f>
        <v/>
      </c>
      <c r="AE958">
        <f t="shared" si="200"/>
        <v>0</v>
      </c>
      <c r="AH958" t="str">
        <f>IFERROR(VLOOKUP(AG958,tbFactorMes,2,FALSE),"")</f>
        <v/>
      </c>
      <c r="AI958">
        <f t="shared" si="201"/>
        <v>0</v>
      </c>
      <c r="AL958" t="str">
        <f>IFERROR(VLOOKUP(AK958,tbFactorMes,2,FALSE),"")</f>
        <v/>
      </c>
      <c r="AM958">
        <f t="shared" si="202"/>
        <v>0</v>
      </c>
      <c r="AP958" t="str">
        <f>IFERROR(VLOOKUP(AO958,tbFactorMes,2,FALSE),"")</f>
        <v/>
      </c>
      <c r="AQ958">
        <f t="shared" si="203"/>
        <v>0</v>
      </c>
      <c r="AT958" t="str">
        <f>IFERROR(VLOOKUP(AS958,tbFactorMes,2,FALSE),"")</f>
        <v/>
      </c>
      <c r="AU958">
        <f t="shared" si="204"/>
        <v>0</v>
      </c>
      <c r="AX958" t="str">
        <f>IFERROR(VLOOKUP(AW958,tbFactorMes,2,FALSE),"")</f>
        <v/>
      </c>
      <c r="AY958">
        <f t="shared" si="205"/>
        <v>0</v>
      </c>
      <c r="BB958" t="str">
        <f>IFERROR(VLOOKUP(BA958,tbFactorMes,2,FALSE),"")</f>
        <v/>
      </c>
      <c r="BC958">
        <f t="shared" si="206"/>
        <v>0</v>
      </c>
      <c r="BF958" t="str">
        <f>IFERROR(VLOOKUP(BE958,tbFactorMes,2,FALSE),"")</f>
        <v/>
      </c>
      <c r="BG958">
        <f t="shared" si="207"/>
        <v>0</v>
      </c>
      <c r="BH958">
        <f t="shared" si="208"/>
        <v>0</v>
      </c>
      <c r="BI958">
        <f t="shared" si="209"/>
        <v>0</v>
      </c>
    </row>
    <row r="959" spans="11:61" x14ac:dyDescent="0.35">
      <c r="K959" t="str">
        <f>IFERROR(VLOOKUP(F959,tbTurnos,3,FALSE),"")</f>
        <v/>
      </c>
      <c r="N959" t="str">
        <f>IFERROR(VLOOKUP(M959,tbFactorMes,2,FALSE),"")</f>
        <v/>
      </c>
      <c r="O959">
        <f t="shared" si="196"/>
        <v>0</v>
      </c>
      <c r="R959" t="str">
        <f>IFERROR(VLOOKUP(Q959,tbFactorMes,2,FALSE),"")</f>
        <v/>
      </c>
      <c r="S959">
        <f t="shared" si="197"/>
        <v>0</v>
      </c>
      <c r="V959" t="str">
        <f>IFERROR(VLOOKUP(U959,tbFactorMes,2,FALSE),"")</f>
        <v/>
      </c>
      <c r="W959">
        <f t="shared" si="198"/>
        <v>0</v>
      </c>
      <c r="Z959" t="str">
        <f>IFERROR(VLOOKUP(Y959,tbFactorMes,2,FALSE),"")</f>
        <v/>
      </c>
      <c r="AA959">
        <f t="shared" si="199"/>
        <v>0</v>
      </c>
      <c r="AD959" t="str">
        <f>IFERROR(VLOOKUP(AC959,tbFactorMes,2,FALSE),"")</f>
        <v/>
      </c>
      <c r="AE959">
        <f t="shared" si="200"/>
        <v>0</v>
      </c>
      <c r="AH959" t="str">
        <f>IFERROR(VLOOKUP(AG959,tbFactorMes,2,FALSE),"")</f>
        <v/>
      </c>
      <c r="AI959">
        <f t="shared" si="201"/>
        <v>0</v>
      </c>
      <c r="AL959" t="str">
        <f>IFERROR(VLOOKUP(AK959,tbFactorMes,2,FALSE),"")</f>
        <v/>
      </c>
      <c r="AM959">
        <f t="shared" si="202"/>
        <v>0</v>
      </c>
      <c r="AP959" t="str">
        <f>IFERROR(VLOOKUP(AO959,tbFactorMes,2,FALSE),"")</f>
        <v/>
      </c>
      <c r="AQ959">
        <f t="shared" si="203"/>
        <v>0</v>
      </c>
      <c r="AT959" t="str">
        <f>IFERROR(VLOOKUP(AS959,tbFactorMes,2,FALSE),"")</f>
        <v/>
      </c>
      <c r="AU959">
        <f t="shared" si="204"/>
        <v>0</v>
      </c>
      <c r="AX959" t="str">
        <f>IFERROR(VLOOKUP(AW959,tbFactorMes,2,FALSE),"")</f>
        <v/>
      </c>
      <c r="AY959">
        <f t="shared" si="205"/>
        <v>0</v>
      </c>
      <c r="BB959" t="str">
        <f>IFERROR(VLOOKUP(BA959,tbFactorMes,2,FALSE),"")</f>
        <v/>
      </c>
      <c r="BC959">
        <f t="shared" si="206"/>
        <v>0</v>
      </c>
      <c r="BF959" t="str">
        <f>IFERROR(VLOOKUP(BE959,tbFactorMes,2,FALSE),"")</f>
        <v/>
      </c>
      <c r="BG959">
        <f t="shared" si="207"/>
        <v>0</v>
      </c>
      <c r="BH959">
        <f t="shared" si="208"/>
        <v>0</v>
      </c>
      <c r="BI959">
        <f t="shared" si="209"/>
        <v>0</v>
      </c>
    </row>
    <row r="960" spans="11:61" x14ac:dyDescent="0.35">
      <c r="K960" t="str">
        <f>IFERROR(VLOOKUP(F960,tbTurnos,3,FALSE),"")</f>
        <v/>
      </c>
      <c r="N960" t="str">
        <f>IFERROR(VLOOKUP(M960,tbFactorMes,2,FALSE),"")</f>
        <v/>
      </c>
      <c r="O960">
        <f t="shared" si="196"/>
        <v>0</v>
      </c>
      <c r="R960" t="str">
        <f>IFERROR(VLOOKUP(Q960,tbFactorMes,2,FALSE),"")</f>
        <v/>
      </c>
      <c r="S960">
        <f t="shared" si="197"/>
        <v>0</v>
      </c>
      <c r="V960" t="str">
        <f>IFERROR(VLOOKUP(U960,tbFactorMes,2,FALSE),"")</f>
        <v/>
      </c>
      <c r="W960">
        <f t="shared" si="198"/>
        <v>0</v>
      </c>
      <c r="Z960" t="str">
        <f>IFERROR(VLOOKUP(Y960,tbFactorMes,2,FALSE),"")</f>
        <v/>
      </c>
      <c r="AA960">
        <f t="shared" si="199"/>
        <v>0</v>
      </c>
      <c r="AD960" t="str">
        <f>IFERROR(VLOOKUP(AC960,tbFactorMes,2,FALSE),"")</f>
        <v/>
      </c>
      <c r="AE960">
        <f t="shared" si="200"/>
        <v>0</v>
      </c>
      <c r="AH960" t="str">
        <f>IFERROR(VLOOKUP(AG960,tbFactorMes,2,FALSE),"")</f>
        <v/>
      </c>
      <c r="AI960">
        <f t="shared" si="201"/>
        <v>0</v>
      </c>
      <c r="AL960" t="str">
        <f>IFERROR(VLOOKUP(AK960,tbFactorMes,2,FALSE),"")</f>
        <v/>
      </c>
      <c r="AM960">
        <f t="shared" si="202"/>
        <v>0</v>
      </c>
      <c r="AP960" t="str">
        <f>IFERROR(VLOOKUP(AO960,tbFactorMes,2,FALSE),"")</f>
        <v/>
      </c>
      <c r="AQ960">
        <f t="shared" si="203"/>
        <v>0</v>
      </c>
      <c r="AT960" t="str">
        <f>IFERROR(VLOOKUP(AS960,tbFactorMes,2,FALSE),"")</f>
        <v/>
      </c>
      <c r="AU960">
        <f t="shared" si="204"/>
        <v>0</v>
      </c>
      <c r="AX960" t="str">
        <f>IFERROR(VLOOKUP(AW960,tbFactorMes,2,FALSE),"")</f>
        <v/>
      </c>
      <c r="AY960">
        <f t="shared" si="205"/>
        <v>0</v>
      </c>
      <c r="BB960" t="str">
        <f>IFERROR(VLOOKUP(BA960,tbFactorMes,2,FALSE),"")</f>
        <v/>
      </c>
      <c r="BC960">
        <f t="shared" si="206"/>
        <v>0</v>
      </c>
      <c r="BF960" t="str">
        <f>IFERROR(VLOOKUP(BE960,tbFactorMes,2,FALSE),"")</f>
        <v/>
      </c>
      <c r="BG960">
        <f t="shared" si="207"/>
        <v>0</v>
      </c>
      <c r="BH960">
        <f t="shared" si="208"/>
        <v>0</v>
      </c>
      <c r="BI960">
        <f t="shared" si="209"/>
        <v>0</v>
      </c>
    </row>
    <row r="961" spans="11:61" x14ac:dyDescent="0.35">
      <c r="K961" t="str">
        <f>IFERROR(VLOOKUP(F961,tbTurnos,3,FALSE),"")</f>
        <v/>
      </c>
      <c r="N961" t="str">
        <f>IFERROR(VLOOKUP(M961,tbFactorMes,2,FALSE),"")</f>
        <v/>
      </c>
      <c r="O961">
        <f t="shared" si="196"/>
        <v>0</v>
      </c>
      <c r="R961" t="str">
        <f>IFERROR(VLOOKUP(Q961,tbFactorMes,2,FALSE),"")</f>
        <v/>
      </c>
      <c r="S961">
        <f t="shared" si="197"/>
        <v>0</v>
      </c>
      <c r="V961" t="str">
        <f>IFERROR(VLOOKUP(U961,tbFactorMes,2,FALSE),"")</f>
        <v/>
      </c>
      <c r="W961">
        <f t="shared" si="198"/>
        <v>0</v>
      </c>
      <c r="Z961" t="str">
        <f>IFERROR(VLOOKUP(Y961,tbFactorMes,2,FALSE),"")</f>
        <v/>
      </c>
      <c r="AA961">
        <f t="shared" si="199"/>
        <v>0</v>
      </c>
      <c r="AD961" t="str">
        <f>IFERROR(VLOOKUP(AC961,tbFactorMes,2,FALSE),"")</f>
        <v/>
      </c>
      <c r="AE961">
        <f t="shared" si="200"/>
        <v>0</v>
      </c>
      <c r="AH961" t="str">
        <f>IFERROR(VLOOKUP(AG961,tbFactorMes,2,FALSE),"")</f>
        <v/>
      </c>
      <c r="AI961">
        <f t="shared" si="201"/>
        <v>0</v>
      </c>
      <c r="AL961" t="str">
        <f>IFERROR(VLOOKUP(AK961,tbFactorMes,2,FALSE),"")</f>
        <v/>
      </c>
      <c r="AM961">
        <f t="shared" si="202"/>
        <v>0</v>
      </c>
      <c r="AP961" t="str">
        <f>IFERROR(VLOOKUP(AO961,tbFactorMes,2,FALSE),"")</f>
        <v/>
      </c>
      <c r="AQ961">
        <f t="shared" si="203"/>
        <v>0</v>
      </c>
      <c r="AT961" t="str">
        <f>IFERROR(VLOOKUP(AS961,tbFactorMes,2,FALSE),"")</f>
        <v/>
      </c>
      <c r="AU961">
        <f t="shared" si="204"/>
        <v>0</v>
      </c>
      <c r="AX961" t="str">
        <f>IFERROR(VLOOKUP(AW961,tbFactorMes,2,FALSE),"")</f>
        <v/>
      </c>
      <c r="AY961">
        <f t="shared" si="205"/>
        <v>0</v>
      </c>
      <c r="BB961" t="str">
        <f>IFERROR(VLOOKUP(BA961,tbFactorMes,2,FALSE),"")</f>
        <v/>
      </c>
      <c r="BC961">
        <f t="shared" si="206"/>
        <v>0</v>
      </c>
      <c r="BF961" t="str">
        <f>IFERROR(VLOOKUP(BE961,tbFactorMes,2,FALSE),"")</f>
        <v/>
      </c>
      <c r="BG961">
        <f t="shared" si="207"/>
        <v>0</v>
      </c>
      <c r="BH961">
        <f t="shared" si="208"/>
        <v>0</v>
      </c>
      <c r="BI961">
        <f t="shared" si="209"/>
        <v>0</v>
      </c>
    </row>
    <row r="962" spans="11:61" x14ac:dyDescent="0.35">
      <c r="K962" t="str">
        <f>IFERROR(VLOOKUP(F962,tbTurnos,3,FALSE),"")</f>
        <v/>
      </c>
      <c r="N962" t="str">
        <f>IFERROR(VLOOKUP(M962,tbFactorMes,2,FALSE),"")</f>
        <v/>
      </c>
      <c r="O962">
        <f t="shared" ref="O962:O1000" si="210">IFERROR((L962*$K962)/N962,0)*$J962</f>
        <v>0</v>
      </c>
      <c r="R962" t="str">
        <f>IFERROR(VLOOKUP(Q962,tbFactorMes,2,FALSE),"")</f>
        <v/>
      </c>
      <c r="S962">
        <f t="shared" ref="S962:S1000" si="211">IFERROR((P962*$K962)/R962,0)*$J962</f>
        <v>0</v>
      </c>
      <c r="V962" t="str">
        <f>IFERROR(VLOOKUP(U962,tbFactorMes,2,FALSE),"")</f>
        <v/>
      </c>
      <c r="W962">
        <f t="shared" ref="W962:W1000" si="212">IFERROR((T962*$K962)/V962,0)*$J962</f>
        <v>0</v>
      </c>
      <c r="Z962" t="str">
        <f>IFERROR(VLOOKUP(Y962,tbFactorMes,2,FALSE),"")</f>
        <v/>
      </c>
      <c r="AA962">
        <f t="shared" ref="AA962:AA1000" si="213">IFERROR((X962*$K962)/Z962,0)*$J962</f>
        <v>0</v>
      </c>
      <c r="AD962" t="str">
        <f>IFERROR(VLOOKUP(AC962,tbFactorMes,2,FALSE),"")</f>
        <v/>
      </c>
      <c r="AE962">
        <f t="shared" ref="AE962:AE1000" si="214">IFERROR((AB962*$K962)/AD962,0)*$J962</f>
        <v>0</v>
      </c>
      <c r="AH962" t="str">
        <f>IFERROR(VLOOKUP(AG962,tbFactorMes,2,FALSE),"")</f>
        <v/>
      </c>
      <c r="AI962">
        <f t="shared" ref="AI962:AI1000" si="215">IFERROR((AF962*$K962)/AH962,0)*$J962</f>
        <v>0</v>
      </c>
      <c r="AL962" t="str">
        <f>IFERROR(VLOOKUP(AK962,tbFactorMes,2,FALSE),"")</f>
        <v/>
      </c>
      <c r="AM962">
        <f t="shared" ref="AM962:AM1000" si="216">IFERROR((AJ962*$K962)/AL962,0)*$J962</f>
        <v>0</v>
      </c>
      <c r="AP962" t="str">
        <f>IFERROR(VLOOKUP(AO962,tbFactorMes,2,FALSE),"")</f>
        <v/>
      </c>
      <c r="AQ962">
        <f t="shared" ref="AQ962:AQ1000" si="217">IFERROR((AN962*$K962)/AP962,0)*$J962</f>
        <v>0</v>
      </c>
      <c r="AT962" t="str">
        <f>IFERROR(VLOOKUP(AS962,tbFactorMes,2,FALSE),"")</f>
        <v/>
      </c>
      <c r="AU962">
        <f t="shared" ref="AU962:AU1000" si="218">IFERROR((AR962*$K962)/AT962,0)*$J962</f>
        <v>0</v>
      </c>
      <c r="AX962" t="str">
        <f>IFERROR(VLOOKUP(AW962,tbFactorMes,2,FALSE),"")</f>
        <v/>
      </c>
      <c r="AY962">
        <f t="shared" ref="AY962:AY1000" si="219">IFERROR((AV962*$K962)/AX962,0)*$J962</f>
        <v>0</v>
      </c>
      <c r="BB962" t="str">
        <f>IFERROR(VLOOKUP(BA962,tbFactorMes,2,FALSE),"")</f>
        <v/>
      </c>
      <c r="BC962">
        <f t="shared" ref="BC962:BC1000" si="220">IFERROR((AZ962*$K962)/BB962,0)*$J962</f>
        <v>0</v>
      </c>
      <c r="BF962" t="str">
        <f>IFERROR(VLOOKUP(BE962,tbFactorMes,2,FALSE),"")</f>
        <v/>
      </c>
      <c r="BG962">
        <f t="shared" ref="BG962:BG1000" si="221">IFERROR((BD962*$K962)/BF962,0)*$J962</f>
        <v>0</v>
      </c>
      <c r="BH962">
        <f t="shared" ref="BH962:BH1000" si="222">IFERROR(SUM(O962,S962,W962,AA962,AE962,AI962,AM962,AQ962,AU962,AY962,BC962,BG962),0)</f>
        <v>0</v>
      </c>
      <c r="BI962">
        <f t="shared" ref="BI962:BI1000" si="223">IFERROR(BH962*(1-$I962),0)</f>
        <v>0</v>
      </c>
    </row>
    <row r="963" spans="11:61" x14ac:dyDescent="0.35">
      <c r="K963" t="str">
        <f>IFERROR(VLOOKUP(F963,tbTurnos,3,FALSE),"")</f>
        <v/>
      </c>
      <c r="N963" t="str">
        <f>IFERROR(VLOOKUP(M963,tbFactorMes,2,FALSE),"")</f>
        <v/>
      </c>
      <c r="O963">
        <f t="shared" si="210"/>
        <v>0</v>
      </c>
      <c r="R963" t="str">
        <f>IFERROR(VLOOKUP(Q963,tbFactorMes,2,FALSE),"")</f>
        <v/>
      </c>
      <c r="S963">
        <f t="shared" si="211"/>
        <v>0</v>
      </c>
      <c r="V963" t="str">
        <f>IFERROR(VLOOKUP(U963,tbFactorMes,2,FALSE),"")</f>
        <v/>
      </c>
      <c r="W963">
        <f t="shared" si="212"/>
        <v>0</v>
      </c>
      <c r="Z963" t="str">
        <f>IFERROR(VLOOKUP(Y963,tbFactorMes,2,FALSE),"")</f>
        <v/>
      </c>
      <c r="AA963">
        <f t="shared" si="213"/>
        <v>0</v>
      </c>
      <c r="AD963" t="str">
        <f>IFERROR(VLOOKUP(AC963,tbFactorMes,2,FALSE),"")</f>
        <v/>
      </c>
      <c r="AE963">
        <f t="shared" si="214"/>
        <v>0</v>
      </c>
      <c r="AH963" t="str">
        <f>IFERROR(VLOOKUP(AG963,tbFactorMes,2,FALSE),"")</f>
        <v/>
      </c>
      <c r="AI963">
        <f t="shared" si="215"/>
        <v>0</v>
      </c>
      <c r="AL963" t="str">
        <f>IFERROR(VLOOKUP(AK963,tbFactorMes,2,FALSE),"")</f>
        <v/>
      </c>
      <c r="AM963">
        <f t="shared" si="216"/>
        <v>0</v>
      </c>
      <c r="AP963" t="str">
        <f>IFERROR(VLOOKUP(AO963,tbFactorMes,2,FALSE),"")</f>
        <v/>
      </c>
      <c r="AQ963">
        <f t="shared" si="217"/>
        <v>0</v>
      </c>
      <c r="AT963" t="str">
        <f>IFERROR(VLOOKUP(AS963,tbFactorMes,2,FALSE),"")</f>
        <v/>
      </c>
      <c r="AU963">
        <f t="shared" si="218"/>
        <v>0</v>
      </c>
      <c r="AX963" t="str">
        <f>IFERROR(VLOOKUP(AW963,tbFactorMes,2,FALSE),"")</f>
        <v/>
      </c>
      <c r="AY963">
        <f t="shared" si="219"/>
        <v>0</v>
      </c>
      <c r="BB963" t="str">
        <f>IFERROR(VLOOKUP(BA963,tbFactorMes,2,FALSE),"")</f>
        <v/>
      </c>
      <c r="BC963">
        <f t="shared" si="220"/>
        <v>0</v>
      </c>
      <c r="BF963" t="str">
        <f>IFERROR(VLOOKUP(BE963,tbFactorMes,2,FALSE),"")</f>
        <v/>
      </c>
      <c r="BG963">
        <f t="shared" si="221"/>
        <v>0</v>
      </c>
      <c r="BH963">
        <f t="shared" si="222"/>
        <v>0</v>
      </c>
      <c r="BI963">
        <f t="shared" si="223"/>
        <v>0</v>
      </c>
    </row>
    <row r="964" spans="11:61" x14ac:dyDescent="0.35">
      <c r="K964" t="str">
        <f>IFERROR(VLOOKUP(F964,tbTurnos,3,FALSE),"")</f>
        <v/>
      </c>
      <c r="N964" t="str">
        <f>IFERROR(VLOOKUP(M964,tbFactorMes,2,FALSE),"")</f>
        <v/>
      </c>
      <c r="O964">
        <f t="shared" si="210"/>
        <v>0</v>
      </c>
      <c r="R964" t="str">
        <f>IFERROR(VLOOKUP(Q964,tbFactorMes,2,FALSE),"")</f>
        <v/>
      </c>
      <c r="S964">
        <f t="shared" si="211"/>
        <v>0</v>
      </c>
      <c r="V964" t="str">
        <f>IFERROR(VLOOKUP(U964,tbFactorMes,2,FALSE),"")</f>
        <v/>
      </c>
      <c r="W964">
        <f t="shared" si="212"/>
        <v>0</v>
      </c>
      <c r="Z964" t="str">
        <f>IFERROR(VLOOKUP(Y964,tbFactorMes,2,FALSE),"")</f>
        <v/>
      </c>
      <c r="AA964">
        <f t="shared" si="213"/>
        <v>0</v>
      </c>
      <c r="AD964" t="str">
        <f>IFERROR(VLOOKUP(AC964,tbFactorMes,2,FALSE),"")</f>
        <v/>
      </c>
      <c r="AE964">
        <f t="shared" si="214"/>
        <v>0</v>
      </c>
      <c r="AH964" t="str">
        <f>IFERROR(VLOOKUP(AG964,tbFactorMes,2,FALSE),"")</f>
        <v/>
      </c>
      <c r="AI964">
        <f t="shared" si="215"/>
        <v>0</v>
      </c>
      <c r="AL964" t="str">
        <f>IFERROR(VLOOKUP(AK964,tbFactorMes,2,FALSE),"")</f>
        <v/>
      </c>
      <c r="AM964">
        <f t="shared" si="216"/>
        <v>0</v>
      </c>
      <c r="AP964" t="str">
        <f>IFERROR(VLOOKUP(AO964,tbFactorMes,2,FALSE),"")</f>
        <v/>
      </c>
      <c r="AQ964">
        <f t="shared" si="217"/>
        <v>0</v>
      </c>
      <c r="AT964" t="str">
        <f>IFERROR(VLOOKUP(AS964,tbFactorMes,2,FALSE),"")</f>
        <v/>
      </c>
      <c r="AU964">
        <f t="shared" si="218"/>
        <v>0</v>
      </c>
      <c r="AX964" t="str">
        <f>IFERROR(VLOOKUP(AW964,tbFactorMes,2,FALSE),"")</f>
        <v/>
      </c>
      <c r="AY964">
        <f t="shared" si="219"/>
        <v>0</v>
      </c>
      <c r="BB964" t="str">
        <f>IFERROR(VLOOKUP(BA964,tbFactorMes,2,FALSE),"")</f>
        <v/>
      </c>
      <c r="BC964">
        <f t="shared" si="220"/>
        <v>0</v>
      </c>
      <c r="BF964" t="str">
        <f>IFERROR(VLOOKUP(BE964,tbFactorMes,2,FALSE),"")</f>
        <v/>
      </c>
      <c r="BG964">
        <f t="shared" si="221"/>
        <v>0</v>
      </c>
      <c r="BH964">
        <f t="shared" si="222"/>
        <v>0</v>
      </c>
      <c r="BI964">
        <f t="shared" si="223"/>
        <v>0</v>
      </c>
    </row>
    <row r="965" spans="11:61" x14ac:dyDescent="0.35">
      <c r="K965" t="str">
        <f>IFERROR(VLOOKUP(F965,tbTurnos,3,FALSE),"")</f>
        <v/>
      </c>
      <c r="N965" t="str">
        <f>IFERROR(VLOOKUP(M965,tbFactorMes,2,FALSE),"")</f>
        <v/>
      </c>
      <c r="O965">
        <f t="shared" si="210"/>
        <v>0</v>
      </c>
      <c r="R965" t="str">
        <f>IFERROR(VLOOKUP(Q965,tbFactorMes,2,FALSE),"")</f>
        <v/>
      </c>
      <c r="S965">
        <f t="shared" si="211"/>
        <v>0</v>
      </c>
      <c r="V965" t="str">
        <f>IFERROR(VLOOKUP(U965,tbFactorMes,2,FALSE),"")</f>
        <v/>
      </c>
      <c r="W965">
        <f t="shared" si="212"/>
        <v>0</v>
      </c>
      <c r="Z965" t="str">
        <f>IFERROR(VLOOKUP(Y965,tbFactorMes,2,FALSE),"")</f>
        <v/>
      </c>
      <c r="AA965">
        <f t="shared" si="213"/>
        <v>0</v>
      </c>
      <c r="AD965" t="str">
        <f>IFERROR(VLOOKUP(AC965,tbFactorMes,2,FALSE),"")</f>
        <v/>
      </c>
      <c r="AE965">
        <f t="shared" si="214"/>
        <v>0</v>
      </c>
      <c r="AH965" t="str">
        <f>IFERROR(VLOOKUP(AG965,tbFactorMes,2,FALSE),"")</f>
        <v/>
      </c>
      <c r="AI965">
        <f t="shared" si="215"/>
        <v>0</v>
      </c>
      <c r="AL965" t="str">
        <f>IFERROR(VLOOKUP(AK965,tbFactorMes,2,FALSE),"")</f>
        <v/>
      </c>
      <c r="AM965">
        <f t="shared" si="216"/>
        <v>0</v>
      </c>
      <c r="AP965" t="str">
        <f>IFERROR(VLOOKUP(AO965,tbFactorMes,2,FALSE),"")</f>
        <v/>
      </c>
      <c r="AQ965">
        <f t="shared" si="217"/>
        <v>0</v>
      </c>
      <c r="AT965" t="str">
        <f>IFERROR(VLOOKUP(AS965,tbFactorMes,2,FALSE),"")</f>
        <v/>
      </c>
      <c r="AU965">
        <f t="shared" si="218"/>
        <v>0</v>
      </c>
      <c r="AX965" t="str">
        <f>IFERROR(VLOOKUP(AW965,tbFactorMes,2,FALSE),"")</f>
        <v/>
      </c>
      <c r="AY965">
        <f t="shared" si="219"/>
        <v>0</v>
      </c>
      <c r="BB965" t="str">
        <f>IFERROR(VLOOKUP(BA965,tbFactorMes,2,FALSE),"")</f>
        <v/>
      </c>
      <c r="BC965">
        <f t="shared" si="220"/>
        <v>0</v>
      </c>
      <c r="BF965" t="str">
        <f>IFERROR(VLOOKUP(BE965,tbFactorMes,2,FALSE),"")</f>
        <v/>
      </c>
      <c r="BG965">
        <f t="shared" si="221"/>
        <v>0</v>
      </c>
      <c r="BH965">
        <f t="shared" si="222"/>
        <v>0</v>
      </c>
      <c r="BI965">
        <f t="shared" si="223"/>
        <v>0</v>
      </c>
    </row>
    <row r="966" spans="11:61" x14ac:dyDescent="0.35">
      <c r="K966" t="str">
        <f>IFERROR(VLOOKUP(F966,tbTurnos,3,FALSE),"")</f>
        <v/>
      </c>
      <c r="N966" t="str">
        <f>IFERROR(VLOOKUP(M966,tbFactorMes,2,FALSE),"")</f>
        <v/>
      </c>
      <c r="O966">
        <f t="shared" si="210"/>
        <v>0</v>
      </c>
      <c r="R966" t="str">
        <f>IFERROR(VLOOKUP(Q966,tbFactorMes,2,FALSE),"")</f>
        <v/>
      </c>
      <c r="S966">
        <f t="shared" si="211"/>
        <v>0</v>
      </c>
      <c r="V966" t="str">
        <f>IFERROR(VLOOKUP(U966,tbFactorMes,2,FALSE),"")</f>
        <v/>
      </c>
      <c r="W966">
        <f t="shared" si="212"/>
        <v>0</v>
      </c>
      <c r="Z966" t="str">
        <f>IFERROR(VLOOKUP(Y966,tbFactorMes,2,FALSE),"")</f>
        <v/>
      </c>
      <c r="AA966">
        <f t="shared" si="213"/>
        <v>0</v>
      </c>
      <c r="AD966" t="str">
        <f>IFERROR(VLOOKUP(AC966,tbFactorMes,2,FALSE),"")</f>
        <v/>
      </c>
      <c r="AE966">
        <f t="shared" si="214"/>
        <v>0</v>
      </c>
      <c r="AH966" t="str">
        <f>IFERROR(VLOOKUP(AG966,tbFactorMes,2,FALSE),"")</f>
        <v/>
      </c>
      <c r="AI966">
        <f t="shared" si="215"/>
        <v>0</v>
      </c>
      <c r="AL966" t="str">
        <f>IFERROR(VLOOKUP(AK966,tbFactorMes,2,FALSE),"")</f>
        <v/>
      </c>
      <c r="AM966">
        <f t="shared" si="216"/>
        <v>0</v>
      </c>
      <c r="AP966" t="str">
        <f>IFERROR(VLOOKUP(AO966,tbFactorMes,2,FALSE),"")</f>
        <v/>
      </c>
      <c r="AQ966">
        <f t="shared" si="217"/>
        <v>0</v>
      </c>
      <c r="AT966" t="str">
        <f>IFERROR(VLOOKUP(AS966,tbFactorMes,2,FALSE),"")</f>
        <v/>
      </c>
      <c r="AU966">
        <f t="shared" si="218"/>
        <v>0</v>
      </c>
      <c r="AX966" t="str">
        <f>IFERROR(VLOOKUP(AW966,tbFactorMes,2,FALSE),"")</f>
        <v/>
      </c>
      <c r="AY966">
        <f t="shared" si="219"/>
        <v>0</v>
      </c>
      <c r="BB966" t="str">
        <f>IFERROR(VLOOKUP(BA966,tbFactorMes,2,FALSE),"")</f>
        <v/>
      </c>
      <c r="BC966">
        <f t="shared" si="220"/>
        <v>0</v>
      </c>
      <c r="BF966" t="str">
        <f>IFERROR(VLOOKUP(BE966,tbFactorMes,2,FALSE),"")</f>
        <v/>
      </c>
      <c r="BG966">
        <f t="shared" si="221"/>
        <v>0</v>
      </c>
      <c r="BH966">
        <f t="shared" si="222"/>
        <v>0</v>
      </c>
      <c r="BI966">
        <f t="shared" si="223"/>
        <v>0</v>
      </c>
    </row>
    <row r="967" spans="11:61" x14ac:dyDescent="0.35">
      <c r="K967" t="str">
        <f>IFERROR(VLOOKUP(F967,tbTurnos,3,FALSE),"")</f>
        <v/>
      </c>
      <c r="N967" t="str">
        <f>IFERROR(VLOOKUP(M967,tbFactorMes,2,FALSE),"")</f>
        <v/>
      </c>
      <c r="O967">
        <f t="shared" si="210"/>
        <v>0</v>
      </c>
      <c r="R967" t="str">
        <f>IFERROR(VLOOKUP(Q967,tbFactorMes,2,FALSE),"")</f>
        <v/>
      </c>
      <c r="S967">
        <f t="shared" si="211"/>
        <v>0</v>
      </c>
      <c r="V967" t="str">
        <f>IFERROR(VLOOKUP(U967,tbFactorMes,2,FALSE),"")</f>
        <v/>
      </c>
      <c r="W967">
        <f t="shared" si="212"/>
        <v>0</v>
      </c>
      <c r="Z967" t="str">
        <f>IFERROR(VLOOKUP(Y967,tbFactorMes,2,FALSE),"")</f>
        <v/>
      </c>
      <c r="AA967">
        <f t="shared" si="213"/>
        <v>0</v>
      </c>
      <c r="AD967" t="str">
        <f>IFERROR(VLOOKUP(AC967,tbFactorMes,2,FALSE),"")</f>
        <v/>
      </c>
      <c r="AE967">
        <f t="shared" si="214"/>
        <v>0</v>
      </c>
      <c r="AH967" t="str">
        <f>IFERROR(VLOOKUP(AG967,tbFactorMes,2,FALSE),"")</f>
        <v/>
      </c>
      <c r="AI967">
        <f t="shared" si="215"/>
        <v>0</v>
      </c>
      <c r="AL967" t="str">
        <f>IFERROR(VLOOKUP(AK967,tbFactorMes,2,FALSE),"")</f>
        <v/>
      </c>
      <c r="AM967">
        <f t="shared" si="216"/>
        <v>0</v>
      </c>
      <c r="AP967" t="str">
        <f>IFERROR(VLOOKUP(AO967,tbFactorMes,2,FALSE),"")</f>
        <v/>
      </c>
      <c r="AQ967">
        <f t="shared" si="217"/>
        <v>0</v>
      </c>
      <c r="AT967" t="str">
        <f>IFERROR(VLOOKUP(AS967,tbFactorMes,2,FALSE),"")</f>
        <v/>
      </c>
      <c r="AU967">
        <f t="shared" si="218"/>
        <v>0</v>
      </c>
      <c r="AX967" t="str">
        <f>IFERROR(VLOOKUP(AW967,tbFactorMes,2,FALSE),"")</f>
        <v/>
      </c>
      <c r="AY967">
        <f t="shared" si="219"/>
        <v>0</v>
      </c>
      <c r="BB967" t="str">
        <f>IFERROR(VLOOKUP(BA967,tbFactorMes,2,FALSE),"")</f>
        <v/>
      </c>
      <c r="BC967">
        <f t="shared" si="220"/>
        <v>0</v>
      </c>
      <c r="BF967" t="str">
        <f>IFERROR(VLOOKUP(BE967,tbFactorMes,2,FALSE),"")</f>
        <v/>
      </c>
      <c r="BG967">
        <f t="shared" si="221"/>
        <v>0</v>
      </c>
      <c r="BH967">
        <f t="shared" si="222"/>
        <v>0</v>
      </c>
      <c r="BI967">
        <f t="shared" si="223"/>
        <v>0</v>
      </c>
    </row>
    <row r="968" spans="11:61" x14ac:dyDescent="0.35">
      <c r="K968" t="str">
        <f>IFERROR(VLOOKUP(F968,tbTurnos,3,FALSE),"")</f>
        <v/>
      </c>
      <c r="N968" t="str">
        <f>IFERROR(VLOOKUP(M968,tbFactorMes,2,FALSE),"")</f>
        <v/>
      </c>
      <c r="O968">
        <f t="shared" si="210"/>
        <v>0</v>
      </c>
      <c r="R968" t="str">
        <f>IFERROR(VLOOKUP(Q968,tbFactorMes,2,FALSE),"")</f>
        <v/>
      </c>
      <c r="S968">
        <f t="shared" si="211"/>
        <v>0</v>
      </c>
      <c r="V968" t="str">
        <f>IFERROR(VLOOKUP(U968,tbFactorMes,2,FALSE),"")</f>
        <v/>
      </c>
      <c r="W968">
        <f t="shared" si="212"/>
        <v>0</v>
      </c>
      <c r="Z968" t="str">
        <f>IFERROR(VLOOKUP(Y968,tbFactorMes,2,FALSE),"")</f>
        <v/>
      </c>
      <c r="AA968">
        <f t="shared" si="213"/>
        <v>0</v>
      </c>
      <c r="AD968" t="str">
        <f>IFERROR(VLOOKUP(AC968,tbFactorMes,2,FALSE),"")</f>
        <v/>
      </c>
      <c r="AE968">
        <f t="shared" si="214"/>
        <v>0</v>
      </c>
      <c r="AH968" t="str">
        <f>IFERROR(VLOOKUP(AG968,tbFactorMes,2,FALSE),"")</f>
        <v/>
      </c>
      <c r="AI968">
        <f t="shared" si="215"/>
        <v>0</v>
      </c>
      <c r="AL968" t="str">
        <f>IFERROR(VLOOKUP(AK968,tbFactorMes,2,FALSE),"")</f>
        <v/>
      </c>
      <c r="AM968">
        <f t="shared" si="216"/>
        <v>0</v>
      </c>
      <c r="AP968" t="str">
        <f>IFERROR(VLOOKUP(AO968,tbFactorMes,2,FALSE),"")</f>
        <v/>
      </c>
      <c r="AQ968">
        <f t="shared" si="217"/>
        <v>0</v>
      </c>
      <c r="AT968" t="str">
        <f>IFERROR(VLOOKUP(AS968,tbFactorMes,2,FALSE),"")</f>
        <v/>
      </c>
      <c r="AU968">
        <f t="shared" si="218"/>
        <v>0</v>
      </c>
      <c r="AX968" t="str">
        <f>IFERROR(VLOOKUP(AW968,tbFactorMes,2,FALSE),"")</f>
        <v/>
      </c>
      <c r="AY968">
        <f t="shared" si="219"/>
        <v>0</v>
      </c>
      <c r="BB968" t="str">
        <f>IFERROR(VLOOKUP(BA968,tbFactorMes,2,FALSE),"")</f>
        <v/>
      </c>
      <c r="BC968">
        <f t="shared" si="220"/>
        <v>0</v>
      </c>
      <c r="BF968" t="str">
        <f>IFERROR(VLOOKUP(BE968,tbFactorMes,2,FALSE),"")</f>
        <v/>
      </c>
      <c r="BG968">
        <f t="shared" si="221"/>
        <v>0</v>
      </c>
      <c r="BH968">
        <f t="shared" si="222"/>
        <v>0</v>
      </c>
      <c r="BI968">
        <f t="shared" si="223"/>
        <v>0</v>
      </c>
    </row>
    <row r="969" spans="11:61" x14ac:dyDescent="0.35">
      <c r="K969" t="str">
        <f>IFERROR(VLOOKUP(F969,tbTurnos,3,FALSE),"")</f>
        <v/>
      </c>
      <c r="N969" t="str">
        <f>IFERROR(VLOOKUP(M969,tbFactorMes,2,FALSE),"")</f>
        <v/>
      </c>
      <c r="O969">
        <f t="shared" si="210"/>
        <v>0</v>
      </c>
      <c r="R969" t="str">
        <f>IFERROR(VLOOKUP(Q969,tbFactorMes,2,FALSE),"")</f>
        <v/>
      </c>
      <c r="S969">
        <f t="shared" si="211"/>
        <v>0</v>
      </c>
      <c r="V969" t="str">
        <f>IFERROR(VLOOKUP(U969,tbFactorMes,2,FALSE),"")</f>
        <v/>
      </c>
      <c r="W969">
        <f t="shared" si="212"/>
        <v>0</v>
      </c>
      <c r="Z969" t="str">
        <f>IFERROR(VLOOKUP(Y969,tbFactorMes,2,FALSE),"")</f>
        <v/>
      </c>
      <c r="AA969">
        <f t="shared" si="213"/>
        <v>0</v>
      </c>
      <c r="AD969" t="str">
        <f>IFERROR(VLOOKUP(AC969,tbFactorMes,2,FALSE),"")</f>
        <v/>
      </c>
      <c r="AE969">
        <f t="shared" si="214"/>
        <v>0</v>
      </c>
      <c r="AH969" t="str">
        <f>IFERROR(VLOOKUP(AG969,tbFactorMes,2,FALSE),"")</f>
        <v/>
      </c>
      <c r="AI969">
        <f t="shared" si="215"/>
        <v>0</v>
      </c>
      <c r="AL969" t="str">
        <f>IFERROR(VLOOKUP(AK969,tbFactorMes,2,FALSE),"")</f>
        <v/>
      </c>
      <c r="AM969">
        <f t="shared" si="216"/>
        <v>0</v>
      </c>
      <c r="AP969" t="str">
        <f>IFERROR(VLOOKUP(AO969,tbFactorMes,2,FALSE),"")</f>
        <v/>
      </c>
      <c r="AQ969">
        <f t="shared" si="217"/>
        <v>0</v>
      </c>
      <c r="AT969" t="str">
        <f>IFERROR(VLOOKUP(AS969,tbFactorMes,2,FALSE),"")</f>
        <v/>
      </c>
      <c r="AU969">
        <f t="shared" si="218"/>
        <v>0</v>
      </c>
      <c r="AX969" t="str">
        <f>IFERROR(VLOOKUP(AW969,tbFactorMes,2,FALSE),"")</f>
        <v/>
      </c>
      <c r="AY969">
        <f t="shared" si="219"/>
        <v>0</v>
      </c>
      <c r="BB969" t="str">
        <f>IFERROR(VLOOKUP(BA969,tbFactorMes,2,FALSE),"")</f>
        <v/>
      </c>
      <c r="BC969">
        <f t="shared" si="220"/>
        <v>0</v>
      </c>
      <c r="BF969" t="str">
        <f>IFERROR(VLOOKUP(BE969,tbFactorMes,2,FALSE),"")</f>
        <v/>
      </c>
      <c r="BG969">
        <f t="shared" si="221"/>
        <v>0</v>
      </c>
      <c r="BH969">
        <f t="shared" si="222"/>
        <v>0</v>
      </c>
      <c r="BI969">
        <f t="shared" si="223"/>
        <v>0</v>
      </c>
    </row>
    <row r="970" spans="11:61" x14ac:dyDescent="0.35">
      <c r="K970" t="str">
        <f>IFERROR(VLOOKUP(F970,tbTurnos,3,FALSE),"")</f>
        <v/>
      </c>
      <c r="N970" t="str">
        <f>IFERROR(VLOOKUP(M970,tbFactorMes,2,FALSE),"")</f>
        <v/>
      </c>
      <c r="O970">
        <f t="shared" si="210"/>
        <v>0</v>
      </c>
      <c r="R970" t="str">
        <f>IFERROR(VLOOKUP(Q970,tbFactorMes,2,FALSE),"")</f>
        <v/>
      </c>
      <c r="S970">
        <f t="shared" si="211"/>
        <v>0</v>
      </c>
      <c r="V970" t="str">
        <f>IFERROR(VLOOKUP(U970,tbFactorMes,2,FALSE),"")</f>
        <v/>
      </c>
      <c r="W970">
        <f t="shared" si="212"/>
        <v>0</v>
      </c>
      <c r="Z970" t="str">
        <f>IFERROR(VLOOKUP(Y970,tbFactorMes,2,FALSE),"")</f>
        <v/>
      </c>
      <c r="AA970">
        <f t="shared" si="213"/>
        <v>0</v>
      </c>
      <c r="AD970" t="str">
        <f>IFERROR(VLOOKUP(AC970,tbFactorMes,2,FALSE),"")</f>
        <v/>
      </c>
      <c r="AE970">
        <f t="shared" si="214"/>
        <v>0</v>
      </c>
      <c r="AH970" t="str">
        <f>IFERROR(VLOOKUP(AG970,tbFactorMes,2,FALSE),"")</f>
        <v/>
      </c>
      <c r="AI970">
        <f t="shared" si="215"/>
        <v>0</v>
      </c>
      <c r="AL970" t="str">
        <f>IFERROR(VLOOKUP(AK970,tbFactorMes,2,FALSE),"")</f>
        <v/>
      </c>
      <c r="AM970">
        <f t="shared" si="216"/>
        <v>0</v>
      </c>
      <c r="AP970" t="str">
        <f>IFERROR(VLOOKUP(AO970,tbFactorMes,2,FALSE),"")</f>
        <v/>
      </c>
      <c r="AQ970">
        <f t="shared" si="217"/>
        <v>0</v>
      </c>
      <c r="AT970" t="str">
        <f>IFERROR(VLOOKUP(AS970,tbFactorMes,2,FALSE),"")</f>
        <v/>
      </c>
      <c r="AU970">
        <f t="shared" si="218"/>
        <v>0</v>
      </c>
      <c r="AX970" t="str">
        <f>IFERROR(VLOOKUP(AW970,tbFactorMes,2,FALSE),"")</f>
        <v/>
      </c>
      <c r="AY970">
        <f t="shared" si="219"/>
        <v>0</v>
      </c>
      <c r="BB970" t="str">
        <f>IFERROR(VLOOKUP(BA970,tbFactorMes,2,FALSE),"")</f>
        <v/>
      </c>
      <c r="BC970">
        <f t="shared" si="220"/>
        <v>0</v>
      </c>
      <c r="BF970" t="str">
        <f>IFERROR(VLOOKUP(BE970,tbFactorMes,2,FALSE),"")</f>
        <v/>
      </c>
      <c r="BG970">
        <f t="shared" si="221"/>
        <v>0</v>
      </c>
      <c r="BH970">
        <f t="shared" si="222"/>
        <v>0</v>
      </c>
      <c r="BI970">
        <f t="shared" si="223"/>
        <v>0</v>
      </c>
    </row>
    <row r="971" spans="11:61" x14ac:dyDescent="0.35">
      <c r="K971" t="str">
        <f>IFERROR(VLOOKUP(F971,tbTurnos,3,FALSE),"")</f>
        <v/>
      </c>
      <c r="N971" t="str">
        <f>IFERROR(VLOOKUP(M971,tbFactorMes,2,FALSE),"")</f>
        <v/>
      </c>
      <c r="O971">
        <f t="shared" si="210"/>
        <v>0</v>
      </c>
      <c r="R971" t="str">
        <f>IFERROR(VLOOKUP(Q971,tbFactorMes,2,FALSE),"")</f>
        <v/>
      </c>
      <c r="S971">
        <f t="shared" si="211"/>
        <v>0</v>
      </c>
      <c r="V971" t="str">
        <f>IFERROR(VLOOKUP(U971,tbFactorMes,2,FALSE),"")</f>
        <v/>
      </c>
      <c r="W971">
        <f t="shared" si="212"/>
        <v>0</v>
      </c>
      <c r="Z971" t="str">
        <f>IFERROR(VLOOKUP(Y971,tbFactorMes,2,FALSE),"")</f>
        <v/>
      </c>
      <c r="AA971">
        <f t="shared" si="213"/>
        <v>0</v>
      </c>
      <c r="AD971" t="str">
        <f>IFERROR(VLOOKUP(AC971,tbFactorMes,2,FALSE),"")</f>
        <v/>
      </c>
      <c r="AE971">
        <f t="shared" si="214"/>
        <v>0</v>
      </c>
      <c r="AH971" t="str">
        <f>IFERROR(VLOOKUP(AG971,tbFactorMes,2,FALSE),"")</f>
        <v/>
      </c>
      <c r="AI971">
        <f t="shared" si="215"/>
        <v>0</v>
      </c>
      <c r="AL971" t="str">
        <f>IFERROR(VLOOKUP(AK971,tbFactorMes,2,FALSE),"")</f>
        <v/>
      </c>
      <c r="AM971">
        <f t="shared" si="216"/>
        <v>0</v>
      </c>
      <c r="AP971" t="str">
        <f>IFERROR(VLOOKUP(AO971,tbFactorMes,2,FALSE),"")</f>
        <v/>
      </c>
      <c r="AQ971">
        <f t="shared" si="217"/>
        <v>0</v>
      </c>
      <c r="AT971" t="str">
        <f>IFERROR(VLOOKUP(AS971,tbFactorMes,2,FALSE),"")</f>
        <v/>
      </c>
      <c r="AU971">
        <f t="shared" si="218"/>
        <v>0</v>
      </c>
      <c r="AX971" t="str">
        <f>IFERROR(VLOOKUP(AW971,tbFactorMes,2,FALSE),"")</f>
        <v/>
      </c>
      <c r="AY971">
        <f t="shared" si="219"/>
        <v>0</v>
      </c>
      <c r="BB971" t="str">
        <f>IFERROR(VLOOKUP(BA971,tbFactorMes,2,FALSE),"")</f>
        <v/>
      </c>
      <c r="BC971">
        <f t="shared" si="220"/>
        <v>0</v>
      </c>
      <c r="BF971" t="str">
        <f>IFERROR(VLOOKUP(BE971,tbFactorMes,2,FALSE),"")</f>
        <v/>
      </c>
      <c r="BG971">
        <f t="shared" si="221"/>
        <v>0</v>
      </c>
      <c r="BH971">
        <f t="shared" si="222"/>
        <v>0</v>
      </c>
      <c r="BI971">
        <f t="shared" si="223"/>
        <v>0</v>
      </c>
    </row>
    <row r="972" spans="11:61" x14ac:dyDescent="0.35">
      <c r="K972" t="str">
        <f>IFERROR(VLOOKUP(F972,tbTurnos,3,FALSE),"")</f>
        <v/>
      </c>
      <c r="N972" t="str">
        <f>IFERROR(VLOOKUP(M972,tbFactorMes,2,FALSE),"")</f>
        <v/>
      </c>
      <c r="O972">
        <f t="shared" si="210"/>
        <v>0</v>
      </c>
      <c r="R972" t="str">
        <f>IFERROR(VLOOKUP(Q972,tbFactorMes,2,FALSE),"")</f>
        <v/>
      </c>
      <c r="S972">
        <f t="shared" si="211"/>
        <v>0</v>
      </c>
      <c r="V972" t="str">
        <f>IFERROR(VLOOKUP(U972,tbFactorMes,2,FALSE),"")</f>
        <v/>
      </c>
      <c r="W972">
        <f t="shared" si="212"/>
        <v>0</v>
      </c>
      <c r="Z972" t="str">
        <f>IFERROR(VLOOKUP(Y972,tbFactorMes,2,FALSE),"")</f>
        <v/>
      </c>
      <c r="AA972">
        <f t="shared" si="213"/>
        <v>0</v>
      </c>
      <c r="AD972" t="str">
        <f>IFERROR(VLOOKUP(AC972,tbFactorMes,2,FALSE),"")</f>
        <v/>
      </c>
      <c r="AE972">
        <f t="shared" si="214"/>
        <v>0</v>
      </c>
      <c r="AH972" t="str">
        <f>IFERROR(VLOOKUP(AG972,tbFactorMes,2,FALSE),"")</f>
        <v/>
      </c>
      <c r="AI972">
        <f t="shared" si="215"/>
        <v>0</v>
      </c>
      <c r="AL972" t="str">
        <f>IFERROR(VLOOKUP(AK972,tbFactorMes,2,FALSE),"")</f>
        <v/>
      </c>
      <c r="AM972">
        <f t="shared" si="216"/>
        <v>0</v>
      </c>
      <c r="AP972" t="str">
        <f>IFERROR(VLOOKUP(AO972,tbFactorMes,2,FALSE),"")</f>
        <v/>
      </c>
      <c r="AQ972">
        <f t="shared" si="217"/>
        <v>0</v>
      </c>
      <c r="AT972" t="str">
        <f>IFERROR(VLOOKUP(AS972,tbFactorMes,2,FALSE),"")</f>
        <v/>
      </c>
      <c r="AU972">
        <f t="shared" si="218"/>
        <v>0</v>
      </c>
      <c r="AX972" t="str">
        <f>IFERROR(VLOOKUP(AW972,tbFactorMes,2,FALSE),"")</f>
        <v/>
      </c>
      <c r="AY972">
        <f t="shared" si="219"/>
        <v>0</v>
      </c>
      <c r="BB972" t="str">
        <f>IFERROR(VLOOKUP(BA972,tbFactorMes,2,FALSE),"")</f>
        <v/>
      </c>
      <c r="BC972">
        <f t="shared" si="220"/>
        <v>0</v>
      </c>
      <c r="BF972" t="str">
        <f>IFERROR(VLOOKUP(BE972,tbFactorMes,2,FALSE),"")</f>
        <v/>
      </c>
      <c r="BG972">
        <f t="shared" si="221"/>
        <v>0</v>
      </c>
      <c r="BH972">
        <f t="shared" si="222"/>
        <v>0</v>
      </c>
      <c r="BI972">
        <f t="shared" si="223"/>
        <v>0</v>
      </c>
    </row>
    <row r="973" spans="11:61" x14ac:dyDescent="0.35">
      <c r="K973" t="str">
        <f>IFERROR(VLOOKUP(F973,tbTurnos,3,FALSE),"")</f>
        <v/>
      </c>
      <c r="N973" t="str">
        <f>IFERROR(VLOOKUP(M973,tbFactorMes,2,FALSE),"")</f>
        <v/>
      </c>
      <c r="O973">
        <f t="shared" si="210"/>
        <v>0</v>
      </c>
      <c r="R973" t="str">
        <f>IFERROR(VLOOKUP(Q973,tbFactorMes,2,FALSE),"")</f>
        <v/>
      </c>
      <c r="S973">
        <f t="shared" si="211"/>
        <v>0</v>
      </c>
      <c r="V973" t="str">
        <f>IFERROR(VLOOKUP(U973,tbFactorMes,2,FALSE),"")</f>
        <v/>
      </c>
      <c r="W973">
        <f t="shared" si="212"/>
        <v>0</v>
      </c>
      <c r="Z973" t="str">
        <f>IFERROR(VLOOKUP(Y973,tbFactorMes,2,FALSE),"")</f>
        <v/>
      </c>
      <c r="AA973">
        <f t="shared" si="213"/>
        <v>0</v>
      </c>
      <c r="AD973" t="str">
        <f>IFERROR(VLOOKUP(AC973,tbFactorMes,2,FALSE),"")</f>
        <v/>
      </c>
      <c r="AE973">
        <f t="shared" si="214"/>
        <v>0</v>
      </c>
      <c r="AH973" t="str">
        <f>IFERROR(VLOOKUP(AG973,tbFactorMes,2,FALSE),"")</f>
        <v/>
      </c>
      <c r="AI973">
        <f t="shared" si="215"/>
        <v>0</v>
      </c>
      <c r="AL973" t="str">
        <f>IFERROR(VLOOKUP(AK973,tbFactorMes,2,FALSE),"")</f>
        <v/>
      </c>
      <c r="AM973">
        <f t="shared" si="216"/>
        <v>0</v>
      </c>
      <c r="AP973" t="str">
        <f>IFERROR(VLOOKUP(AO973,tbFactorMes,2,FALSE),"")</f>
        <v/>
      </c>
      <c r="AQ973">
        <f t="shared" si="217"/>
        <v>0</v>
      </c>
      <c r="AT973" t="str">
        <f>IFERROR(VLOOKUP(AS973,tbFactorMes,2,FALSE),"")</f>
        <v/>
      </c>
      <c r="AU973">
        <f t="shared" si="218"/>
        <v>0</v>
      </c>
      <c r="AX973" t="str">
        <f>IFERROR(VLOOKUP(AW973,tbFactorMes,2,FALSE),"")</f>
        <v/>
      </c>
      <c r="AY973">
        <f t="shared" si="219"/>
        <v>0</v>
      </c>
      <c r="BB973" t="str">
        <f>IFERROR(VLOOKUP(BA973,tbFactorMes,2,FALSE),"")</f>
        <v/>
      </c>
      <c r="BC973">
        <f t="shared" si="220"/>
        <v>0</v>
      </c>
      <c r="BF973" t="str">
        <f>IFERROR(VLOOKUP(BE973,tbFactorMes,2,FALSE),"")</f>
        <v/>
      </c>
      <c r="BG973">
        <f t="shared" si="221"/>
        <v>0</v>
      </c>
      <c r="BH973">
        <f t="shared" si="222"/>
        <v>0</v>
      </c>
      <c r="BI973">
        <f t="shared" si="223"/>
        <v>0</v>
      </c>
    </row>
    <row r="974" spans="11:61" x14ac:dyDescent="0.35">
      <c r="K974" t="str">
        <f>IFERROR(VLOOKUP(F974,tbTurnos,3,FALSE),"")</f>
        <v/>
      </c>
      <c r="N974" t="str">
        <f>IFERROR(VLOOKUP(M974,tbFactorMes,2,FALSE),"")</f>
        <v/>
      </c>
      <c r="O974">
        <f t="shared" si="210"/>
        <v>0</v>
      </c>
      <c r="R974" t="str">
        <f>IFERROR(VLOOKUP(Q974,tbFactorMes,2,FALSE),"")</f>
        <v/>
      </c>
      <c r="S974">
        <f t="shared" si="211"/>
        <v>0</v>
      </c>
      <c r="V974" t="str">
        <f>IFERROR(VLOOKUP(U974,tbFactorMes,2,FALSE),"")</f>
        <v/>
      </c>
      <c r="W974">
        <f t="shared" si="212"/>
        <v>0</v>
      </c>
      <c r="Z974" t="str">
        <f>IFERROR(VLOOKUP(Y974,tbFactorMes,2,FALSE),"")</f>
        <v/>
      </c>
      <c r="AA974">
        <f t="shared" si="213"/>
        <v>0</v>
      </c>
      <c r="AD974" t="str">
        <f>IFERROR(VLOOKUP(AC974,tbFactorMes,2,FALSE),"")</f>
        <v/>
      </c>
      <c r="AE974">
        <f t="shared" si="214"/>
        <v>0</v>
      </c>
      <c r="AH974" t="str">
        <f>IFERROR(VLOOKUP(AG974,tbFactorMes,2,FALSE),"")</f>
        <v/>
      </c>
      <c r="AI974">
        <f t="shared" si="215"/>
        <v>0</v>
      </c>
      <c r="AL974" t="str">
        <f>IFERROR(VLOOKUP(AK974,tbFactorMes,2,FALSE),"")</f>
        <v/>
      </c>
      <c r="AM974">
        <f t="shared" si="216"/>
        <v>0</v>
      </c>
      <c r="AP974" t="str">
        <f>IFERROR(VLOOKUP(AO974,tbFactorMes,2,FALSE),"")</f>
        <v/>
      </c>
      <c r="AQ974">
        <f t="shared" si="217"/>
        <v>0</v>
      </c>
      <c r="AT974" t="str">
        <f>IFERROR(VLOOKUP(AS974,tbFactorMes,2,FALSE),"")</f>
        <v/>
      </c>
      <c r="AU974">
        <f t="shared" si="218"/>
        <v>0</v>
      </c>
      <c r="AX974" t="str">
        <f>IFERROR(VLOOKUP(AW974,tbFactorMes,2,FALSE),"")</f>
        <v/>
      </c>
      <c r="AY974">
        <f t="shared" si="219"/>
        <v>0</v>
      </c>
      <c r="BB974" t="str">
        <f>IFERROR(VLOOKUP(BA974,tbFactorMes,2,FALSE),"")</f>
        <v/>
      </c>
      <c r="BC974">
        <f t="shared" si="220"/>
        <v>0</v>
      </c>
      <c r="BF974" t="str">
        <f>IFERROR(VLOOKUP(BE974,tbFactorMes,2,FALSE),"")</f>
        <v/>
      </c>
      <c r="BG974">
        <f t="shared" si="221"/>
        <v>0</v>
      </c>
      <c r="BH974">
        <f t="shared" si="222"/>
        <v>0</v>
      </c>
      <c r="BI974">
        <f t="shared" si="223"/>
        <v>0</v>
      </c>
    </row>
    <row r="975" spans="11:61" x14ac:dyDescent="0.35">
      <c r="K975" t="str">
        <f>IFERROR(VLOOKUP(F975,tbTurnos,3,FALSE),"")</f>
        <v/>
      </c>
      <c r="N975" t="str">
        <f>IFERROR(VLOOKUP(M975,tbFactorMes,2,FALSE),"")</f>
        <v/>
      </c>
      <c r="O975">
        <f t="shared" si="210"/>
        <v>0</v>
      </c>
      <c r="R975" t="str">
        <f>IFERROR(VLOOKUP(Q975,tbFactorMes,2,FALSE),"")</f>
        <v/>
      </c>
      <c r="S975">
        <f t="shared" si="211"/>
        <v>0</v>
      </c>
      <c r="V975" t="str">
        <f>IFERROR(VLOOKUP(U975,tbFactorMes,2,FALSE),"")</f>
        <v/>
      </c>
      <c r="W975">
        <f t="shared" si="212"/>
        <v>0</v>
      </c>
      <c r="Z975" t="str">
        <f>IFERROR(VLOOKUP(Y975,tbFactorMes,2,FALSE),"")</f>
        <v/>
      </c>
      <c r="AA975">
        <f t="shared" si="213"/>
        <v>0</v>
      </c>
      <c r="AD975" t="str">
        <f>IFERROR(VLOOKUP(AC975,tbFactorMes,2,FALSE),"")</f>
        <v/>
      </c>
      <c r="AE975">
        <f t="shared" si="214"/>
        <v>0</v>
      </c>
      <c r="AH975" t="str">
        <f>IFERROR(VLOOKUP(AG975,tbFactorMes,2,FALSE),"")</f>
        <v/>
      </c>
      <c r="AI975">
        <f t="shared" si="215"/>
        <v>0</v>
      </c>
      <c r="AL975" t="str">
        <f>IFERROR(VLOOKUP(AK975,tbFactorMes,2,FALSE),"")</f>
        <v/>
      </c>
      <c r="AM975">
        <f t="shared" si="216"/>
        <v>0</v>
      </c>
      <c r="AP975" t="str">
        <f>IFERROR(VLOOKUP(AO975,tbFactorMes,2,FALSE),"")</f>
        <v/>
      </c>
      <c r="AQ975">
        <f t="shared" si="217"/>
        <v>0</v>
      </c>
      <c r="AT975" t="str">
        <f>IFERROR(VLOOKUP(AS975,tbFactorMes,2,FALSE),"")</f>
        <v/>
      </c>
      <c r="AU975">
        <f t="shared" si="218"/>
        <v>0</v>
      </c>
      <c r="AX975" t="str">
        <f>IFERROR(VLOOKUP(AW975,tbFactorMes,2,FALSE),"")</f>
        <v/>
      </c>
      <c r="AY975">
        <f t="shared" si="219"/>
        <v>0</v>
      </c>
      <c r="BB975" t="str">
        <f>IFERROR(VLOOKUP(BA975,tbFactorMes,2,FALSE),"")</f>
        <v/>
      </c>
      <c r="BC975">
        <f t="shared" si="220"/>
        <v>0</v>
      </c>
      <c r="BF975" t="str">
        <f>IFERROR(VLOOKUP(BE975,tbFactorMes,2,FALSE),"")</f>
        <v/>
      </c>
      <c r="BG975">
        <f t="shared" si="221"/>
        <v>0</v>
      </c>
      <c r="BH975">
        <f t="shared" si="222"/>
        <v>0</v>
      </c>
      <c r="BI975">
        <f t="shared" si="223"/>
        <v>0</v>
      </c>
    </row>
    <row r="976" spans="11:61" x14ac:dyDescent="0.35">
      <c r="K976" t="str">
        <f>IFERROR(VLOOKUP(F976,tbTurnos,3,FALSE),"")</f>
        <v/>
      </c>
      <c r="N976" t="str">
        <f>IFERROR(VLOOKUP(M976,tbFactorMes,2,FALSE),"")</f>
        <v/>
      </c>
      <c r="O976">
        <f t="shared" si="210"/>
        <v>0</v>
      </c>
      <c r="R976" t="str">
        <f>IFERROR(VLOOKUP(Q976,tbFactorMes,2,FALSE),"")</f>
        <v/>
      </c>
      <c r="S976">
        <f t="shared" si="211"/>
        <v>0</v>
      </c>
      <c r="V976" t="str">
        <f>IFERROR(VLOOKUP(U976,tbFactorMes,2,FALSE),"")</f>
        <v/>
      </c>
      <c r="W976">
        <f t="shared" si="212"/>
        <v>0</v>
      </c>
      <c r="Z976" t="str">
        <f>IFERROR(VLOOKUP(Y976,tbFactorMes,2,FALSE),"")</f>
        <v/>
      </c>
      <c r="AA976">
        <f t="shared" si="213"/>
        <v>0</v>
      </c>
      <c r="AD976" t="str">
        <f>IFERROR(VLOOKUP(AC976,tbFactorMes,2,FALSE),"")</f>
        <v/>
      </c>
      <c r="AE976">
        <f t="shared" si="214"/>
        <v>0</v>
      </c>
      <c r="AH976" t="str">
        <f>IFERROR(VLOOKUP(AG976,tbFactorMes,2,FALSE),"")</f>
        <v/>
      </c>
      <c r="AI976">
        <f t="shared" si="215"/>
        <v>0</v>
      </c>
      <c r="AL976" t="str">
        <f>IFERROR(VLOOKUP(AK976,tbFactorMes,2,FALSE),"")</f>
        <v/>
      </c>
      <c r="AM976">
        <f t="shared" si="216"/>
        <v>0</v>
      </c>
      <c r="AP976" t="str">
        <f>IFERROR(VLOOKUP(AO976,tbFactorMes,2,FALSE),"")</f>
        <v/>
      </c>
      <c r="AQ976">
        <f t="shared" si="217"/>
        <v>0</v>
      </c>
      <c r="AT976" t="str">
        <f>IFERROR(VLOOKUP(AS976,tbFactorMes,2,FALSE),"")</f>
        <v/>
      </c>
      <c r="AU976">
        <f t="shared" si="218"/>
        <v>0</v>
      </c>
      <c r="AX976" t="str">
        <f>IFERROR(VLOOKUP(AW976,tbFactorMes,2,FALSE),"")</f>
        <v/>
      </c>
      <c r="AY976">
        <f t="shared" si="219"/>
        <v>0</v>
      </c>
      <c r="BB976" t="str">
        <f>IFERROR(VLOOKUP(BA976,tbFactorMes,2,FALSE),"")</f>
        <v/>
      </c>
      <c r="BC976">
        <f t="shared" si="220"/>
        <v>0</v>
      </c>
      <c r="BF976" t="str">
        <f>IFERROR(VLOOKUP(BE976,tbFactorMes,2,FALSE),"")</f>
        <v/>
      </c>
      <c r="BG976">
        <f t="shared" si="221"/>
        <v>0</v>
      </c>
      <c r="BH976">
        <f t="shared" si="222"/>
        <v>0</v>
      </c>
      <c r="BI976">
        <f t="shared" si="223"/>
        <v>0</v>
      </c>
    </row>
    <row r="977" spans="11:61" x14ac:dyDescent="0.35">
      <c r="K977" t="str">
        <f>IFERROR(VLOOKUP(F977,tbTurnos,3,FALSE),"")</f>
        <v/>
      </c>
      <c r="N977" t="str">
        <f>IFERROR(VLOOKUP(M977,tbFactorMes,2,FALSE),"")</f>
        <v/>
      </c>
      <c r="O977">
        <f t="shared" si="210"/>
        <v>0</v>
      </c>
      <c r="R977" t="str">
        <f>IFERROR(VLOOKUP(Q977,tbFactorMes,2,FALSE),"")</f>
        <v/>
      </c>
      <c r="S977">
        <f t="shared" si="211"/>
        <v>0</v>
      </c>
      <c r="V977" t="str">
        <f>IFERROR(VLOOKUP(U977,tbFactorMes,2,FALSE),"")</f>
        <v/>
      </c>
      <c r="W977">
        <f t="shared" si="212"/>
        <v>0</v>
      </c>
      <c r="Z977" t="str">
        <f>IFERROR(VLOOKUP(Y977,tbFactorMes,2,FALSE),"")</f>
        <v/>
      </c>
      <c r="AA977">
        <f t="shared" si="213"/>
        <v>0</v>
      </c>
      <c r="AD977" t="str">
        <f>IFERROR(VLOOKUP(AC977,tbFactorMes,2,FALSE),"")</f>
        <v/>
      </c>
      <c r="AE977">
        <f t="shared" si="214"/>
        <v>0</v>
      </c>
      <c r="AH977" t="str">
        <f>IFERROR(VLOOKUP(AG977,tbFactorMes,2,FALSE),"")</f>
        <v/>
      </c>
      <c r="AI977">
        <f t="shared" si="215"/>
        <v>0</v>
      </c>
      <c r="AL977" t="str">
        <f>IFERROR(VLOOKUP(AK977,tbFactorMes,2,FALSE),"")</f>
        <v/>
      </c>
      <c r="AM977">
        <f t="shared" si="216"/>
        <v>0</v>
      </c>
      <c r="AP977" t="str">
        <f>IFERROR(VLOOKUP(AO977,tbFactorMes,2,FALSE),"")</f>
        <v/>
      </c>
      <c r="AQ977">
        <f t="shared" si="217"/>
        <v>0</v>
      </c>
      <c r="AT977" t="str">
        <f>IFERROR(VLOOKUP(AS977,tbFactorMes,2,FALSE),"")</f>
        <v/>
      </c>
      <c r="AU977">
        <f t="shared" si="218"/>
        <v>0</v>
      </c>
      <c r="AX977" t="str">
        <f>IFERROR(VLOOKUP(AW977,tbFactorMes,2,FALSE),"")</f>
        <v/>
      </c>
      <c r="AY977">
        <f t="shared" si="219"/>
        <v>0</v>
      </c>
      <c r="BB977" t="str">
        <f>IFERROR(VLOOKUP(BA977,tbFactorMes,2,FALSE),"")</f>
        <v/>
      </c>
      <c r="BC977">
        <f t="shared" si="220"/>
        <v>0</v>
      </c>
      <c r="BF977" t="str">
        <f>IFERROR(VLOOKUP(BE977,tbFactorMes,2,FALSE),"")</f>
        <v/>
      </c>
      <c r="BG977">
        <f t="shared" si="221"/>
        <v>0</v>
      </c>
      <c r="BH977">
        <f t="shared" si="222"/>
        <v>0</v>
      </c>
      <c r="BI977">
        <f t="shared" si="223"/>
        <v>0</v>
      </c>
    </row>
    <row r="978" spans="11:61" x14ac:dyDescent="0.35">
      <c r="K978" t="str">
        <f>IFERROR(VLOOKUP(F978,tbTurnos,3,FALSE),"")</f>
        <v/>
      </c>
      <c r="N978" t="str">
        <f>IFERROR(VLOOKUP(M978,tbFactorMes,2,FALSE),"")</f>
        <v/>
      </c>
      <c r="O978">
        <f t="shared" si="210"/>
        <v>0</v>
      </c>
      <c r="R978" t="str">
        <f>IFERROR(VLOOKUP(Q978,tbFactorMes,2,FALSE),"")</f>
        <v/>
      </c>
      <c r="S978">
        <f t="shared" si="211"/>
        <v>0</v>
      </c>
      <c r="V978" t="str">
        <f>IFERROR(VLOOKUP(U978,tbFactorMes,2,FALSE),"")</f>
        <v/>
      </c>
      <c r="W978">
        <f t="shared" si="212"/>
        <v>0</v>
      </c>
      <c r="Z978" t="str">
        <f>IFERROR(VLOOKUP(Y978,tbFactorMes,2,FALSE),"")</f>
        <v/>
      </c>
      <c r="AA978">
        <f t="shared" si="213"/>
        <v>0</v>
      </c>
      <c r="AD978" t="str">
        <f>IFERROR(VLOOKUP(AC978,tbFactorMes,2,FALSE),"")</f>
        <v/>
      </c>
      <c r="AE978">
        <f t="shared" si="214"/>
        <v>0</v>
      </c>
      <c r="AH978" t="str">
        <f>IFERROR(VLOOKUP(AG978,tbFactorMes,2,FALSE),"")</f>
        <v/>
      </c>
      <c r="AI978">
        <f t="shared" si="215"/>
        <v>0</v>
      </c>
      <c r="AL978" t="str">
        <f>IFERROR(VLOOKUP(AK978,tbFactorMes,2,FALSE),"")</f>
        <v/>
      </c>
      <c r="AM978">
        <f t="shared" si="216"/>
        <v>0</v>
      </c>
      <c r="AP978" t="str">
        <f>IFERROR(VLOOKUP(AO978,tbFactorMes,2,FALSE),"")</f>
        <v/>
      </c>
      <c r="AQ978">
        <f t="shared" si="217"/>
        <v>0</v>
      </c>
      <c r="AT978" t="str">
        <f>IFERROR(VLOOKUP(AS978,tbFactorMes,2,FALSE),"")</f>
        <v/>
      </c>
      <c r="AU978">
        <f t="shared" si="218"/>
        <v>0</v>
      </c>
      <c r="AX978" t="str">
        <f>IFERROR(VLOOKUP(AW978,tbFactorMes,2,FALSE),"")</f>
        <v/>
      </c>
      <c r="AY978">
        <f t="shared" si="219"/>
        <v>0</v>
      </c>
      <c r="BB978" t="str">
        <f>IFERROR(VLOOKUP(BA978,tbFactorMes,2,FALSE),"")</f>
        <v/>
      </c>
      <c r="BC978">
        <f t="shared" si="220"/>
        <v>0</v>
      </c>
      <c r="BF978" t="str">
        <f>IFERROR(VLOOKUP(BE978,tbFactorMes,2,FALSE),"")</f>
        <v/>
      </c>
      <c r="BG978">
        <f t="shared" si="221"/>
        <v>0</v>
      </c>
      <c r="BH978">
        <f t="shared" si="222"/>
        <v>0</v>
      </c>
      <c r="BI978">
        <f t="shared" si="223"/>
        <v>0</v>
      </c>
    </row>
    <row r="979" spans="11:61" x14ac:dyDescent="0.35">
      <c r="K979" t="str">
        <f>IFERROR(VLOOKUP(F979,tbTurnos,3,FALSE),"")</f>
        <v/>
      </c>
      <c r="N979" t="str">
        <f>IFERROR(VLOOKUP(M979,tbFactorMes,2,FALSE),"")</f>
        <v/>
      </c>
      <c r="O979">
        <f t="shared" si="210"/>
        <v>0</v>
      </c>
      <c r="R979" t="str">
        <f>IFERROR(VLOOKUP(Q979,tbFactorMes,2,FALSE),"")</f>
        <v/>
      </c>
      <c r="S979">
        <f t="shared" si="211"/>
        <v>0</v>
      </c>
      <c r="V979" t="str">
        <f>IFERROR(VLOOKUP(U979,tbFactorMes,2,FALSE),"")</f>
        <v/>
      </c>
      <c r="W979">
        <f t="shared" si="212"/>
        <v>0</v>
      </c>
      <c r="Z979" t="str">
        <f>IFERROR(VLOOKUP(Y979,tbFactorMes,2,FALSE),"")</f>
        <v/>
      </c>
      <c r="AA979">
        <f t="shared" si="213"/>
        <v>0</v>
      </c>
      <c r="AD979" t="str">
        <f>IFERROR(VLOOKUP(AC979,tbFactorMes,2,FALSE),"")</f>
        <v/>
      </c>
      <c r="AE979">
        <f t="shared" si="214"/>
        <v>0</v>
      </c>
      <c r="AH979" t="str">
        <f>IFERROR(VLOOKUP(AG979,tbFactorMes,2,FALSE),"")</f>
        <v/>
      </c>
      <c r="AI979">
        <f t="shared" si="215"/>
        <v>0</v>
      </c>
      <c r="AL979" t="str">
        <f>IFERROR(VLOOKUP(AK979,tbFactorMes,2,FALSE),"")</f>
        <v/>
      </c>
      <c r="AM979">
        <f t="shared" si="216"/>
        <v>0</v>
      </c>
      <c r="AP979" t="str">
        <f>IFERROR(VLOOKUP(AO979,tbFactorMes,2,FALSE),"")</f>
        <v/>
      </c>
      <c r="AQ979">
        <f t="shared" si="217"/>
        <v>0</v>
      </c>
      <c r="AT979" t="str">
        <f>IFERROR(VLOOKUP(AS979,tbFactorMes,2,FALSE),"")</f>
        <v/>
      </c>
      <c r="AU979">
        <f t="shared" si="218"/>
        <v>0</v>
      </c>
      <c r="AX979" t="str">
        <f>IFERROR(VLOOKUP(AW979,tbFactorMes,2,FALSE),"")</f>
        <v/>
      </c>
      <c r="AY979">
        <f t="shared" si="219"/>
        <v>0</v>
      </c>
      <c r="BB979" t="str">
        <f>IFERROR(VLOOKUP(BA979,tbFactorMes,2,FALSE),"")</f>
        <v/>
      </c>
      <c r="BC979">
        <f t="shared" si="220"/>
        <v>0</v>
      </c>
      <c r="BF979" t="str">
        <f>IFERROR(VLOOKUP(BE979,tbFactorMes,2,FALSE),"")</f>
        <v/>
      </c>
      <c r="BG979">
        <f t="shared" si="221"/>
        <v>0</v>
      </c>
      <c r="BH979">
        <f t="shared" si="222"/>
        <v>0</v>
      </c>
      <c r="BI979">
        <f t="shared" si="223"/>
        <v>0</v>
      </c>
    </row>
    <row r="980" spans="11:61" x14ac:dyDescent="0.35">
      <c r="K980" t="str">
        <f>IFERROR(VLOOKUP(F980,tbTurnos,3,FALSE),"")</f>
        <v/>
      </c>
      <c r="N980" t="str">
        <f>IFERROR(VLOOKUP(M980,tbFactorMes,2,FALSE),"")</f>
        <v/>
      </c>
      <c r="O980">
        <f t="shared" si="210"/>
        <v>0</v>
      </c>
      <c r="R980" t="str">
        <f>IFERROR(VLOOKUP(Q980,tbFactorMes,2,FALSE),"")</f>
        <v/>
      </c>
      <c r="S980">
        <f t="shared" si="211"/>
        <v>0</v>
      </c>
      <c r="V980" t="str">
        <f>IFERROR(VLOOKUP(U980,tbFactorMes,2,FALSE),"")</f>
        <v/>
      </c>
      <c r="W980">
        <f t="shared" si="212"/>
        <v>0</v>
      </c>
      <c r="Z980" t="str">
        <f>IFERROR(VLOOKUP(Y980,tbFactorMes,2,FALSE),"")</f>
        <v/>
      </c>
      <c r="AA980">
        <f t="shared" si="213"/>
        <v>0</v>
      </c>
      <c r="AD980" t="str">
        <f>IFERROR(VLOOKUP(AC980,tbFactorMes,2,FALSE),"")</f>
        <v/>
      </c>
      <c r="AE980">
        <f t="shared" si="214"/>
        <v>0</v>
      </c>
      <c r="AH980" t="str">
        <f>IFERROR(VLOOKUP(AG980,tbFactorMes,2,FALSE),"")</f>
        <v/>
      </c>
      <c r="AI980">
        <f t="shared" si="215"/>
        <v>0</v>
      </c>
      <c r="AL980" t="str">
        <f>IFERROR(VLOOKUP(AK980,tbFactorMes,2,FALSE),"")</f>
        <v/>
      </c>
      <c r="AM980">
        <f t="shared" si="216"/>
        <v>0</v>
      </c>
      <c r="AP980" t="str">
        <f>IFERROR(VLOOKUP(AO980,tbFactorMes,2,FALSE),"")</f>
        <v/>
      </c>
      <c r="AQ980">
        <f t="shared" si="217"/>
        <v>0</v>
      </c>
      <c r="AT980" t="str">
        <f>IFERROR(VLOOKUP(AS980,tbFactorMes,2,FALSE),"")</f>
        <v/>
      </c>
      <c r="AU980">
        <f t="shared" si="218"/>
        <v>0</v>
      </c>
      <c r="AX980" t="str">
        <f>IFERROR(VLOOKUP(AW980,tbFactorMes,2,FALSE),"")</f>
        <v/>
      </c>
      <c r="AY980">
        <f t="shared" si="219"/>
        <v>0</v>
      </c>
      <c r="BB980" t="str">
        <f>IFERROR(VLOOKUP(BA980,tbFactorMes,2,FALSE),"")</f>
        <v/>
      </c>
      <c r="BC980">
        <f t="shared" si="220"/>
        <v>0</v>
      </c>
      <c r="BF980" t="str">
        <f>IFERROR(VLOOKUP(BE980,tbFactorMes,2,FALSE),"")</f>
        <v/>
      </c>
      <c r="BG980">
        <f t="shared" si="221"/>
        <v>0</v>
      </c>
      <c r="BH980">
        <f t="shared" si="222"/>
        <v>0</v>
      </c>
      <c r="BI980">
        <f t="shared" si="223"/>
        <v>0</v>
      </c>
    </row>
    <row r="981" spans="11:61" x14ac:dyDescent="0.35">
      <c r="K981" t="str">
        <f>IFERROR(VLOOKUP(F981,tbTurnos,3,FALSE),"")</f>
        <v/>
      </c>
      <c r="N981" t="str">
        <f>IFERROR(VLOOKUP(M981,tbFactorMes,2,FALSE),"")</f>
        <v/>
      </c>
      <c r="O981">
        <f t="shared" si="210"/>
        <v>0</v>
      </c>
      <c r="R981" t="str">
        <f>IFERROR(VLOOKUP(Q981,tbFactorMes,2,FALSE),"")</f>
        <v/>
      </c>
      <c r="S981">
        <f t="shared" si="211"/>
        <v>0</v>
      </c>
      <c r="V981" t="str">
        <f>IFERROR(VLOOKUP(U981,tbFactorMes,2,FALSE),"")</f>
        <v/>
      </c>
      <c r="W981">
        <f t="shared" si="212"/>
        <v>0</v>
      </c>
      <c r="Z981" t="str">
        <f>IFERROR(VLOOKUP(Y981,tbFactorMes,2,FALSE),"")</f>
        <v/>
      </c>
      <c r="AA981">
        <f t="shared" si="213"/>
        <v>0</v>
      </c>
      <c r="AD981" t="str">
        <f>IFERROR(VLOOKUP(AC981,tbFactorMes,2,FALSE),"")</f>
        <v/>
      </c>
      <c r="AE981">
        <f t="shared" si="214"/>
        <v>0</v>
      </c>
      <c r="AH981" t="str">
        <f>IFERROR(VLOOKUP(AG981,tbFactorMes,2,FALSE),"")</f>
        <v/>
      </c>
      <c r="AI981">
        <f t="shared" si="215"/>
        <v>0</v>
      </c>
      <c r="AL981" t="str">
        <f>IFERROR(VLOOKUP(AK981,tbFactorMes,2,FALSE),"")</f>
        <v/>
      </c>
      <c r="AM981">
        <f t="shared" si="216"/>
        <v>0</v>
      </c>
      <c r="AP981" t="str">
        <f>IFERROR(VLOOKUP(AO981,tbFactorMes,2,FALSE),"")</f>
        <v/>
      </c>
      <c r="AQ981">
        <f t="shared" si="217"/>
        <v>0</v>
      </c>
      <c r="AT981" t="str">
        <f>IFERROR(VLOOKUP(AS981,tbFactorMes,2,FALSE),"")</f>
        <v/>
      </c>
      <c r="AU981">
        <f t="shared" si="218"/>
        <v>0</v>
      </c>
      <c r="AX981" t="str">
        <f>IFERROR(VLOOKUP(AW981,tbFactorMes,2,FALSE),"")</f>
        <v/>
      </c>
      <c r="AY981">
        <f t="shared" si="219"/>
        <v>0</v>
      </c>
      <c r="BB981" t="str">
        <f>IFERROR(VLOOKUP(BA981,tbFactorMes,2,FALSE),"")</f>
        <v/>
      </c>
      <c r="BC981">
        <f t="shared" si="220"/>
        <v>0</v>
      </c>
      <c r="BF981" t="str">
        <f>IFERROR(VLOOKUP(BE981,tbFactorMes,2,FALSE),"")</f>
        <v/>
      </c>
      <c r="BG981">
        <f t="shared" si="221"/>
        <v>0</v>
      </c>
      <c r="BH981">
        <f t="shared" si="222"/>
        <v>0</v>
      </c>
      <c r="BI981">
        <f t="shared" si="223"/>
        <v>0</v>
      </c>
    </row>
    <row r="982" spans="11:61" x14ac:dyDescent="0.35">
      <c r="K982" t="str">
        <f>IFERROR(VLOOKUP(F982,tbTurnos,3,FALSE),"")</f>
        <v/>
      </c>
      <c r="N982" t="str">
        <f>IFERROR(VLOOKUP(M982,tbFactorMes,2,FALSE),"")</f>
        <v/>
      </c>
      <c r="O982">
        <f t="shared" si="210"/>
        <v>0</v>
      </c>
      <c r="R982" t="str">
        <f>IFERROR(VLOOKUP(Q982,tbFactorMes,2,FALSE),"")</f>
        <v/>
      </c>
      <c r="S982">
        <f t="shared" si="211"/>
        <v>0</v>
      </c>
      <c r="V982" t="str">
        <f>IFERROR(VLOOKUP(U982,tbFactorMes,2,FALSE),"")</f>
        <v/>
      </c>
      <c r="W982">
        <f t="shared" si="212"/>
        <v>0</v>
      </c>
      <c r="Z982" t="str">
        <f>IFERROR(VLOOKUP(Y982,tbFactorMes,2,FALSE),"")</f>
        <v/>
      </c>
      <c r="AA982">
        <f t="shared" si="213"/>
        <v>0</v>
      </c>
      <c r="AD982" t="str">
        <f>IFERROR(VLOOKUP(AC982,tbFactorMes,2,FALSE),"")</f>
        <v/>
      </c>
      <c r="AE982">
        <f t="shared" si="214"/>
        <v>0</v>
      </c>
      <c r="AH982" t="str">
        <f>IFERROR(VLOOKUP(AG982,tbFactorMes,2,FALSE),"")</f>
        <v/>
      </c>
      <c r="AI982">
        <f t="shared" si="215"/>
        <v>0</v>
      </c>
      <c r="AL982" t="str">
        <f>IFERROR(VLOOKUP(AK982,tbFactorMes,2,FALSE),"")</f>
        <v/>
      </c>
      <c r="AM982">
        <f t="shared" si="216"/>
        <v>0</v>
      </c>
      <c r="AP982" t="str">
        <f>IFERROR(VLOOKUP(AO982,tbFactorMes,2,FALSE),"")</f>
        <v/>
      </c>
      <c r="AQ982">
        <f t="shared" si="217"/>
        <v>0</v>
      </c>
      <c r="AT982" t="str">
        <f>IFERROR(VLOOKUP(AS982,tbFactorMes,2,FALSE),"")</f>
        <v/>
      </c>
      <c r="AU982">
        <f t="shared" si="218"/>
        <v>0</v>
      </c>
      <c r="AX982" t="str">
        <f>IFERROR(VLOOKUP(AW982,tbFactorMes,2,FALSE),"")</f>
        <v/>
      </c>
      <c r="AY982">
        <f t="shared" si="219"/>
        <v>0</v>
      </c>
      <c r="BB982" t="str">
        <f>IFERROR(VLOOKUP(BA982,tbFactorMes,2,FALSE),"")</f>
        <v/>
      </c>
      <c r="BC982">
        <f t="shared" si="220"/>
        <v>0</v>
      </c>
      <c r="BF982" t="str">
        <f>IFERROR(VLOOKUP(BE982,tbFactorMes,2,FALSE),"")</f>
        <v/>
      </c>
      <c r="BG982">
        <f t="shared" si="221"/>
        <v>0</v>
      </c>
      <c r="BH982">
        <f t="shared" si="222"/>
        <v>0</v>
      </c>
      <c r="BI982">
        <f t="shared" si="223"/>
        <v>0</v>
      </c>
    </row>
    <row r="983" spans="11:61" x14ac:dyDescent="0.35">
      <c r="K983" t="str">
        <f>IFERROR(VLOOKUP(F983,tbTurnos,3,FALSE),"")</f>
        <v/>
      </c>
      <c r="N983" t="str">
        <f>IFERROR(VLOOKUP(M983,tbFactorMes,2,FALSE),"")</f>
        <v/>
      </c>
      <c r="O983">
        <f t="shared" si="210"/>
        <v>0</v>
      </c>
      <c r="R983" t="str">
        <f>IFERROR(VLOOKUP(Q983,tbFactorMes,2,FALSE),"")</f>
        <v/>
      </c>
      <c r="S983">
        <f t="shared" si="211"/>
        <v>0</v>
      </c>
      <c r="V983" t="str">
        <f>IFERROR(VLOOKUP(U983,tbFactorMes,2,FALSE),"")</f>
        <v/>
      </c>
      <c r="W983">
        <f t="shared" si="212"/>
        <v>0</v>
      </c>
      <c r="Z983" t="str">
        <f>IFERROR(VLOOKUP(Y983,tbFactorMes,2,FALSE),"")</f>
        <v/>
      </c>
      <c r="AA983">
        <f t="shared" si="213"/>
        <v>0</v>
      </c>
      <c r="AD983" t="str">
        <f>IFERROR(VLOOKUP(AC983,tbFactorMes,2,FALSE),"")</f>
        <v/>
      </c>
      <c r="AE983">
        <f t="shared" si="214"/>
        <v>0</v>
      </c>
      <c r="AH983" t="str">
        <f>IFERROR(VLOOKUP(AG983,tbFactorMes,2,FALSE),"")</f>
        <v/>
      </c>
      <c r="AI983">
        <f t="shared" si="215"/>
        <v>0</v>
      </c>
      <c r="AL983" t="str">
        <f>IFERROR(VLOOKUP(AK983,tbFactorMes,2,FALSE),"")</f>
        <v/>
      </c>
      <c r="AM983">
        <f t="shared" si="216"/>
        <v>0</v>
      </c>
      <c r="AP983" t="str">
        <f>IFERROR(VLOOKUP(AO983,tbFactorMes,2,FALSE),"")</f>
        <v/>
      </c>
      <c r="AQ983">
        <f t="shared" si="217"/>
        <v>0</v>
      </c>
      <c r="AT983" t="str">
        <f>IFERROR(VLOOKUP(AS983,tbFactorMes,2,FALSE),"")</f>
        <v/>
      </c>
      <c r="AU983">
        <f t="shared" si="218"/>
        <v>0</v>
      </c>
      <c r="AX983" t="str">
        <f>IFERROR(VLOOKUP(AW983,tbFactorMes,2,FALSE),"")</f>
        <v/>
      </c>
      <c r="AY983">
        <f t="shared" si="219"/>
        <v>0</v>
      </c>
      <c r="BB983" t="str">
        <f>IFERROR(VLOOKUP(BA983,tbFactorMes,2,FALSE),"")</f>
        <v/>
      </c>
      <c r="BC983">
        <f t="shared" si="220"/>
        <v>0</v>
      </c>
      <c r="BF983" t="str">
        <f>IFERROR(VLOOKUP(BE983,tbFactorMes,2,FALSE),"")</f>
        <v/>
      </c>
      <c r="BG983">
        <f t="shared" si="221"/>
        <v>0</v>
      </c>
      <c r="BH983">
        <f t="shared" si="222"/>
        <v>0</v>
      </c>
      <c r="BI983">
        <f t="shared" si="223"/>
        <v>0</v>
      </c>
    </row>
    <row r="984" spans="11:61" x14ac:dyDescent="0.35">
      <c r="K984" t="str">
        <f>IFERROR(VLOOKUP(F984,tbTurnos,3,FALSE),"")</f>
        <v/>
      </c>
      <c r="N984" t="str">
        <f>IFERROR(VLOOKUP(M984,tbFactorMes,2,FALSE),"")</f>
        <v/>
      </c>
      <c r="O984">
        <f t="shared" si="210"/>
        <v>0</v>
      </c>
      <c r="R984" t="str">
        <f>IFERROR(VLOOKUP(Q984,tbFactorMes,2,FALSE),"")</f>
        <v/>
      </c>
      <c r="S984">
        <f t="shared" si="211"/>
        <v>0</v>
      </c>
      <c r="V984" t="str">
        <f>IFERROR(VLOOKUP(U984,tbFactorMes,2,FALSE),"")</f>
        <v/>
      </c>
      <c r="W984">
        <f t="shared" si="212"/>
        <v>0</v>
      </c>
      <c r="Z984" t="str">
        <f>IFERROR(VLOOKUP(Y984,tbFactorMes,2,FALSE),"")</f>
        <v/>
      </c>
      <c r="AA984">
        <f t="shared" si="213"/>
        <v>0</v>
      </c>
      <c r="AD984" t="str">
        <f>IFERROR(VLOOKUP(AC984,tbFactorMes,2,FALSE),"")</f>
        <v/>
      </c>
      <c r="AE984">
        <f t="shared" si="214"/>
        <v>0</v>
      </c>
      <c r="AH984" t="str">
        <f>IFERROR(VLOOKUP(AG984,tbFactorMes,2,FALSE),"")</f>
        <v/>
      </c>
      <c r="AI984">
        <f t="shared" si="215"/>
        <v>0</v>
      </c>
      <c r="AL984" t="str">
        <f>IFERROR(VLOOKUP(AK984,tbFactorMes,2,FALSE),"")</f>
        <v/>
      </c>
      <c r="AM984">
        <f t="shared" si="216"/>
        <v>0</v>
      </c>
      <c r="AP984" t="str">
        <f>IFERROR(VLOOKUP(AO984,tbFactorMes,2,FALSE),"")</f>
        <v/>
      </c>
      <c r="AQ984">
        <f t="shared" si="217"/>
        <v>0</v>
      </c>
      <c r="AT984" t="str">
        <f>IFERROR(VLOOKUP(AS984,tbFactorMes,2,FALSE),"")</f>
        <v/>
      </c>
      <c r="AU984">
        <f t="shared" si="218"/>
        <v>0</v>
      </c>
      <c r="AX984" t="str">
        <f>IFERROR(VLOOKUP(AW984,tbFactorMes,2,FALSE),"")</f>
        <v/>
      </c>
      <c r="AY984">
        <f t="shared" si="219"/>
        <v>0</v>
      </c>
      <c r="BB984" t="str">
        <f>IFERROR(VLOOKUP(BA984,tbFactorMes,2,FALSE),"")</f>
        <v/>
      </c>
      <c r="BC984">
        <f t="shared" si="220"/>
        <v>0</v>
      </c>
      <c r="BF984" t="str">
        <f>IFERROR(VLOOKUP(BE984,tbFactorMes,2,FALSE),"")</f>
        <v/>
      </c>
      <c r="BG984">
        <f t="shared" si="221"/>
        <v>0</v>
      </c>
      <c r="BH984">
        <f t="shared" si="222"/>
        <v>0</v>
      </c>
      <c r="BI984">
        <f t="shared" si="223"/>
        <v>0</v>
      </c>
    </row>
    <row r="985" spans="11:61" x14ac:dyDescent="0.35">
      <c r="K985" t="str">
        <f>IFERROR(VLOOKUP(F985,tbTurnos,3,FALSE),"")</f>
        <v/>
      </c>
      <c r="N985" t="str">
        <f>IFERROR(VLOOKUP(M985,tbFactorMes,2,FALSE),"")</f>
        <v/>
      </c>
      <c r="O985">
        <f t="shared" si="210"/>
        <v>0</v>
      </c>
      <c r="R985" t="str">
        <f>IFERROR(VLOOKUP(Q985,tbFactorMes,2,FALSE),"")</f>
        <v/>
      </c>
      <c r="S985">
        <f t="shared" si="211"/>
        <v>0</v>
      </c>
      <c r="V985" t="str">
        <f>IFERROR(VLOOKUP(U985,tbFactorMes,2,FALSE),"")</f>
        <v/>
      </c>
      <c r="W985">
        <f t="shared" si="212"/>
        <v>0</v>
      </c>
      <c r="Z985" t="str">
        <f>IFERROR(VLOOKUP(Y985,tbFactorMes,2,FALSE),"")</f>
        <v/>
      </c>
      <c r="AA985">
        <f t="shared" si="213"/>
        <v>0</v>
      </c>
      <c r="AD985" t="str">
        <f>IFERROR(VLOOKUP(AC985,tbFactorMes,2,FALSE),"")</f>
        <v/>
      </c>
      <c r="AE985">
        <f t="shared" si="214"/>
        <v>0</v>
      </c>
      <c r="AH985" t="str">
        <f>IFERROR(VLOOKUP(AG985,tbFactorMes,2,FALSE),"")</f>
        <v/>
      </c>
      <c r="AI985">
        <f t="shared" si="215"/>
        <v>0</v>
      </c>
      <c r="AL985" t="str">
        <f>IFERROR(VLOOKUP(AK985,tbFactorMes,2,FALSE),"")</f>
        <v/>
      </c>
      <c r="AM985">
        <f t="shared" si="216"/>
        <v>0</v>
      </c>
      <c r="AP985" t="str">
        <f>IFERROR(VLOOKUP(AO985,tbFactorMes,2,FALSE),"")</f>
        <v/>
      </c>
      <c r="AQ985">
        <f t="shared" si="217"/>
        <v>0</v>
      </c>
      <c r="AT985" t="str">
        <f>IFERROR(VLOOKUP(AS985,tbFactorMes,2,FALSE),"")</f>
        <v/>
      </c>
      <c r="AU985">
        <f t="shared" si="218"/>
        <v>0</v>
      </c>
      <c r="AX985" t="str">
        <f>IFERROR(VLOOKUP(AW985,tbFactorMes,2,FALSE),"")</f>
        <v/>
      </c>
      <c r="AY985">
        <f t="shared" si="219"/>
        <v>0</v>
      </c>
      <c r="BB985" t="str">
        <f>IFERROR(VLOOKUP(BA985,tbFactorMes,2,FALSE),"")</f>
        <v/>
      </c>
      <c r="BC985">
        <f t="shared" si="220"/>
        <v>0</v>
      </c>
      <c r="BF985" t="str">
        <f>IFERROR(VLOOKUP(BE985,tbFactorMes,2,FALSE),"")</f>
        <v/>
      </c>
      <c r="BG985">
        <f t="shared" si="221"/>
        <v>0</v>
      </c>
      <c r="BH985">
        <f t="shared" si="222"/>
        <v>0</v>
      </c>
      <c r="BI985">
        <f t="shared" si="223"/>
        <v>0</v>
      </c>
    </row>
    <row r="986" spans="11:61" x14ac:dyDescent="0.35">
      <c r="K986" t="str">
        <f>IFERROR(VLOOKUP(F986,tbTurnos,3,FALSE),"")</f>
        <v/>
      </c>
      <c r="N986" t="str">
        <f>IFERROR(VLOOKUP(M986,tbFactorMes,2,FALSE),"")</f>
        <v/>
      </c>
      <c r="O986">
        <f t="shared" si="210"/>
        <v>0</v>
      </c>
      <c r="R986" t="str">
        <f>IFERROR(VLOOKUP(Q986,tbFactorMes,2,FALSE),"")</f>
        <v/>
      </c>
      <c r="S986">
        <f t="shared" si="211"/>
        <v>0</v>
      </c>
      <c r="V986" t="str">
        <f>IFERROR(VLOOKUP(U986,tbFactorMes,2,FALSE),"")</f>
        <v/>
      </c>
      <c r="W986">
        <f t="shared" si="212"/>
        <v>0</v>
      </c>
      <c r="Z986" t="str">
        <f>IFERROR(VLOOKUP(Y986,tbFactorMes,2,FALSE),"")</f>
        <v/>
      </c>
      <c r="AA986">
        <f t="shared" si="213"/>
        <v>0</v>
      </c>
      <c r="AD986" t="str">
        <f>IFERROR(VLOOKUP(AC986,tbFactorMes,2,FALSE),"")</f>
        <v/>
      </c>
      <c r="AE986">
        <f t="shared" si="214"/>
        <v>0</v>
      </c>
      <c r="AH986" t="str">
        <f>IFERROR(VLOOKUP(AG986,tbFactorMes,2,FALSE),"")</f>
        <v/>
      </c>
      <c r="AI986">
        <f t="shared" si="215"/>
        <v>0</v>
      </c>
      <c r="AL986" t="str">
        <f>IFERROR(VLOOKUP(AK986,tbFactorMes,2,FALSE),"")</f>
        <v/>
      </c>
      <c r="AM986">
        <f t="shared" si="216"/>
        <v>0</v>
      </c>
      <c r="AP986" t="str">
        <f>IFERROR(VLOOKUP(AO986,tbFactorMes,2,FALSE),"")</f>
        <v/>
      </c>
      <c r="AQ986">
        <f t="shared" si="217"/>
        <v>0</v>
      </c>
      <c r="AT986" t="str">
        <f>IFERROR(VLOOKUP(AS986,tbFactorMes,2,FALSE),"")</f>
        <v/>
      </c>
      <c r="AU986">
        <f t="shared" si="218"/>
        <v>0</v>
      </c>
      <c r="AX986" t="str">
        <f>IFERROR(VLOOKUP(AW986,tbFactorMes,2,FALSE),"")</f>
        <v/>
      </c>
      <c r="AY986">
        <f t="shared" si="219"/>
        <v>0</v>
      </c>
      <c r="BB986" t="str">
        <f>IFERROR(VLOOKUP(BA986,tbFactorMes,2,FALSE),"")</f>
        <v/>
      </c>
      <c r="BC986">
        <f t="shared" si="220"/>
        <v>0</v>
      </c>
      <c r="BF986" t="str">
        <f>IFERROR(VLOOKUP(BE986,tbFactorMes,2,FALSE),"")</f>
        <v/>
      </c>
      <c r="BG986">
        <f t="shared" si="221"/>
        <v>0</v>
      </c>
      <c r="BH986">
        <f t="shared" si="222"/>
        <v>0</v>
      </c>
      <c r="BI986">
        <f t="shared" si="223"/>
        <v>0</v>
      </c>
    </row>
    <row r="987" spans="11:61" x14ac:dyDescent="0.35">
      <c r="K987" t="str">
        <f>IFERROR(VLOOKUP(F987,tbTurnos,3,FALSE),"")</f>
        <v/>
      </c>
      <c r="N987" t="str">
        <f>IFERROR(VLOOKUP(M987,tbFactorMes,2,FALSE),"")</f>
        <v/>
      </c>
      <c r="O987">
        <f t="shared" si="210"/>
        <v>0</v>
      </c>
      <c r="R987" t="str">
        <f>IFERROR(VLOOKUP(Q987,tbFactorMes,2,FALSE),"")</f>
        <v/>
      </c>
      <c r="S987">
        <f t="shared" si="211"/>
        <v>0</v>
      </c>
      <c r="V987" t="str">
        <f>IFERROR(VLOOKUP(U987,tbFactorMes,2,FALSE),"")</f>
        <v/>
      </c>
      <c r="W987">
        <f t="shared" si="212"/>
        <v>0</v>
      </c>
      <c r="Z987" t="str">
        <f>IFERROR(VLOOKUP(Y987,tbFactorMes,2,FALSE),"")</f>
        <v/>
      </c>
      <c r="AA987">
        <f t="shared" si="213"/>
        <v>0</v>
      </c>
      <c r="AD987" t="str">
        <f>IFERROR(VLOOKUP(AC987,tbFactorMes,2,FALSE),"")</f>
        <v/>
      </c>
      <c r="AE987">
        <f t="shared" si="214"/>
        <v>0</v>
      </c>
      <c r="AH987" t="str">
        <f>IFERROR(VLOOKUP(AG987,tbFactorMes,2,FALSE),"")</f>
        <v/>
      </c>
      <c r="AI987">
        <f t="shared" si="215"/>
        <v>0</v>
      </c>
      <c r="AL987" t="str">
        <f>IFERROR(VLOOKUP(AK987,tbFactorMes,2,FALSE),"")</f>
        <v/>
      </c>
      <c r="AM987">
        <f t="shared" si="216"/>
        <v>0</v>
      </c>
      <c r="AP987" t="str">
        <f>IFERROR(VLOOKUP(AO987,tbFactorMes,2,FALSE),"")</f>
        <v/>
      </c>
      <c r="AQ987">
        <f t="shared" si="217"/>
        <v>0</v>
      </c>
      <c r="AT987" t="str">
        <f>IFERROR(VLOOKUP(AS987,tbFactorMes,2,FALSE),"")</f>
        <v/>
      </c>
      <c r="AU987">
        <f t="shared" si="218"/>
        <v>0</v>
      </c>
      <c r="AX987" t="str">
        <f>IFERROR(VLOOKUP(AW987,tbFactorMes,2,FALSE),"")</f>
        <v/>
      </c>
      <c r="AY987">
        <f t="shared" si="219"/>
        <v>0</v>
      </c>
      <c r="BB987" t="str">
        <f>IFERROR(VLOOKUP(BA987,tbFactorMes,2,FALSE),"")</f>
        <v/>
      </c>
      <c r="BC987">
        <f t="shared" si="220"/>
        <v>0</v>
      </c>
      <c r="BF987" t="str">
        <f>IFERROR(VLOOKUP(BE987,tbFactorMes,2,FALSE),"")</f>
        <v/>
      </c>
      <c r="BG987">
        <f t="shared" si="221"/>
        <v>0</v>
      </c>
      <c r="BH987">
        <f t="shared" si="222"/>
        <v>0</v>
      </c>
      <c r="BI987">
        <f t="shared" si="223"/>
        <v>0</v>
      </c>
    </row>
    <row r="988" spans="11:61" x14ac:dyDescent="0.35">
      <c r="K988" t="str">
        <f>IFERROR(VLOOKUP(F988,tbTurnos,3,FALSE),"")</f>
        <v/>
      </c>
      <c r="N988" t="str">
        <f>IFERROR(VLOOKUP(M988,tbFactorMes,2,FALSE),"")</f>
        <v/>
      </c>
      <c r="O988">
        <f t="shared" si="210"/>
        <v>0</v>
      </c>
      <c r="R988" t="str">
        <f>IFERROR(VLOOKUP(Q988,tbFactorMes,2,FALSE),"")</f>
        <v/>
      </c>
      <c r="S988">
        <f t="shared" si="211"/>
        <v>0</v>
      </c>
      <c r="V988" t="str">
        <f>IFERROR(VLOOKUP(U988,tbFactorMes,2,FALSE),"")</f>
        <v/>
      </c>
      <c r="W988">
        <f t="shared" si="212"/>
        <v>0</v>
      </c>
      <c r="Z988" t="str">
        <f>IFERROR(VLOOKUP(Y988,tbFactorMes,2,FALSE),"")</f>
        <v/>
      </c>
      <c r="AA988">
        <f t="shared" si="213"/>
        <v>0</v>
      </c>
      <c r="AD988" t="str">
        <f>IFERROR(VLOOKUP(AC988,tbFactorMes,2,FALSE),"")</f>
        <v/>
      </c>
      <c r="AE988">
        <f t="shared" si="214"/>
        <v>0</v>
      </c>
      <c r="AH988" t="str">
        <f>IFERROR(VLOOKUP(AG988,tbFactorMes,2,FALSE),"")</f>
        <v/>
      </c>
      <c r="AI988">
        <f t="shared" si="215"/>
        <v>0</v>
      </c>
      <c r="AL988" t="str">
        <f>IFERROR(VLOOKUP(AK988,tbFactorMes,2,FALSE),"")</f>
        <v/>
      </c>
      <c r="AM988">
        <f t="shared" si="216"/>
        <v>0</v>
      </c>
      <c r="AP988" t="str">
        <f>IFERROR(VLOOKUP(AO988,tbFactorMes,2,FALSE),"")</f>
        <v/>
      </c>
      <c r="AQ988">
        <f t="shared" si="217"/>
        <v>0</v>
      </c>
      <c r="AT988" t="str">
        <f>IFERROR(VLOOKUP(AS988,tbFactorMes,2,FALSE),"")</f>
        <v/>
      </c>
      <c r="AU988">
        <f t="shared" si="218"/>
        <v>0</v>
      </c>
      <c r="AX988" t="str">
        <f>IFERROR(VLOOKUP(AW988,tbFactorMes,2,FALSE),"")</f>
        <v/>
      </c>
      <c r="AY988">
        <f t="shared" si="219"/>
        <v>0</v>
      </c>
      <c r="BB988" t="str">
        <f>IFERROR(VLOOKUP(BA988,tbFactorMes,2,FALSE),"")</f>
        <v/>
      </c>
      <c r="BC988">
        <f t="shared" si="220"/>
        <v>0</v>
      </c>
      <c r="BF988" t="str">
        <f>IFERROR(VLOOKUP(BE988,tbFactorMes,2,FALSE),"")</f>
        <v/>
      </c>
      <c r="BG988">
        <f t="shared" si="221"/>
        <v>0</v>
      </c>
      <c r="BH988">
        <f t="shared" si="222"/>
        <v>0</v>
      </c>
      <c r="BI988">
        <f t="shared" si="223"/>
        <v>0</v>
      </c>
    </row>
    <row r="989" spans="11:61" x14ac:dyDescent="0.35">
      <c r="K989" t="str">
        <f>IFERROR(VLOOKUP(F989,tbTurnos,3,FALSE),"")</f>
        <v/>
      </c>
      <c r="N989" t="str">
        <f>IFERROR(VLOOKUP(M989,tbFactorMes,2,FALSE),"")</f>
        <v/>
      </c>
      <c r="O989">
        <f t="shared" si="210"/>
        <v>0</v>
      </c>
      <c r="R989" t="str">
        <f>IFERROR(VLOOKUP(Q989,tbFactorMes,2,FALSE),"")</f>
        <v/>
      </c>
      <c r="S989">
        <f t="shared" si="211"/>
        <v>0</v>
      </c>
      <c r="V989" t="str">
        <f>IFERROR(VLOOKUP(U989,tbFactorMes,2,FALSE),"")</f>
        <v/>
      </c>
      <c r="W989">
        <f t="shared" si="212"/>
        <v>0</v>
      </c>
      <c r="Z989" t="str">
        <f>IFERROR(VLOOKUP(Y989,tbFactorMes,2,FALSE),"")</f>
        <v/>
      </c>
      <c r="AA989">
        <f t="shared" si="213"/>
        <v>0</v>
      </c>
      <c r="AD989" t="str">
        <f>IFERROR(VLOOKUP(AC989,tbFactorMes,2,FALSE),"")</f>
        <v/>
      </c>
      <c r="AE989">
        <f t="shared" si="214"/>
        <v>0</v>
      </c>
      <c r="AH989" t="str">
        <f>IFERROR(VLOOKUP(AG989,tbFactorMes,2,FALSE),"")</f>
        <v/>
      </c>
      <c r="AI989">
        <f t="shared" si="215"/>
        <v>0</v>
      </c>
      <c r="AL989" t="str">
        <f>IFERROR(VLOOKUP(AK989,tbFactorMes,2,FALSE),"")</f>
        <v/>
      </c>
      <c r="AM989">
        <f t="shared" si="216"/>
        <v>0</v>
      </c>
      <c r="AP989" t="str">
        <f>IFERROR(VLOOKUP(AO989,tbFactorMes,2,FALSE),"")</f>
        <v/>
      </c>
      <c r="AQ989">
        <f t="shared" si="217"/>
        <v>0</v>
      </c>
      <c r="AT989" t="str">
        <f>IFERROR(VLOOKUP(AS989,tbFactorMes,2,FALSE),"")</f>
        <v/>
      </c>
      <c r="AU989">
        <f t="shared" si="218"/>
        <v>0</v>
      </c>
      <c r="AX989" t="str">
        <f>IFERROR(VLOOKUP(AW989,tbFactorMes,2,FALSE),"")</f>
        <v/>
      </c>
      <c r="AY989">
        <f t="shared" si="219"/>
        <v>0</v>
      </c>
      <c r="BB989" t="str">
        <f>IFERROR(VLOOKUP(BA989,tbFactorMes,2,FALSE),"")</f>
        <v/>
      </c>
      <c r="BC989">
        <f t="shared" si="220"/>
        <v>0</v>
      </c>
      <c r="BF989" t="str">
        <f>IFERROR(VLOOKUP(BE989,tbFactorMes,2,FALSE),"")</f>
        <v/>
      </c>
      <c r="BG989">
        <f t="shared" si="221"/>
        <v>0</v>
      </c>
      <c r="BH989">
        <f t="shared" si="222"/>
        <v>0</v>
      </c>
      <c r="BI989">
        <f t="shared" si="223"/>
        <v>0</v>
      </c>
    </row>
    <row r="990" spans="11:61" x14ac:dyDescent="0.35">
      <c r="K990" t="str">
        <f>IFERROR(VLOOKUP(F990,tbTurnos,3,FALSE),"")</f>
        <v/>
      </c>
      <c r="N990" t="str">
        <f>IFERROR(VLOOKUP(M990,tbFactorMes,2,FALSE),"")</f>
        <v/>
      </c>
      <c r="O990">
        <f t="shared" si="210"/>
        <v>0</v>
      </c>
      <c r="R990" t="str">
        <f>IFERROR(VLOOKUP(Q990,tbFactorMes,2,FALSE),"")</f>
        <v/>
      </c>
      <c r="S990">
        <f t="shared" si="211"/>
        <v>0</v>
      </c>
      <c r="V990" t="str">
        <f>IFERROR(VLOOKUP(U990,tbFactorMes,2,FALSE),"")</f>
        <v/>
      </c>
      <c r="W990">
        <f t="shared" si="212"/>
        <v>0</v>
      </c>
      <c r="Z990" t="str">
        <f>IFERROR(VLOOKUP(Y990,tbFactorMes,2,FALSE),"")</f>
        <v/>
      </c>
      <c r="AA990">
        <f t="shared" si="213"/>
        <v>0</v>
      </c>
      <c r="AD990" t="str">
        <f>IFERROR(VLOOKUP(AC990,tbFactorMes,2,FALSE),"")</f>
        <v/>
      </c>
      <c r="AE990">
        <f t="shared" si="214"/>
        <v>0</v>
      </c>
      <c r="AH990" t="str">
        <f>IFERROR(VLOOKUP(AG990,tbFactorMes,2,FALSE),"")</f>
        <v/>
      </c>
      <c r="AI990">
        <f t="shared" si="215"/>
        <v>0</v>
      </c>
      <c r="AL990" t="str">
        <f>IFERROR(VLOOKUP(AK990,tbFactorMes,2,FALSE),"")</f>
        <v/>
      </c>
      <c r="AM990">
        <f t="shared" si="216"/>
        <v>0</v>
      </c>
      <c r="AP990" t="str">
        <f>IFERROR(VLOOKUP(AO990,tbFactorMes,2,FALSE),"")</f>
        <v/>
      </c>
      <c r="AQ990">
        <f t="shared" si="217"/>
        <v>0</v>
      </c>
      <c r="AT990" t="str">
        <f>IFERROR(VLOOKUP(AS990,tbFactorMes,2,FALSE),"")</f>
        <v/>
      </c>
      <c r="AU990">
        <f t="shared" si="218"/>
        <v>0</v>
      </c>
      <c r="AX990" t="str">
        <f>IFERROR(VLOOKUP(AW990,tbFactorMes,2,FALSE),"")</f>
        <v/>
      </c>
      <c r="AY990">
        <f t="shared" si="219"/>
        <v>0</v>
      </c>
      <c r="BB990" t="str">
        <f>IFERROR(VLOOKUP(BA990,tbFactorMes,2,FALSE),"")</f>
        <v/>
      </c>
      <c r="BC990">
        <f t="shared" si="220"/>
        <v>0</v>
      </c>
      <c r="BF990" t="str">
        <f>IFERROR(VLOOKUP(BE990,tbFactorMes,2,FALSE),"")</f>
        <v/>
      </c>
      <c r="BG990">
        <f t="shared" si="221"/>
        <v>0</v>
      </c>
      <c r="BH990">
        <f t="shared" si="222"/>
        <v>0</v>
      </c>
      <c r="BI990">
        <f t="shared" si="223"/>
        <v>0</v>
      </c>
    </row>
    <row r="991" spans="11:61" x14ac:dyDescent="0.35">
      <c r="K991" t="str">
        <f>IFERROR(VLOOKUP(F991,tbTurnos,3,FALSE),"")</f>
        <v/>
      </c>
      <c r="N991" t="str">
        <f>IFERROR(VLOOKUP(M991,tbFactorMes,2,FALSE),"")</f>
        <v/>
      </c>
      <c r="O991">
        <f t="shared" si="210"/>
        <v>0</v>
      </c>
      <c r="R991" t="str">
        <f>IFERROR(VLOOKUP(Q991,tbFactorMes,2,FALSE),"")</f>
        <v/>
      </c>
      <c r="S991">
        <f t="shared" si="211"/>
        <v>0</v>
      </c>
      <c r="V991" t="str">
        <f>IFERROR(VLOOKUP(U991,tbFactorMes,2,FALSE),"")</f>
        <v/>
      </c>
      <c r="W991">
        <f t="shared" si="212"/>
        <v>0</v>
      </c>
      <c r="Z991" t="str">
        <f>IFERROR(VLOOKUP(Y991,tbFactorMes,2,FALSE),"")</f>
        <v/>
      </c>
      <c r="AA991">
        <f t="shared" si="213"/>
        <v>0</v>
      </c>
      <c r="AD991" t="str">
        <f>IFERROR(VLOOKUP(AC991,tbFactorMes,2,FALSE),"")</f>
        <v/>
      </c>
      <c r="AE991">
        <f t="shared" si="214"/>
        <v>0</v>
      </c>
      <c r="AH991" t="str">
        <f>IFERROR(VLOOKUP(AG991,tbFactorMes,2,FALSE),"")</f>
        <v/>
      </c>
      <c r="AI991">
        <f t="shared" si="215"/>
        <v>0</v>
      </c>
      <c r="AL991" t="str">
        <f>IFERROR(VLOOKUP(AK991,tbFactorMes,2,FALSE),"")</f>
        <v/>
      </c>
      <c r="AM991">
        <f t="shared" si="216"/>
        <v>0</v>
      </c>
      <c r="AP991" t="str">
        <f>IFERROR(VLOOKUP(AO991,tbFactorMes,2,FALSE),"")</f>
        <v/>
      </c>
      <c r="AQ991">
        <f t="shared" si="217"/>
        <v>0</v>
      </c>
      <c r="AT991" t="str">
        <f>IFERROR(VLOOKUP(AS991,tbFactorMes,2,FALSE),"")</f>
        <v/>
      </c>
      <c r="AU991">
        <f t="shared" si="218"/>
        <v>0</v>
      </c>
      <c r="AX991" t="str">
        <f>IFERROR(VLOOKUP(AW991,tbFactorMes,2,FALSE),"")</f>
        <v/>
      </c>
      <c r="AY991">
        <f t="shared" si="219"/>
        <v>0</v>
      </c>
      <c r="BB991" t="str">
        <f>IFERROR(VLOOKUP(BA991,tbFactorMes,2,FALSE),"")</f>
        <v/>
      </c>
      <c r="BC991">
        <f t="shared" si="220"/>
        <v>0</v>
      </c>
      <c r="BF991" t="str">
        <f>IFERROR(VLOOKUP(BE991,tbFactorMes,2,FALSE),"")</f>
        <v/>
      </c>
      <c r="BG991">
        <f t="shared" si="221"/>
        <v>0</v>
      </c>
      <c r="BH991">
        <f t="shared" si="222"/>
        <v>0</v>
      </c>
      <c r="BI991">
        <f t="shared" si="223"/>
        <v>0</v>
      </c>
    </row>
    <row r="992" spans="11:61" x14ac:dyDescent="0.35">
      <c r="K992" t="str">
        <f>IFERROR(VLOOKUP(F992,tbTurnos,3,FALSE),"")</f>
        <v/>
      </c>
      <c r="N992" t="str">
        <f>IFERROR(VLOOKUP(M992,tbFactorMes,2,FALSE),"")</f>
        <v/>
      </c>
      <c r="O992">
        <f t="shared" si="210"/>
        <v>0</v>
      </c>
      <c r="R992" t="str">
        <f>IFERROR(VLOOKUP(Q992,tbFactorMes,2,FALSE),"")</f>
        <v/>
      </c>
      <c r="S992">
        <f t="shared" si="211"/>
        <v>0</v>
      </c>
      <c r="V992" t="str">
        <f>IFERROR(VLOOKUP(U992,tbFactorMes,2,FALSE),"")</f>
        <v/>
      </c>
      <c r="W992">
        <f t="shared" si="212"/>
        <v>0</v>
      </c>
      <c r="Z992" t="str">
        <f>IFERROR(VLOOKUP(Y992,tbFactorMes,2,FALSE),"")</f>
        <v/>
      </c>
      <c r="AA992">
        <f t="shared" si="213"/>
        <v>0</v>
      </c>
      <c r="AD992" t="str">
        <f>IFERROR(VLOOKUP(AC992,tbFactorMes,2,FALSE),"")</f>
        <v/>
      </c>
      <c r="AE992">
        <f t="shared" si="214"/>
        <v>0</v>
      </c>
      <c r="AH992" t="str">
        <f>IFERROR(VLOOKUP(AG992,tbFactorMes,2,FALSE),"")</f>
        <v/>
      </c>
      <c r="AI992">
        <f t="shared" si="215"/>
        <v>0</v>
      </c>
      <c r="AL992" t="str">
        <f>IFERROR(VLOOKUP(AK992,tbFactorMes,2,FALSE),"")</f>
        <v/>
      </c>
      <c r="AM992">
        <f t="shared" si="216"/>
        <v>0</v>
      </c>
      <c r="AP992" t="str">
        <f>IFERROR(VLOOKUP(AO992,tbFactorMes,2,FALSE),"")</f>
        <v/>
      </c>
      <c r="AQ992">
        <f t="shared" si="217"/>
        <v>0</v>
      </c>
      <c r="AT992" t="str">
        <f>IFERROR(VLOOKUP(AS992,tbFactorMes,2,FALSE),"")</f>
        <v/>
      </c>
      <c r="AU992">
        <f t="shared" si="218"/>
        <v>0</v>
      </c>
      <c r="AX992" t="str">
        <f>IFERROR(VLOOKUP(AW992,tbFactorMes,2,FALSE),"")</f>
        <v/>
      </c>
      <c r="AY992">
        <f t="shared" si="219"/>
        <v>0</v>
      </c>
      <c r="BB992" t="str">
        <f>IFERROR(VLOOKUP(BA992,tbFactorMes,2,FALSE),"")</f>
        <v/>
      </c>
      <c r="BC992">
        <f t="shared" si="220"/>
        <v>0</v>
      </c>
      <c r="BF992" t="str">
        <f>IFERROR(VLOOKUP(BE992,tbFactorMes,2,FALSE),"")</f>
        <v/>
      </c>
      <c r="BG992">
        <f t="shared" si="221"/>
        <v>0</v>
      </c>
      <c r="BH992">
        <f t="shared" si="222"/>
        <v>0</v>
      </c>
      <c r="BI992">
        <f t="shared" si="223"/>
        <v>0</v>
      </c>
    </row>
    <row r="993" spans="11:61" x14ac:dyDescent="0.35">
      <c r="K993" t="str">
        <f>IFERROR(VLOOKUP(F993,tbTurnos,3,FALSE),"")</f>
        <v/>
      </c>
      <c r="N993" t="str">
        <f>IFERROR(VLOOKUP(M993,tbFactorMes,2,FALSE),"")</f>
        <v/>
      </c>
      <c r="O993">
        <f t="shared" si="210"/>
        <v>0</v>
      </c>
      <c r="R993" t="str">
        <f>IFERROR(VLOOKUP(Q993,tbFactorMes,2,FALSE),"")</f>
        <v/>
      </c>
      <c r="S993">
        <f t="shared" si="211"/>
        <v>0</v>
      </c>
      <c r="V993" t="str">
        <f>IFERROR(VLOOKUP(U993,tbFactorMes,2,FALSE),"")</f>
        <v/>
      </c>
      <c r="W993">
        <f t="shared" si="212"/>
        <v>0</v>
      </c>
      <c r="Z993" t="str">
        <f>IFERROR(VLOOKUP(Y993,tbFactorMes,2,FALSE),"")</f>
        <v/>
      </c>
      <c r="AA993">
        <f t="shared" si="213"/>
        <v>0</v>
      </c>
      <c r="AD993" t="str">
        <f>IFERROR(VLOOKUP(AC993,tbFactorMes,2,FALSE),"")</f>
        <v/>
      </c>
      <c r="AE993">
        <f t="shared" si="214"/>
        <v>0</v>
      </c>
      <c r="AH993" t="str">
        <f>IFERROR(VLOOKUP(AG993,tbFactorMes,2,FALSE),"")</f>
        <v/>
      </c>
      <c r="AI993">
        <f t="shared" si="215"/>
        <v>0</v>
      </c>
      <c r="AL993" t="str">
        <f>IFERROR(VLOOKUP(AK993,tbFactorMes,2,FALSE),"")</f>
        <v/>
      </c>
      <c r="AM993">
        <f t="shared" si="216"/>
        <v>0</v>
      </c>
      <c r="AP993" t="str">
        <f>IFERROR(VLOOKUP(AO993,tbFactorMes,2,FALSE),"")</f>
        <v/>
      </c>
      <c r="AQ993">
        <f t="shared" si="217"/>
        <v>0</v>
      </c>
      <c r="AT993" t="str">
        <f>IFERROR(VLOOKUP(AS993,tbFactorMes,2,FALSE),"")</f>
        <v/>
      </c>
      <c r="AU993">
        <f t="shared" si="218"/>
        <v>0</v>
      </c>
      <c r="AX993" t="str">
        <f>IFERROR(VLOOKUP(AW993,tbFactorMes,2,FALSE),"")</f>
        <v/>
      </c>
      <c r="AY993">
        <f t="shared" si="219"/>
        <v>0</v>
      </c>
      <c r="BB993" t="str">
        <f>IFERROR(VLOOKUP(BA993,tbFactorMes,2,FALSE),"")</f>
        <v/>
      </c>
      <c r="BC993">
        <f t="shared" si="220"/>
        <v>0</v>
      </c>
      <c r="BF993" t="str">
        <f>IFERROR(VLOOKUP(BE993,tbFactorMes,2,FALSE),"")</f>
        <v/>
      </c>
      <c r="BG993">
        <f t="shared" si="221"/>
        <v>0</v>
      </c>
      <c r="BH993">
        <f t="shared" si="222"/>
        <v>0</v>
      </c>
      <c r="BI993">
        <f t="shared" si="223"/>
        <v>0</v>
      </c>
    </row>
    <row r="994" spans="11:61" x14ac:dyDescent="0.35">
      <c r="K994" t="str">
        <f>IFERROR(VLOOKUP(F994,tbTurnos,3,FALSE),"")</f>
        <v/>
      </c>
      <c r="N994" t="str">
        <f>IFERROR(VLOOKUP(M994,tbFactorMes,2,FALSE),"")</f>
        <v/>
      </c>
      <c r="O994">
        <f t="shared" si="210"/>
        <v>0</v>
      </c>
      <c r="R994" t="str">
        <f>IFERROR(VLOOKUP(Q994,tbFactorMes,2,FALSE),"")</f>
        <v/>
      </c>
      <c r="S994">
        <f t="shared" si="211"/>
        <v>0</v>
      </c>
      <c r="V994" t="str">
        <f>IFERROR(VLOOKUP(U994,tbFactorMes,2,FALSE),"")</f>
        <v/>
      </c>
      <c r="W994">
        <f t="shared" si="212"/>
        <v>0</v>
      </c>
      <c r="Z994" t="str">
        <f>IFERROR(VLOOKUP(Y994,tbFactorMes,2,FALSE),"")</f>
        <v/>
      </c>
      <c r="AA994">
        <f t="shared" si="213"/>
        <v>0</v>
      </c>
      <c r="AD994" t="str">
        <f>IFERROR(VLOOKUP(AC994,tbFactorMes,2,FALSE),"")</f>
        <v/>
      </c>
      <c r="AE994">
        <f t="shared" si="214"/>
        <v>0</v>
      </c>
      <c r="AH994" t="str">
        <f>IFERROR(VLOOKUP(AG994,tbFactorMes,2,FALSE),"")</f>
        <v/>
      </c>
      <c r="AI994">
        <f t="shared" si="215"/>
        <v>0</v>
      </c>
      <c r="AL994" t="str">
        <f>IFERROR(VLOOKUP(AK994,tbFactorMes,2,FALSE),"")</f>
        <v/>
      </c>
      <c r="AM994">
        <f t="shared" si="216"/>
        <v>0</v>
      </c>
      <c r="AP994" t="str">
        <f>IFERROR(VLOOKUP(AO994,tbFactorMes,2,FALSE),"")</f>
        <v/>
      </c>
      <c r="AQ994">
        <f t="shared" si="217"/>
        <v>0</v>
      </c>
      <c r="AT994" t="str">
        <f>IFERROR(VLOOKUP(AS994,tbFactorMes,2,FALSE),"")</f>
        <v/>
      </c>
      <c r="AU994">
        <f t="shared" si="218"/>
        <v>0</v>
      </c>
      <c r="AX994" t="str">
        <f>IFERROR(VLOOKUP(AW994,tbFactorMes,2,FALSE),"")</f>
        <v/>
      </c>
      <c r="AY994">
        <f t="shared" si="219"/>
        <v>0</v>
      </c>
      <c r="BB994" t="str">
        <f>IFERROR(VLOOKUP(BA994,tbFactorMes,2,FALSE),"")</f>
        <v/>
      </c>
      <c r="BC994">
        <f t="shared" si="220"/>
        <v>0</v>
      </c>
      <c r="BF994" t="str">
        <f>IFERROR(VLOOKUP(BE994,tbFactorMes,2,FALSE),"")</f>
        <v/>
      </c>
      <c r="BG994">
        <f t="shared" si="221"/>
        <v>0</v>
      </c>
      <c r="BH994">
        <f t="shared" si="222"/>
        <v>0</v>
      </c>
      <c r="BI994">
        <f t="shared" si="223"/>
        <v>0</v>
      </c>
    </row>
    <row r="995" spans="11:61" x14ac:dyDescent="0.35">
      <c r="K995" t="str">
        <f>IFERROR(VLOOKUP(F995,tbTurnos,3,FALSE),"")</f>
        <v/>
      </c>
      <c r="N995" t="str">
        <f>IFERROR(VLOOKUP(M995,tbFactorMes,2,FALSE),"")</f>
        <v/>
      </c>
      <c r="O995">
        <f t="shared" si="210"/>
        <v>0</v>
      </c>
      <c r="R995" t="str">
        <f>IFERROR(VLOOKUP(Q995,tbFactorMes,2,FALSE),"")</f>
        <v/>
      </c>
      <c r="S995">
        <f t="shared" si="211"/>
        <v>0</v>
      </c>
      <c r="V995" t="str">
        <f>IFERROR(VLOOKUP(U995,tbFactorMes,2,FALSE),"")</f>
        <v/>
      </c>
      <c r="W995">
        <f t="shared" si="212"/>
        <v>0</v>
      </c>
      <c r="Z995" t="str">
        <f>IFERROR(VLOOKUP(Y995,tbFactorMes,2,FALSE),"")</f>
        <v/>
      </c>
      <c r="AA995">
        <f t="shared" si="213"/>
        <v>0</v>
      </c>
      <c r="AD995" t="str">
        <f>IFERROR(VLOOKUP(AC995,tbFactorMes,2,FALSE),"")</f>
        <v/>
      </c>
      <c r="AE995">
        <f t="shared" si="214"/>
        <v>0</v>
      </c>
      <c r="AH995" t="str">
        <f>IFERROR(VLOOKUP(AG995,tbFactorMes,2,FALSE),"")</f>
        <v/>
      </c>
      <c r="AI995">
        <f t="shared" si="215"/>
        <v>0</v>
      </c>
      <c r="AL995" t="str">
        <f>IFERROR(VLOOKUP(AK995,tbFactorMes,2,FALSE),"")</f>
        <v/>
      </c>
      <c r="AM995">
        <f t="shared" si="216"/>
        <v>0</v>
      </c>
      <c r="AP995" t="str">
        <f>IFERROR(VLOOKUP(AO995,tbFactorMes,2,FALSE),"")</f>
        <v/>
      </c>
      <c r="AQ995">
        <f t="shared" si="217"/>
        <v>0</v>
      </c>
      <c r="AT995" t="str">
        <f>IFERROR(VLOOKUP(AS995,tbFactorMes,2,FALSE),"")</f>
        <v/>
      </c>
      <c r="AU995">
        <f t="shared" si="218"/>
        <v>0</v>
      </c>
      <c r="AX995" t="str">
        <f>IFERROR(VLOOKUP(AW995,tbFactorMes,2,FALSE),"")</f>
        <v/>
      </c>
      <c r="AY995">
        <f t="shared" si="219"/>
        <v>0</v>
      </c>
      <c r="BB995" t="str">
        <f>IFERROR(VLOOKUP(BA995,tbFactorMes,2,FALSE),"")</f>
        <v/>
      </c>
      <c r="BC995">
        <f t="shared" si="220"/>
        <v>0</v>
      </c>
      <c r="BF995" t="str">
        <f>IFERROR(VLOOKUP(BE995,tbFactorMes,2,FALSE),"")</f>
        <v/>
      </c>
      <c r="BG995">
        <f t="shared" si="221"/>
        <v>0</v>
      </c>
      <c r="BH995">
        <f t="shared" si="222"/>
        <v>0</v>
      </c>
      <c r="BI995">
        <f t="shared" si="223"/>
        <v>0</v>
      </c>
    </row>
    <row r="996" spans="11:61" x14ac:dyDescent="0.35">
      <c r="K996" t="str">
        <f>IFERROR(VLOOKUP(F996,tbTurnos,3,FALSE),"")</f>
        <v/>
      </c>
      <c r="N996" t="str">
        <f>IFERROR(VLOOKUP(M996,tbFactorMes,2,FALSE),"")</f>
        <v/>
      </c>
      <c r="O996">
        <f t="shared" si="210"/>
        <v>0</v>
      </c>
      <c r="R996" t="str">
        <f>IFERROR(VLOOKUP(Q996,tbFactorMes,2,FALSE),"")</f>
        <v/>
      </c>
      <c r="S996">
        <f t="shared" si="211"/>
        <v>0</v>
      </c>
      <c r="V996" t="str">
        <f>IFERROR(VLOOKUP(U996,tbFactorMes,2,FALSE),"")</f>
        <v/>
      </c>
      <c r="W996">
        <f t="shared" si="212"/>
        <v>0</v>
      </c>
      <c r="Z996" t="str">
        <f>IFERROR(VLOOKUP(Y996,tbFactorMes,2,FALSE),"")</f>
        <v/>
      </c>
      <c r="AA996">
        <f t="shared" si="213"/>
        <v>0</v>
      </c>
      <c r="AD996" t="str">
        <f>IFERROR(VLOOKUP(AC996,tbFactorMes,2,FALSE),"")</f>
        <v/>
      </c>
      <c r="AE996">
        <f t="shared" si="214"/>
        <v>0</v>
      </c>
      <c r="AH996" t="str">
        <f>IFERROR(VLOOKUP(AG996,tbFactorMes,2,FALSE),"")</f>
        <v/>
      </c>
      <c r="AI996">
        <f t="shared" si="215"/>
        <v>0</v>
      </c>
      <c r="AL996" t="str">
        <f>IFERROR(VLOOKUP(AK996,tbFactorMes,2,FALSE),"")</f>
        <v/>
      </c>
      <c r="AM996">
        <f t="shared" si="216"/>
        <v>0</v>
      </c>
      <c r="AP996" t="str">
        <f>IFERROR(VLOOKUP(AO996,tbFactorMes,2,FALSE),"")</f>
        <v/>
      </c>
      <c r="AQ996">
        <f t="shared" si="217"/>
        <v>0</v>
      </c>
      <c r="AT996" t="str">
        <f>IFERROR(VLOOKUP(AS996,tbFactorMes,2,FALSE),"")</f>
        <v/>
      </c>
      <c r="AU996">
        <f t="shared" si="218"/>
        <v>0</v>
      </c>
      <c r="AX996" t="str">
        <f>IFERROR(VLOOKUP(AW996,tbFactorMes,2,FALSE),"")</f>
        <v/>
      </c>
      <c r="AY996">
        <f t="shared" si="219"/>
        <v>0</v>
      </c>
      <c r="BB996" t="str">
        <f>IFERROR(VLOOKUP(BA996,tbFactorMes,2,FALSE),"")</f>
        <v/>
      </c>
      <c r="BC996">
        <f t="shared" si="220"/>
        <v>0</v>
      </c>
      <c r="BF996" t="str">
        <f>IFERROR(VLOOKUP(BE996,tbFactorMes,2,FALSE),"")</f>
        <v/>
      </c>
      <c r="BG996">
        <f t="shared" si="221"/>
        <v>0</v>
      </c>
      <c r="BH996">
        <f t="shared" si="222"/>
        <v>0</v>
      </c>
      <c r="BI996">
        <f t="shared" si="223"/>
        <v>0</v>
      </c>
    </row>
    <row r="997" spans="11:61" x14ac:dyDescent="0.35">
      <c r="K997" t="str">
        <f>IFERROR(VLOOKUP(F997,tbTurnos,3,FALSE),"")</f>
        <v/>
      </c>
      <c r="N997" t="str">
        <f>IFERROR(VLOOKUP(M997,tbFactorMes,2,FALSE),"")</f>
        <v/>
      </c>
      <c r="O997">
        <f t="shared" si="210"/>
        <v>0</v>
      </c>
      <c r="R997" t="str">
        <f>IFERROR(VLOOKUP(Q997,tbFactorMes,2,FALSE),"")</f>
        <v/>
      </c>
      <c r="S997">
        <f t="shared" si="211"/>
        <v>0</v>
      </c>
      <c r="V997" t="str">
        <f>IFERROR(VLOOKUP(U997,tbFactorMes,2,FALSE),"")</f>
        <v/>
      </c>
      <c r="W997">
        <f t="shared" si="212"/>
        <v>0</v>
      </c>
      <c r="Z997" t="str">
        <f>IFERROR(VLOOKUP(Y997,tbFactorMes,2,FALSE),"")</f>
        <v/>
      </c>
      <c r="AA997">
        <f t="shared" si="213"/>
        <v>0</v>
      </c>
      <c r="AD997" t="str">
        <f>IFERROR(VLOOKUP(AC997,tbFactorMes,2,FALSE),"")</f>
        <v/>
      </c>
      <c r="AE997">
        <f t="shared" si="214"/>
        <v>0</v>
      </c>
      <c r="AH997" t="str">
        <f>IFERROR(VLOOKUP(AG997,tbFactorMes,2,FALSE),"")</f>
        <v/>
      </c>
      <c r="AI997">
        <f t="shared" si="215"/>
        <v>0</v>
      </c>
      <c r="AL997" t="str">
        <f>IFERROR(VLOOKUP(AK997,tbFactorMes,2,FALSE),"")</f>
        <v/>
      </c>
      <c r="AM997">
        <f t="shared" si="216"/>
        <v>0</v>
      </c>
      <c r="AP997" t="str">
        <f>IFERROR(VLOOKUP(AO997,tbFactorMes,2,FALSE),"")</f>
        <v/>
      </c>
      <c r="AQ997">
        <f t="shared" si="217"/>
        <v>0</v>
      </c>
      <c r="AT997" t="str">
        <f>IFERROR(VLOOKUP(AS997,tbFactorMes,2,FALSE),"")</f>
        <v/>
      </c>
      <c r="AU997">
        <f t="shared" si="218"/>
        <v>0</v>
      </c>
      <c r="AX997" t="str">
        <f>IFERROR(VLOOKUP(AW997,tbFactorMes,2,FALSE),"")</f>
        <v/>
      </c>
      <c r="AY997">
        <f t="shared" si="219"/>
        <v>0</v>
      </c>
      <c r="BB997" t="str">
        <f>IFERROR(VLOOKUP(BA997,tbFactorMes,2,FALSE),"")</f>
        <v/>
      </c>
      <c r="BC997">
        <f t="shared" si="220"/>
        <v>0</v>
      </c>
      <c r="BF997" t="str">
        <f>IFERROR(VLOOKUP(BE997,tbFactorMes,2,FALSE),"")</f>
        <v/>
      </c>
      <c r="BG997">
        <f t="shared" si="221"/>
        <v>0</v>
      </c>
      <c r="BH997">
        <f t="shared" si="222"/>
        <v>0</v>
      </c>
      <c r="BI997">
        <f t="shared" si="223"/>
        <v>0</v>
      </c>
    </row>
    <row r="998" spans="11:61" x14ac:dyDescent="0.35">
      <c r="K998" t="str">
        <f>IFERROR(VLOOKUP(F998,tbTurnos,3,FALSE),"")</f>
        <v/>
      </c>
      <c r="N998" t="str">
        <f>IFERROR(VLOOKUP(M998,tbFactorMes,2,FALSE),"")</f>
        <v/>
      </c>
      <c r="O998">
        <f t="shared" si="210"/>
        <v>0</v>
      </c>
      <c r="R998" t="str">
        <f>IFERROR(VLOOKUP(Q998,tbFactorMes,2,FALSE),"")</f>
        <v/>
      </c>
      <c r="S998">
        <f t="shared" si="211"/>
        <v>0</v>
      </c>
      <c r="V998" t="str">
        <f>IFERROR(VLOOKUP(U998,tbFactorMes,2,FALSE),"")</f>
        <v/>
      </c>
      <c r="W998">
        <f t="shared" si="212"/>
        <v>0</v>
      </c>
      <c r="Z998" t="str">
        <f>IFERROR(VLOOKUP(Y998,tbFactorMes,2,FALSE),"")</f>
        <v/>
      </c>
      <c r="AA998">
        <f t="shared" si="213"/>
        <v>0</v>
      </c>
      <c r="AD998" t="str">
        <f>IFERROR(VLOOKUP(AC998,tbFactorMes,2,FALSE),"")</f>
        <v/>
      </c>
      <c r="AE998">
        <f t="shared" si="214"/>
        <v>0</v>
      </c>
      <c r="AH998" t="str">
        <f>IFERROR(VLOOKUP(AG998,tbFactorMes,2,FALSE),"")</f>
        <v/>
      </c>
      <c r="AI998">
        <f t="shared" si="215"/>
        <v>0</v>
      </c>
      <c r="AL998" t="str">
        <f>IFERROR(VLOOKUP(AK998,tbFactorMes,2,FALSE),"")</f>
        <v/>
      </c>
      <c r="AM998">
        <f t="shared" si="216"/>
        <v>0</v>
      </c>
      <c r="AP998" t="str">
        <f>IFERROR(VLOOKUP(AO998,tbFactorMes,2,FALSE),"")</f>
        <v/>
      </c>
      <c r="AQ998">
        <f t="shared" si="217"/>
        <v>0</v>
      </c>
      <c r="AT998" t="str">
        <f>IFERROR(VLOOKUP(AS998,tbFactorMes,2,FALSE),"")</f>
        <v/>
      </c>
      <c r="AU998">
        <f t="shared" si="218"/>
        <v>0</v>
      </c>
      <c r="AX998" t="str">
        <f>IFERROR(VLOOKUP(AW998,tbFactorMes,2,FALSE),"")</f>
        <v/>
      </c>
      <c r="AY998">
        <f t="shared" si="219"/>
        <v>0</v>
      </c>
      <c r="BB998" t="str">
        <f>IFERROR(VLOOKUP(BA998,tbFactorMes,2,FALSE),"")</f>
        <v/>
      </c>
      <c r="BC998">
        <f t="shared" si="220"/>
        <v>0</v>
      </c>
      <c r="BF998" t="str">
        <f>IFERROR(VLOOKUP(BE998,tbFactorMes,2,FALSE),"")</f>
        <v/>
      </c>
      <c r="BG998">
        <f t="shared" si="221"/>
        <v>0</v>
      </c>
      <c r="BH998">
        <f t="shared" si="222"/>
        <v>0</v>
      </c>
      <c r="BI998">
        <f t="shared" si="223"/>
        <v>0</v>
      </c>
    </row>
    <row r="999" spans="11:61" x14ac:dyDescent="0.35">
      <c r="K999" t="str">
        <f>IFERROR(VLOOKUP(F999,tbTurnos,3,FALSE),"")</f>
        <v/>
      </c>
      <c r="N999" t="str">
        <f>IFERROR(VLOOKUP(M999,tbFactorMes,2,FALSE),"")</f>
        <v/>
      </c>
      <c r="O999">
        <f t="shared" si="210"/>
        <v>0</v>
      </c>
      <c r="R999" t="str">
        <f>IFERROR(VLOOKUP(Q999,tbFactorMes,2,FALSE),"")</f>
        <v/>
      </c>
      <c r="S999">
        <f t="shared" si="211"/>
        <v>0</v>
      </c>
      <c r="V999" t="str">
        <f>IFERROR(VLOOKUP(U999,tbFactorMes,2,FALSE),"")</f>
        <v/>
      </c>
      <c r="W999">
        <f t="shared" si="212"/>
        <v>0</v>
      </c>
      <c r="Z999" t="str">
        <f>IFERROR(VLOOKUP(Y999,tbFactorMes,2,FALSE),"")</f>
        <v/>
      </c>
      <c r="AA999">
        <f t="shared" si="213"/>
        <v>0</v>
      </c>
      <c r="AD999" t="str">
        <f>IFERROR(VLOOKUP(AC999,tbFactorMes,2,FALSE),"")</f>
        <v/>
      </c>
      <c r="AE999">
        <f t="shared" si="214"/>
        <v>0</v>
      </c>
      <c r="AH999" t="str">
        <f>IFERROR(VLOOKUP(AG999,tbFactorMes,2,FALSE),"")</f>
        <v/>
      </c>
      <c r="AI999">
        <f t="shared" si="215"/>
        <v>0</v>
      </c>
      <c r="AL999" t="str">
        <f>IFERROR(VLOOKUP(AK999,tbFactorMes,2,FALSE),"")</f>
        <v/>
      </c>
      <c r="AM999">
        <f t="shared" si="216"/>
        <v>0</v>
      </c>
      <c r="AP999" t="str">
        <f>IFERROR(VLOOKUP(AO999,tbFactorMes,2,FALSE),"")</f>
        <v/>
      </c>
      <c r="AQ999">
        <f t="shared" si="217"/>
        <v>0</v>
      </c>
      <c r="AT999" t="str">
        <f>IFERROR(VLOOKUP(AS999,tbFactorMes,2,FALSE),"")</f>
        <v/>
      </c>
      <c r="AU999">
        <f t="shared" si="218"/>
        <v>0</v>
      </c>
      <c r="AX999" t="str">
        <f>IFERROR(VLOOKUP(AW999,tbFactorMes,2,FALSE),"")</f>
        <v/>
      </c>
      <c r="AY999">
        <f t="shared" si="219"/>
        <v>0</v>
      </c>
      <c r="BB999" t="str">
        <f>IFERROR(VLOOKUP(BA999,tbFactorMes,2,FALSE),"")</f>
        <v/>
      </c>
      <c r="BC999">
        <f t="shared" si="220"/>
        <v>0</v>
      </c>
      <c r="BF999" t="str">
        <f>IFERROR(VLOOKUP(BE999,tbFactorMes,2,FALSE),"")</f>
        <v/>
      </c>
      <c r="BG999">
        <f t="shared" si="221"/>
        <v>0</v>
      </c>
      <c r="BH999">
        <f t="shared" si="222"/>
        <v>0</v>
      </c>
      <c r="BI999">
        <f t="shared" si="223"/>
        <v>0</v>
      </c>
    </row>
    <row r="1000" spans="11:61" x14ac:dyDescent="0.35">
      <c r="K1000" t="str">
        <f>IFERROR(VLOOKUP(F1000,tbTurnos,3,FALSE),"")</f>
        <v/>
      </c>
      <c r="N1000" t="str">
        <f>IFERROR(VLOOKUP(M1000,tbFactorMes,2,FALSE),"")</f>
        <v/>
      </c>
      <c r="O1000">
        <f t="shared" si="210"/>
        <v>0</v>
      </c>
      <c r="R1000" t="str">
        <f>IFERROR(VLOOKUP(Q1000,tbFactorMes,2,FALSE),"")</f>
        <v/>
      </c>
      <c r="S1000">
        <f t="shared" si="211"/>
        <v>0</v>
      </c>
      <c r="V1000" t="str">
        <f>IFERROR(VLOOKUP(U1000,tbFactorMes,2,FALSE),"")</f>
        <v/>
      </c>
      <c r="W1000">
        <f t="shared" si="212"/>
        <v>0</v>
      </c>
      <c r="Z1000" t="str">
        <f>IFERROR(VLOOKUP(Y1000,tbFactorMes,2,FALSE),"")</f>
        <v/>
      </c>
      <c r="AA1000">
        <f t="shared" si="213"/>
        <v>0</v>
      </c>
      <c r="AD1000" t="str">
        <f>IFERROR(VLOOKUP(AC1000,tbFactorMes,2,FALSE),"")</f>
        <v/>
      </c>
      <c r="AE1000">
        <f t="shared" si="214"/>
        <v>0</v>
      </c>
      <c r="AH1000" t="str">
        <f>IFERROR(VLOOKUP(AG1000,tbFactorMes,2,FALSE),"")</f>
        <v/>
      </c>
      <c r="AI1000">
        <f t="shared" si="215"/>
        <v>0</v>
      </c>
      <c r="AL1000" t="str">
        <f>IFERROR(VLOOKUP(AK1000,tbFactorMes,2,FALSE),"")</f>
        <v/>
      </c>
      <c r="AM1000">
        <f t="shared" si="216"/>
        <v>0</v>
      </c>
      <c r="AP1000" t="str">
        <f>IFERROR(VLOOKUP(AO1000,tbFactorMes,2,FALSE),"")</f>
        <v/>
      </c>
      <c r="AQ1000">
        <f t="shared" si="217"/>
        <v>0</v>
      </c>
      <c r="AT1000" t="str">
        <f>IFERROR(VLOOKUP(AS1000,tbFactorMes,2,FALSE),"")</f>
        <v/>
      </c>
      <c r="AU1000">
        <f t="shared" si="218"/>
        <v>0</v>
      </c>
      <c r="AX1000" t="str">
        <f>IFERROR(VLOOKUP(AW1000,tbFactorMes,2,FALSE),"")</f>
        <v/>
      </c>
      <c r="AY1000">
        <f t="shared" si="219"/>
        <v>0</v>
      </c>
      <c r="BB1000" t="str">
        <f>IFERROR(VLOOKUP(BA1000,tbFactorMes,2,FALSE),"")</f>
        <v/>
      </c>
      <c r="BC1000">
        <f t="shared" si="220"/>
        <v>0</v>
      </c>
      <c r="BF1000" t="str">
        <f>IFERROR(VLOOKUP(BE1000,tbFactorMes,2,FALSE),"")</f>
        <v/>
      </c>
      <c r="BG1000">
        <f t="shared" si="221"/>
        <v>0</v>
      </c>
      <c r="BH1000">
        <f t="shared" si="222"/>
        <v>0</v>
      </c>
      <c r="BI1000">
        <f t="shared" si="223"/>
        <v>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300-000000000000}">
          <x14:formula1>
            <xm:f>'96_Clasificacion_Dotacional'!$A$2:$A$12</xm:f>
          </x14:formula1>
          <xm:sqref>B2:B1000</xm:sqref>
        </x14:dataValidation>
        <x14:dataValidation type="list" allowBlank="1" xr:uid="{00000000-0002-0000-0300-000001000000}">
          <x14:formula1>
            <xm:f>'99_Listas'!$J$3:$J$4</xm:f>
          </x14:formula1>
          <xm:sqref>C2:C1000</xm:sqref>
        </x14:dataValidation>
        <x14:dataValidation type="list" allowBlank="1" xr:uid="{00000000-0002-0000-0300-000002000000}">
          <x14:formula1>
            <xm:f>'99_Listas'!$L$3:$L$7</xm:f>
          </x14:formula1>
          <xm:sqref>D2:D1000</xm:sqref>
        </x14:dataValidation>
        <x14:dataValidation type="list" allowBlank="1" xr:uid="{00000000-0002-0000-0300-000003000000}">
          <x14:formula1>
            <xm:f>'99_Listas'!$K$3:$K$4</xm:f>
          </x14:formula1>
          <xm:sqref>E2:E1000</xm:sqref>
        </x14:dataValidation>
        <x14:dataValidation type="list" allowBlank="1" xr:uid="{00000000-0002-0000-0300-000004000000}">
          <x14:formula1>
            <xm:f>'99_Listas'!$M$3:$M$22</xm:f>
          </x14:formula1>
          <xm:sqref>F2:F1000</xm:sqref>
        </x14:dataValidation>
        <x14:dataValidation type="list" allowBlank="1" xr:uid="{00000000-0002-0000-0300-000005000000}">
          <x14:formula1>
            <xm:f>'99_Listas'!$H$3:$H$5</xm:f>
          </x14:formula1>
          <xm:sqref>H2:H1000</xm:sqref>
        </x14:dataValidation>
        <x14:dataValidation type="list" allowBlank="1" xr:uid="{00000000-0002-0000-0300-000006000000}">
          <x14:formula1>
            <xm:f>'99_Listas'!$I$3:$I$7</xm:f>
          </x14:formula1>
          <xm:sqref>I2:I1000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9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14" customWidth="1"/>
    <col min="3" max="3" width="22" customWidth="1"/>
    <col min="4" max="4" width="20" customWidth="1"/>
    <col min="5" max="5" width="27" customWidth="1"/>
    <col min="6" max="6" width="14" customWidth="1"/>
    <col min="7" max="7" width="30" customWidth="1"/>
    <col min="8" max="8" width="19" customWidth="1"/>
  </cols>
  <sheetData>
    <row r="1" spans="1:8" ht="22" customHeight="1" x14ac:dyDescent="0.35">
      <c r="A1" s="1" t="s">
        <v>98</v>
      </c>
      <c r="B1" s="1" t="s">
        <v>99</v>
      </c>
      <c r="C1" s="1" t="s">
        <v>35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</row>
    <row r="2" spans="1:8" x14ac:dyDescent="0.35">
      <c r="F2">
        <f t="shared" ref="F2:F65" si="0">IFERROR((E2-D2)/D2,0)</f>
        <v>0</v>
      </c>
      <c r="G2" t="str">
        <f t="shared" ref="G2:G65" si="1">IF(ABS(F2)&lt;=0.1,"Sí","No")</f>
        <v>Sí</v>
      </c>
    </row>
    <row r="3" spans="1:8" x14ac:dyDescent="0.35">
      <c r="F3">
        <f t="shared" si="0"/>
        <v>0</v>
      </c>
      <c r="G3" t="str">
        <f t="shared" si="1"/>
        <v>Sí</v>
      </c>
    </row>
    <row r="4" spans="1:8" x14ac:dyDescent="0.35">
      <c r="F4">
        <f t="shared" si="0"/>
        <v>0</v>
      </c>
      <c r="G4" t="str">
        <f t="shared" si="1"/>
        <v>Sí</v>
      </c>
    </row>
    <row r="5" spans="1:8" x14ac:dyDescent="0.35">
      <c r="F5">
        <f t="shared" si="0"/>
        <v>0</v>
      </c>
      <c r="G5" t="str">
        <f t="shared" si="1"/>
        <v>Sí</v>
      </c>
    </row>
    <row r="6" spans="1:8" x14ac:dyDescent="0.35">
      <c r="F6">
        <f t="shared" si="0"/>
        <v>0</v>
      </c>
      <c r="G6" t="str">
        <f t="shared" si="1"/>
        <v>Sí</v>
      </c>
    </row>
    <row r="7" spans="1:8" x14ac:dyDescent="0.35">
      <c r="F7">
        <f t="shared" si="0"/>
        <v>0</v>
      </c>
      <c r="G7" t="str">
        <f t="shared" si="1"/>
        <v>Sí</v>
      </c>
    </row>
    <row r="8" spans="1:8" x14ac:dyDescent="0.35">
      <c r="F8">
        <f t="shared" si="0"/>
        <v>0</v>
      </c>
      <c r="G8" t="str">
        <f t="shared" si="1"/>
        <v>Sí</v>
      </c>
    </row>
    <row r="9" spans="1:8" x14ac:dyDescent="0.35">
      <c r="F9">
        <f t="shared" si="0"/>
        <v>0</v>
      </c>
      <c r="G9" t="str">
        <f t="shared" si="1"/>
        <v>Sí</v>
      </c>
    </row>
    <row r="10" spans="1:8" x14ac:dyDescent="0.35">
      <c r="F10">
        <f t="shared" si="0"/>
        <v>0</v>
      </c>
      <c r="G10" t="str">
        <f t="shared" si="1"/>
        <v>Sí</v>
      </c>
    </row>
    <row r="11" spans="1:8" x14ac:dyDescent="0.35">
      <c r="F11">
        <f t="shared" si="0"/>
        <v>0</v>
      </c>
      <c r="G11" t="str">
        <f t="shared" si="1"/>
        <v>Sí</v>
      </c>
    </row>
    <row r="12" spans="1:8" x14ac:dyDescent="0.35">
      <c r="F12">
        <f t="shared" si="0"/>
        <v>0</v>
      </c>
      <c r="G12" t="str">
        <f t="shared" si="1"/>
        <v>Sí</v>
      </c>
    </row>
    <row r="13" spans="1:8" x14ac:dyDescent="0.35">
      <c r="F13">
        <f t="shared" si="0"/>
        <v>0</v>
      </c>
      <c r="G13" t="str">
        <f t="shared" si="1"/>
        <v>Sí</v>
      </c>
    </row>
    <row r="14" spans="1:8" x14ac:dyDescent="0.35">
      <c r="F14">
        <f t="shared" si="0"/>
        <v>0</v>
      </c>
      <c r="G14" t="str">
        <f t="shared" si="1"/>
        <v>Sí</v>
      </c>
    </row>
    <row r="15" spans="1:8" x14ac:dyDescent="0.35">
      <c r="F15">
        <f t="shared" si="0"/>
        <v>0</v>
      </c>
      <c r="G15" t="str">
        <f t="shared" si="1"/>
        <v>Sí</v>
      </c>
    </row>
    <row r="16" spans="1:8" x14ac:dyDescent="0.35">
      <c r="F16">
        <f t="shared" si="0"/>
        <v>0</v>
      </c>
      <c r="G16" t="str">
        <f t="shared" si="1"/>
        <v>Sí</v>
      </c>
    </row>
    <row r="17" spans="6:7" x14ac:dyDescent="0.35">
      <c r="F17">
        <f t="shared" si="0"/>
        <v>0</v>
      </c>
      <c r="G17" t="str">
        <f t="shared" si="1"/>
        <v>Sí</v>
      </c>
    </row>
    <row r="18" spans="6:7" x14ac:dyDescent="0.35">
      <c r="F18">
        <f t="shared" si="0"/>
        <v>0</v>
      </c>
      <c r="G18" t="str">
        <f t="shared" si="1"/>
        <v>Sí</v>
      </c>
    </row>
    <row r="19" spans="6:7" x14ac:dyDescent="0.35">
      <c r="F19">
        <f t="shared" si="0"/>
        <v>0</v>
      </c>
      <c r="G19" t="str">
        <f t="shared" si="1"/>
        <v>Sí</v>
      </c>
    </row>
    <row r="20" spans="6:7" x14ac:dyDescent="0.35">
      <c r="F20">
        <f t="shared" si="0"/>
        <v>0</v>
      </c>
      <c r="G20" t="str">
        <f t="shared" si="1"/>
        <v>Sí</v>
      </c>
    </row>
    <row r="21" spans="6:7" x14ac:dyDescent="0.35">
      <c r="F21">
        <f t="shared" si="0"/>
        <v>0</v>
      </c>
      <c r="G21" t="str">
        <f t="shared" si="1"/>
        <v>Sí</v>
      </c>
    </row>
    <row r="22" spans="6:7" x14ac:dyDescent="0.35">
      <c r="F22">
        <f t="shared" si="0"/>
        <v>0</v>
      </c>
      <c r="G22" t="str">
        <f t="shared" si="1"/>
        <v>Sí</v>
      </c>
    </row>
    <row r="23" spans="6:7" x14ac:dyDescent="0.35">
      <c r="F23">
        <f t="shared" si="0"/>
        <v>0</v>
      </c>
      <c r="G23" t="str">
        <f t="shared" si="1"/>
        <v>Sí</v>
      </c>
    </row>
    <row r="24" spans="6:7" x14ac:dyDescent="0.35">
      <c r="F24">
        <f t="shared" si="0"/>
        <v>0</v>
      </c>
      <c r="G24" t="str">
        <f t="shared" si="1"/>
        <v>Sí</v>
      </c>
    </row>
    <row r="25" spans="6:7" x14ac:dyDescent="0.35">
      <c r="F25">
        <f t="shared" si="0"/>
        <v>0</v>
      </c>
      <c r="G25" t="str">
        <f t="shared" si="1"/>
        <v>Sí</v>
      </c>
    </row>
    <row r="26" spans="6:7" x14ac:dyDescent="0.35">
      <c r="F26">
        <f t="shared" si="0"/>
        <v>0</v>
      </c>
      <c r="G26" t="str">
        <f t="shared" si="1"/>
        <v>Sí</v>
      </c>
    </row>
    <row r="27" spans="6:7" x14ac:dyDescent="0.35">
      <c r="F27">
        <f t="shared" si="0"/>
        <v>0</v>
      </c>
      <c r="G27" t="str">
        <f t="shared" si="1"/>
        <v>Sí</v>
      </c>
    </row>
    <row r="28" spans="6:7" x14ac:dyDescent="0.35">
      <c r="F28">
        <f t="shared" si="0"/>
        <v>0</v>
      </c>
      <c r="G28" t="str">
        <f t="shared" si="1"/>
        <v>Sí</v>
      </c>
    </row>
    <row r="29" spans="6:7" x14ac:dyDescent="0.35">
      <c r="F29">
        <f t="shared" si="0"/>
        <v>0</v>
      </c>
      <c r="G29" t="str">
        <f t="shared" si="1"/>
        <v>Sí</v>
      </c>
    </row>
    <row r="30" spans="6:7" x14ac:dyDescent="0.35">
      <c r="F30">
        <f t="shared" si="0"/>
        <v>0</v>
      </c>
      <c r="G30" t="str">
        <f t="shared" si="1"/>
        <v>Sí</v>
      </c>
    </row>
    <row r="31" spans="6:7" x14ac:dyDescent="0.35">
      <c r="F31">
        <f t="shared" si="0"/>
        <v>0</v>
      </c>
      <c r="G31" t="str">
        <f t="shared" si="1"/>
        <v>Sí</v>
      </c>
    </row>
    <row r="32" spans="6:7" x14ac:dyDescent="0.35">
      <c r="F32">
        <f t="shared" si="0"/>
        <v>0</v>
      </c>
      <c r="G32" t="str">
        <f t="shared" si="1"/>
        <v>Sí</v>
      </c>
    </row>
    <row r="33" spans="6:7" x14ac:dyDescent="0.35">
      <c r="F33">
        <f t="shared" si="0"/>
        <v>0</v>
      </c>
      <c r="G33" t="str">
        <f t="shared" si="1"/>
        <v>Sí</v>
      </c>
    </row>
    <row r="34" spans="6:7" x14ac:dyDescent="0.35">
      <c r="F34">
        <f t="shared" si="0"/>
        <v>0</v>
      </c>
      <c r="G34" t="str">
        <f t="shared" si="1"/>
        <v>Sí</v>
      </c>
    </row>
    <row r="35" spans="6:7" x14ac:dyDescent="0.35">
      <c r="F35">
        <f t="shared" si="0"/>
        <v>0</v>
      </c>
      <c r="G35" t="str">
        <f t="shared" si="1"/>
        <v>Sí</v>
      </c>
    </row>
    <row r="36" spans="6:7" x14ac:dyDescent="0.35">
      <c r="F36">
        <f t="shared" si="0"/>
        <v>0</v>
      </c>
      <c r="G36" t="str">
        <f t="shared" si="1"/>
        <v>Sí</v>
      </c>
    </row>
    <row r="37" spans="6:7" x14ac:dyDescent="0.35">
      <c r="F37">
        <f t="shared" si="0"/>
        <v>0</v>
      </c>
      <c r="G37" t="str">
        <f t="shared" si="1"/>
        <v>Sí</v>
      </c>
    </row>
    <row r="38" spans="6:7" x14ac:dyDescent="0.35">
      <c r="F38">
        <f t="shared" si="0"/>
        <v>0</v>
      </c>
      <c r="G38" t="str">
        <f t="shared" si="1"/>
        <v>Sí</v>
      </c>
    </row>
    <row r="39" spans="6:7" x14ac:dyDescent="0.35">
      <c r="F39">
        <f t="shared" si="0"/>
        <v>0</v>
      </c>
      <c r="G39" t="str">
        <f t="shared" si="1"/>
        <v>Sí</v>
      </c>
    </row>
    <row r="40" spans="6:7" x14ac:dyDescent="0.35">
      <c r="F40">
        <f t="shared" si="0"/>
        <v>0</v>
      </c>
      <c r="G40" t="str">
        <f t="shared" si="1"/>
        <v>Sí</v>
      </c>
    </row>
    <row r="41" spans="6:7" x14ac:dyDescent="0.35">
      <c r="F41">
        <f t="shared" si="0"/>
        <v>0</v>
      </c>
      <c r="G41" t="str">
        <f t="shared" si="1"/>
        <v>Sí</v>
      </c>
    </row>
    <row r="42" spans="6:7" x14ac:dyDescent="0.35">
      <c r="F42">
        <f t="shared" si="0"/>
        <v>0</v>
      </c>
      <c r="G42" t="str">
        <f t="shared" si="1"/>
        <v>Sí</v>
      </c>
    </row>
    <row r="43" spans="6:7" x14ac:dyDescent="0.35">
      <c r="F43">
        <f t="shared" si="0"/>
        <v>0</v>
      </c>
      <c r="G43" t="str">
        <f t="shared" si="1"/>
        <v>Sí</v>
      </c>
    </row>
    <row r="44" spans="6:7" x14ac:dyDescent="0.35">
      <c r="F44">
        <f t="shared" si="0"/>
        <v>0</v>
      </c>
      <c r="G44" t="str">
        <f t="shared" si="1"/>
        <v>Sí</v>
      </c>
    </row>
    <row r="45" spans="6:7" x14ac:dyDescent="0.35">
      <c r="F45">
        <f t="shared" si="0"/>
        <v>0</v>
      </c>
      <c r="G45" t="str">
        <f t="shared" si="1"/>
        <v>Sí</v>
      </c>
    </row>
    <row r="46" spans="6:7" x14ac:dyDescent="0.35">
      <c r="F46">
        <f t="shared" si="0"/>
        <v>0</v>
      </c>
      <c r="G46" t="str">
        <f t="shared" si="1"/>
        <v>Sí</v>
      </c>
    </row>
    <row r="47" spans="6:7" x14ac:dyDescent="0.35">
      <c r="F47">
        <f t="shared" si="0"/>
        <v>0</v>
      </c>
      <c r="G47" t="str">
        <f t="shared" si="1"/>
        <v>Sí</v>
      </c>
    </row>
    <row r="48" spans="6:7" x14ac:dyDescent="0.35">
      <c r="F48">
        <f t="shared" si="0"/>
        <v>0</v>
      </c>
      <c r="G48" t="str">
        <f t="shared" si="1"/>
        <v>Sí</v>
      </c>
    </row>
    <row r="49" spans="6:7" x14ac:dyDescent="0.35">
      <c r="F49">
        <f t="shared" si="0"/>
        <v>0</v>
      </c>
      <c r="G49" t="str">
        <f t="shared" si="1"/>
        <v>Sí</v>
      </c>
    </row>
    <row r="50" spans="6:7" x14ac:dyDescent="0.35">
      <c r="F50">
        <f t="shared" si="0"/>
        <v>0</v>
      </c>
      <c r="G50" t="str">
        <f t="shared" si="1"/>
        <v>Sí</v>
      </c>
    </row>
    <row r="51" spans="6:7" x14ac:dyDescent="0.35">
      <c r="F51">
        <f t="shared" si="0"/>
        <v>0</v>
      </c>
      <c r="G51" t="str">
        <f t="shared" si="1"/>
        <v>Sí</v>
      </c>
    </row>
    <row r="52" spans="6:7" x14ac:dyDescent="0.35">
      <c r="F52">
        <f t="shared" si="0"/>
        <v>0</v>
      </c>
      <c r="G52" t="str">
        <f t="shared" si="1"/>
        <v>Sí</v>
      </c>
    </row>
    <row r="53" spans="6:7" x14ac:dyDescent="0.35">
      <c r="F53">
        <f t="shared" si="0"/>
        <v>0</v>
      </c>
      <c r="G53" t="str">
        <f t="shared" si="1"/>
        <v>Sí</v>
      </c>
    </row>
    <row r="54" spans="6:7" x14ac:dyDescent="0.35">
      <c r="F54">
        <f t="shared" si="0"/>
        <v>0</v>
      </c>
      <c r="G54" t="str">
        <f t="shared" si="1"/>
        <v>Sí</v>
      </c>
    </row>
    <row r="55" spans="6:7" x14ac:dyDescent="0.35">
      <c r="F55">
        <f t="shared" si="0"/>
        <v>0</v>
      </c>
      <c r="G55" t="str">
        <f t="shared" si="1"/>
        <v>Sí</v>
      </c>
    </row>
    <row r="56" spans="6:7" x14ac:dyDescent="0.35">
      <c r="F56">
        <f t="shared" si="0"/>
        <v>0</v>
      </c>
      <c r="G56" t="str">
        <f t="shared" si="1"/>
        <v>Sí</v>
      </c>
    </row>
    <row r="57" spans="6:7" x14ac:dyDescent="0.35">
      <c r="F57">
        <f t="shared" si="0"/>
        <v>0</v>
      </c>
      <c r="G57" t="str">
        <f t="shared" si="1"/>
        <v>Sí</v>
      </c>
    </row>
    <row r="58" spans="6:7" x14ac:dyDescent="0.35">
      <c r="F58">
        <f t="shared" si="0"/>
        <v>0</v>
      </c>
      <c r="G58" t="str">
        <f t="shared" si="1"/>
        <v>Sí</v>
      </c>
    </row>
    <row r="59" spans="6:7" x14ac:dyDescent="0.35">
      <c r="F59">
        <f t="shared" si="0"/>
        <v>0</v>
      </c>
      <c r="G59" t="str">
        <f t="shared" si="1"/>
        <v>Sí</v>
      </c>
    </row>
    <row r="60" spans="6:7" x14ac:dyDescent="0.35">
      <c r="F60">
        <f t="shared" si="0"/>
        <v>0</v>
      </c>
      <c r="G60" t="str">
        <f t="shared" si="1"/>
        <v>Sí</v>
      </c>
    </row>
    <row r="61" spans="6:7" x14ac:dyDescent="0.35">
      <c r="F61">
        <f t="shared" si="0"/>
        <v>0</v>
      </c>
      <c r="G61" t="str">
        <f t="shared" si="1"/>
        <v>Sí</v>
      </c>
    </row>
    <row r="62" spans="6:7" x14ac:dyDescent="0.35">
      <c r="F62">
        <f t="shared" si="0"/>
        <v>0</v>
      </c>
      <c r="G62" t="str">
        <f t="shared" si="1"/>
        <v>Sí</v>
      </c>
    </row>
    <row r="63" spans="6:7" x14ac:dyDescent="0.35">
      <c r="F63">
        <f t="shared" si="0"/>
        <v>0</v>
      </c>
      <c r="G63" t="str">
        <f t="shared" si="1"/>
        <v>Sí</v>
      </c>
    </row>
    <row r="64" spans="6:7" x14ac:dyDescent="0.35">
      <c r="F64">
        <f t="shared" si="0"/>
        <v>0</v>
      </c>
      <c r="G64" t="str">
        <f t="shared" si="1"/>
        <v>Sí</v>
      </c>
    </row>
    <row r="65" spans="6:7" x14ac:dyDescent="0.35">
      <c r="F65">
        <f t="shared" si="0"/>
        <v>0</v>
      </c>
      <c r="G65" t="str">
        <f t="shared" si="1"/>
        <v>Sí</v>
      </c>
    </row>
    <row r="66" spans="6:7" x14ac:dyDescent="0.35">
      <c r="F66">
        <f t="shared" ref="F66:F129" si="2">IFERROR((E66-D66)/D66,0)</f>
        <v>0</v>
      </c>
      <c r="G66" t="str">
        <f t="shared" ref="G66:G129" si="3">IF(ABS(F66)&lt;=0.1,"Sí","No")</f>
        <v>Sí</v>
      </c>
    </row>
    <row r="67" spans="6:7" x14ac:dyDescent="0.35">
      <c r="F67">
        <f t="shared" si="2"/>
        <v>0</v>
      </c>
      <c r="G67" t="str">
        <f t="shared" si="3"/>
        <v>Sí</v>
      </c>
    </row>
    <row r="68" spans="6:7" x14ac:dyDescent="0.35">
      <c r="F68">
        <f t="shared" si="2"/>
        <v>0</v>
      </c>
      <c r="G68" t="str">
        <f t="shared" si="3"/>
        <v>Sí</v>
      </c>
    </row>
    <row r="69" spans="6:7" x14ac:dyDescent="0.35">
      <c r="F69">
        <f t="shared" si="2"/>
        <v>0</v>
      </c>
      <c r="G69" t="str">
        <f t="shared" si="3"/>
        <v>Sí</v>
      </c>
    </row>
    <row r="70" spans="6:7" x14ac:dyDescent="0.35">
      <c r="F70">
        <f t="shared" si="2"/>
        <v>0</v>
      </c>
      <c r="G70" t="str">
        <f t="shared" si="3"/>
        <v>Sí</v>
      </c>
    </row>
    <row r="71" spans="6:7" x14ac:dyDescent="0.35">
      <c r="F71">
        <f t="shared" si="2"/>
        <v>0</v>
      </c>
      <c r="G71" t="str">
        <f t="shared" si="3"/>
        <v>Sí</v>
      </c>
    </row>
    <row r="72" spans="6:7" x14ac:dyDescent="0.35">
      <c r="F72">
        <f t="shared" si="2"/>
        <v>0</v>
      </c>
      <c r="G72" t="str">
        <f t="shared" si="3"/>
        <v>Sí</v>
      </c>
    </row>
    <row r="73" spans="6:7" x14ac:dyDescent="0.35">
      <c r="F73">
        <f t="shared" si="2"/>
        <v>0</v>
      </c>
      <c r="G73" t="str">
        <f t="shared" si="3"/>
        <v>Sí</v>
      </c>
    </row>
    <row r="74" spans="6:7" x14ac:dyDescent="0.35">
      <c r="F74">
        <f t="shared" si="2"/>
        <v>0</v>
      </c>
      <c r="G74" t="str">
        <f t="shared" si="3"/>
        <v>Sí</v>
      </c>
    </row>
    <row r="75" spans="6:7" x14ac:dyDescent="0.35">
      <c r="F75">
        <f t="shared" si="2"/>
        <v>0</v>
      </c>
      <c r="G75" t="str">
        <f t="shared" si="3"/>
        <v>Sí</v>
      </c>
    </row>
    <row r="76" spans="6:7" x14ac:dyDescent="0.35">
      <c r="F76">
        <f t="shared" si="2"/>
        <v>0</v>
      </c>
      <c r="G76" t="str">
        <f t="shared" si="3"/>
        <v>Sí</v>
      </c>
    </row>
    <row r="77" spans="6:7" x14ac:dyDescent="0.35">
      <c r="F77">
        <f t="shared" si="2"/>
        <v>0</v>
      </c>
      <c r="G77" t="str">
        <f t="shared" si="3"/>
        <v>Sí</v>
      </c>
    </row>
    <row r="78" spans="6:7" x14ac:dyDescent="0.35">
      <c r="F78">
        <f t="shared" si="2"/>
        <v>0</v>
      </c>
      <c r="G78" t="str">
        <f t="shared" si="3"/>
        <v>Sí</v>
      </c>
    </row>
    <row r="79" spans="6:7" x14ac:dyDescent="0.35">
      <c r="F79">
        <f t="shared" si="2"/>
        <v>0</v>
      </c>
      <c r="G79" t="str">
        <f t="shared" si="3"/>
        <v>Sí</v>
      </c>
    </row>
    <row r="80" spans="6:7" x14ac:dyDescent="0.35">
      <c r="F80">
        <f t="shared" si="2"/>
        <v>0</v>
      </c>
      <c r="G80" t="str">
        <f t="shared" si="3"/>
        <v>Sí</v>
      </c>
    </row>
    <row r="81" spans="6:7" x14ac:dyDescent="0.35">
      <c r="F81">
        <f t="shared" si="2"/>
        <v>0</v>
      </c>
      <c r="G81" t="str">
        <f t="shared" si="3"/>
        <v>Sí</v>
      </c>
    </row>
    <row r="82" spans="6:7" x14ac:dyDescent="0.35">
      <c r="F82">
        <f t="shared" si="2"/>
        <v>0</v>
      </c>
      <c r="G82" t="str">
        <f t="shared" si="3"/>
        <v>Sí</v>
      </c>
    </row>
    <row r="83" spans="6:7" x14ac:dyDescent="0.35">
      <c r="F83">
        <f t="shared" si="2"/>
        <v>0</v>
      </c>
      <c r="G83" t="str">
        <f t="shared" si="3"/>
        <v>Sí</v>
      </c>
    </row>
    <row r="84" spans="6:7" x14ac:dyDescent="0.35">
      <c r="F84">
        <f t="shared" si="2"/>
        <v>0</v>
      </c>
      <c r="G84" t="str">
        <f t="shared" si="3"/>
        <v>Sí</v>
      </c>
    </row>
    <row r="85" spans="6:7" x14ac:dyDescent="0.35">
      <c r="F85">
        <f t="shared" si="2"/>
        <v>0</v>
      </c>
      <c r="G85" t="str">
        <f t="shared" si="3"/>
        <v>Sí</v>
      </c>
    </row>
    <row r="86" spans="6:7" x14ac:dyDescent="0.35">
      <c r="F86">
        <f t="shared" si="2"/>
        <v>0</v>
      </c>
      <c r="G86" t="str">
        <f t="shared" si="3"/>
        <v>Sí</v>
      </c>
    </row>
    <row r="87" spans="6:7" x14ac:dyDescent="0.35">
      <c r="F87">
        <f t="shared" si="2"/>
        <v>0</v>
      </c>
      <c r="G87" t="str">
        <f t="shared" si="3"/>
        <v>Sí</v>
      </c>
    </row>
    <row r="88" spans="6:7" x14ac:dyDescent="0.35">
      <c r="F88">
        <f t="shared" si="2"/>
        <v>0</v>
      </c>
      <c r="G88" t="str">
        <f t="shared" si="3"/>
        <v>Sí</v>
      </c>
    </row>
    <row r="89" spans="6:7" x14ac:dyDescent="0.35">
      <c r="F89">
        <f t="shared" si="2"/>
        <v>0</v>
      </c>
      <c r="G89" t="str">
        <f t="shared" si="3"/>
        <v>Sí</v>
      </c>
    </row>
    <row r="90" spans="6:7" x14ac:dyDescent="0.35">
      <c r="F90">
        <f t="shared" si="2"/>
        <v>0</v>
      </c>
      <c r="G90" t="str">
        <f t="shared" si="3"/>
        <v>Sí</v>
      </c>
    </row>
    <row r="91" spans="6:7" x14ac:dyDescent="0.35">
      <c r="F91">
        <f t="shared" si="2"/>
        <v>0</v>
      </c>
      <c r="G91" t="str">
        <f t="shared" si="3"/>
        <v>Sí</v>
      </c>
    </row>
    <row r="92" spans="6:7" x14ac:dyDescent="0.35">
      <c r="F92">
        <f t="shared" si="2"/>
        <v>0</v>
      </c>
      <c r="G92" t="str">
        <f t="shared" si="3"/>
        <v>Sí</v>
      </c>
    </row>
    <row r="93" spans="6:7" x14ac:dyDescent="0.35">
      <c r="F93">
        <f t="shared" si="2"/>
        <v>0</v>
      </c>
      <c r="G93" t="str">
        <f t="shared" si="3"/>
        <v>Sí</v>
      </c>
    </row>
    <row r="94" spans="6:7" x14ac:dyDescent="0.35">
      <c r="F94">
        <f t="shared" si="2"/>
        <v>0</v>
      </c>
      <c r="G94" t="str">
        <f t="shared" si="3"/>
        <v>Sí</v>
      </c>
    </row>
    <row r="95" spans="6:7" x14ac:dyDescent="0.35">
      <c r="F95">
        <f t="shared" si="2"/>
        <v>0</v>
      </c>
      <c r="G95" t="str">
        <f t="shared" si="3"/>
        <v>Sí</v>
      </c>
    </row>
    <row r="96" spans="6:7" x14ac:dyDescent="0.35">
      <c r="F96">
        <f t="shared" si="2"/>
        <v>0</v>
      </c>
      <c r="G96" t="str">
        <f t="shared" si="3"/>
        <v>Sí</v>
      </c>
    </row>
    <row r="97" spans="6:7" x14ac:dyDescent="0.35">
      <c r="F97">
        <f t="shared" si="2"/>
        <v>0</v>
      </c>
      <c r="G97" t="str">
        <f t="shared" si="3"/>
        <v>Sí</v>
      </c>
    </row>
    <row r="98" spans="6:7" x14ac:dyDescent="0.35">
      <c r="F98">
        <f t="shared" si="2"/>
        <v>0</v>
      </c>
      <c r="G98" t="str">
        <f t="shared" si="3"/>
        <v>Sí</v>
      </c>
    </row>
    <row r="99" spans="6:7" x14ac:dyDescent="0.35">
      <c r="F99">
        <f t="shared" si="2"/>
        <v>0</v>
      </c>
      <c r="G99" t="str">
        <f t="shared" si="3"/>
        <v>Sí</v>
      </c>
    </row>
    <row r="100" spans="6:7" x14ac:dyDescent="0.35">
      <c r="F100">
        <f t="shared" si="2"/>
        <v>0</v>
      </c>
      <c r="G100" t="str">
        <f t="shared" si="3"/>
        <v>Sí</v>
      </c>
    </row>
    <row r="101" spans="6:7" x14ac:dyDescent="0.35">
      <c r="F101">
        <f t="shared" si="2"/>
        <v>0</v>
      </c>
      <c r="G101" t="str">
        <f t="shared" si="3"/>
        <v>Sí</v>
      </c>
    </row>
    <row r="102" spans="6:7" x14ac:dyDescent="0.35">
      <c r="F102">
        <f t="shared" si="2"/>
        <v>0</v>
      </c>
      <c r="G102" t="str">
        <f t="shared" si="3"/>
        <v>Sí</v>
      </c>
    </row>
    <row r="103" spans="6:7" x14ac:dyDescent="0.35">
      <c r="F103">
        <f t="shared" si="2"/>
        <v>0</v>
      </c>
      <c r="G103" t="str">
        <f t="shared" si="3"/>
        <v>Sí</v>
      </c>
    </row>
    <row r="104" spans="6:7" x14ac:dyDescent="0.35">
      <c r="F104">
        <f t="shared" si="2"/>
        <v>0</v>
      </c>
      <c r="G104" t="str">
        <f t="shared" si="3"/>
        <v>Sí</v>
      </c>
    </row>
    <row r="105" spans="6:7" x14ac:dyDescent="0.35">
      <c r="F105">
        <f t="shared" si="2"/>
        <v>0</v>
      </c>
      <c r="G105" t="str">
        <f t="shared" si="3"/>
        <v>Sí</v>
      </c>
    </row>
    <row r="106" spans="6:7" x14ac:dyDescent="0.35">
      <c r="F106">
        <f t="shared" si="2"/>
        <v>0</v>
      </c>
      <c r="G106" t="str">
        <f t="shared" si="3"/>
        <v>Sí</v>
      </c>
    </row>
    <row r="107" spans="6:7" x14ac:dyDescent="0.35">
      <c r="F107">
        <f t="shared" si="2"/>
        <v>0</v>
      </c>
      <c r="G107" t="str">
        <f t="shared" si="3"/>
        <v>Sí</v>
      </c>
    </row>
    <row r="108" spans="6:7" x14ac:dyDescent="0.35">
      <c r="F108">
        <f t="shared" si="2"/>
        <v>0</v>
      </c>
      <c r="G108" t="str">
        <f t="shared" si="3"/>
        <v>Sí</v>
      </c>
    </row>
    <row r="109" spans="6:7" x14ac:dyDescent="0.35">
      <c r="F109">
        <f t="shared" si="2"/>
        <v>0</v>
      </c>
      <c r="G109" t="str">
        <f t="shared" si="3"/>
        <v>Sí</v>
      </c>
    </row>
    <row r="110" spans="6:7" x14ac:dyDescent="0.35">
      <c r="F110">
        <f t="shared" si="2"/>
        <v>0</v>
      </c>
      <c r="G110" t="str">
        <f t="shared" si="3"/>
        <v>Sí</v>
      </c>
    </row>
    <row r="111" spans="6:7" x14ac:dyDescent="0.35">
      <c r="F111">
        <f t="shared" si="2"/>
        <v>0</v>
      </c>
      <c r="G111" t="str">
        <f t="shared" si="3"/>
        <v>Sí</v>
      </c>
    </row>
    <row r="112" spans="6:7" x14ac:dyDescent="0.35">
      <c r="F112">
        <f t="shared" si="2"/>
        <v>0</v>
      </c>
      <c r="G112" t="str">
        <f t="shared" si="3"/>
        <v>Sí</v>
      </c>
    </row>
    <row r="113" spans="6:7" x14ac:dyDescent="0.35">
      <c r="F113">
        <f t="shared" si="2"/>
        <v>0</v>
      </c>
      <c r="G113" t="str">
        <f t="shared" si="3"/>
        <v>Sí</v>
      </c>
    </row>
    <row r="114" spans="6:7" x14ac:dyDescent="0.35">
      <c r="F114">
        <f t="shared" si="2"/>
        <v>0</v>
      </c>
      <c r="G114" t="str">
        <f t="shared" si="3"/>
        <v>Sí</v>
      </c>
    </row>
    <row r="115" spans="6:7" x14ac:dyDescent="0.35">
      <c r="F115">
        <f t="shared" si="2"/>
        <v>0</v>
      </c>
      <c r="G115" t="str">
        <f t="shared" si="3"/>
        <v>Sí</v>
      </c>
    </row>
    <row r="116" spans="6:7" x14ac:dyDescent="0.35">
      <c r="F116">
        <f t="shared" si="2"/>
        <v>0</v>
      </c>
      <c r="G116" t="str">
        <f t="shared" si="3"/>
        <v>Sí</v>
      </c>
    </row>
    <row r="117" spans="6:7" x14ac:dyDescent="0.35">
      <c r="F117">
        <f t="shared" si="2"/>
        <v>0</v>
      </c>
      <c r="G117" t="str">
        <f t="shared" si="3"/>
        <v>Sí</v>
      </c>
    </row>
    <row r="118" spans="6:7" x14ac:dyDescent="0.35">
      <c r="F118">
        <f t="shared" si="2"/>
        <v>0</v>
      </c>
      <c r="G118" t="str">
        <f t="shared" si="3"/>
        <v>Sí</v>
      </c>
    </row>
    <row r="119" spans="6:7" x14ac:dyDescent="0.35">
      <c r="F119">
        <f t="shared" si="2"/>
        <v>0</v>
      </c>
      <c r="G119" t="str">
        <f t="shared" si="3"/>
        <v>Sí</v>
      </c>
    </row>
    <row r="120" spans="6:7" x14ac:dyDescent="0.35">
      <c r="F120">
        <f t="shared" si="2"/>
        <v>0</v>
      </c>
      <c r="G120" t="str">
        <f t="shared" si="3"/>
        <v>Sí</v>
      </c>
    </row>
    <row r="121" spans="6:7" x14ac:dyDescent="0.35">
      <c r="F121">
        <f t="shared" si="2"/>
        <v>0</v>
      </c>
      <c r="G121" t="str">
        <f t="shared" si="3"/>
        <v>Sí</v>
      </c>
    </row>
    <row r="122" spans="6:7" x14ac:dyDescent="0.35">
      <c r="F122">
        <f t="shared" si="2"/>
        <v>0</v>
      </c>
      <c r="G122" t="str">
        <f t="shared" si="3"/>
        <v>Sí</v>
      </c>
    </row>
    <row r="123" spans="6:7" x14ac:dyDescent="0.35">
      <c r="F123">
        <f t="shared" si="2"/>
        <v>0</v>
      </c>
      <c r="G123" t="str">
        <f t="shared" si="3"/>
        <v>Sí</v>
      </c>
    </row>
    <row r="124" spans="6:7" x14ac:dyDescent="0.35">
      <c r="F124">
        <f t="shared" si="2"/>
        <v>0</v>
      </c>
      <c r="G124" t="str">
        <f t="shared" si="3"/>
        <v>Sí</v>
      </c>
    </row>
    <row r="125" spans="6:7" x14ac:dyDescent="0.35">
      <c r="F125">
        <f t="shared" si="2"/>
        <v>0</v>
      </c>
      <c r="G125" t="str">
        <f t="shared" si="3"/>
        <v>Sí</v>
      </c>
    </row>
    <row r="126" spans="6:7" x14ac:dyDescent="0.35">
      <c r="F126">
        <f t="shared" si="2"/>
        <v>0</v>
      </c>
      <c r="G126" t="str">
        <f t="shared" si="3"/>
        <v>Sí</v>
      </c>
    </row>
    <row r="127" spans="6:7" x14ac:dyDescent="0.35">
      <c r="F127">
        <f t="shared" si="2"/>
        <v>0</v>
      </c>
      <c r="G127" t="str">
        <f t="shared" si="3"/>
        <v>Sí</v>
      </c>
    </row>
    <row r="128" spans="6:7" x14ac:dyDescent="0.35">
      <c r="F128">
        <f t="shared" si="2"/>
        <v>0</v>
      </c>
      <c r="G128" t="str">
        <f t="shared" si="3"/>
        <v>Sí</v>
      </c>
    </row>
    <row r="129" spans="6:7" x14ac:dyDescent="0.35">
      <c r="F129">
        <f t="shared" si="2"/>
        <v>0</v>
      </c>
      <c r="G129" t="str">
        <f t="shared" si="3"/>
        <v>Sí</v>
      </c>
    </row>
    <row r="130" spans="6:7" x14ac:dyDescent="0.35">
      <c r="F130">
        <f t="shared" ref="F130:F193" si="4">IFERROR((E130-D130)/D130,0)</f>
        <v>0</v>
      </c>
      <c r="G130" t="str">
        <f t="shared" ref="G130:G193" si="5">IF(ABS(F130)&lt;=0.1,"Sí","No")</f>
        <v>Sí</v>
      </c>
    </row>
    <row r="131" spans="6:7" x14ac:dyDescent="0.35">
      <c r="F131">
        <f t="shared" si="4"/>
        <v>0</v>
      </c>
      <c r="G131" t="str">
        <f t="shared" si="5"/>
        <v>Sí</v>
      </c>
    </row>
    <row r="132" spans="6:7" x14ac:dyDescent="0.35">
      <c r="F132">
        <f t="shared" si="4"/>
        <v>0</v>
      </c>
      <c r="G132" t="str">
        <f t="shared" si="5"/>
        <v>Sí</v>
      </c>
    </row>
    <row r="133" spans="6:7" x14ac:dyDescent="0.35">
      <c r="F133">
        <f t="shared" si="4"/>
        <v>0</v>
      </c>
      <c r="G133" t="str">
        <f t="shared" si="5"/>
        <v>Sí</v>
      </c>
    </row>
    <row r="134" spans="6:7" x14ac:dyDescent="0.35">
      <c r="F134">
        <f t="shared" si="4"/>
        <v>0</v>
      </c>
      <c r="G134" t="str">
        <f t="shared" si="5"/>
        <v>Sí</v>
      </c>
    </row>
    <row r="135" spans="6:7" x14ac:dyDescent="0.35">
      <c r="F135">
        <f t="shared" si="4"/>
        <v>0</v>
      </c>
      <c r="G135" t="str">
        <f t="shared" si="5"/>
        <v>Sí</v>
      </c>
    </row>
    <row r="136" spans="6:7" x14ac:dyDescent="0.35">
      <c r="F136">
        <f t="shared" si="4"/>
        <v>0</v>
      </c>
      <c r="G136" t="str">
        <f t="shared" si="5"/>
        <v>Sí</v>
      </c>
    </row>
    <row r="137" spans="6:7" x14ac:dyDescent="0.35">
      <c r="F137">
        <f t="shared" si="4"/>
        <v>0</v>
      </c>
      <c r="G137" t="str">
        <f t="shared" si="5"/>
        <v>Sí</v>
      </c>
    </row>
    <row r="138" spans="6:7" x14ac:dyDescent="0.35">
      <c r="F138">
        <f t="shared" si="4"/>
        <v>0</v>
      </c>
      <c r="G138" t="str">
        <f t="shared" si="5"/>
        <v>Sí</v>
      </c>
    </row>
    <row r="139" spans="6:7" x14ac:dyDescent="0.35">
      <c r="F139">
        <f t="shared" si="4"/>
        <v>0</v>
      </c>
      <c r="G139" t="str">
        <f t="shared" si="5"/>
        <v>Sí</v>
      </c>
    </row>
    <row r="140" spans="6:7" x14ac:dyDescent="0.35">
      <c r="F140">
        <f t="shared" si="4"/>
        <v>0</v>
      </c>
      <c r="G140" t="str">
        <f t="shared" si="5"/>
        <v>Sí</v>
      </c>
    </row>
    <row r="141" spans="6:7" x14ac:dyDescent="0.35">
      <c r="F141">
        <f t="shared" si="4"/>
        <v>0</v>
      </c>
      <c r="G141" t="str">
        <f t="shared" si="5"/>
        <v>Sí</v>
      </c>
    </row>
    <row r="142" spans="6:7" x14ac:dyDescent="0.35">
      <c r="F142">
        <f t="shared" si="4"/>
        <v>0</v>
      </c>
      <c r="G142" t="str">
        <f t="shared" si="5"/>
        <v>Sí</v>
      </c>
    </row>
    <row r="143" spans="6:7" x14ac:dyDescent="0.35">
      <c r="F143">
        <f t="shared" si="4"/>
        <v>0</v>
      </c>
      <c r="G143" t="str">
        <f t="shared" si="5"/>
        <v>Sí</v>
      </c>
    </row>
    <row r="144" spans="6:7" x14ac:dyDescent="0.35">
      <c r="F144">
        <f t="shared" si="4"/>
        <v>0</v>
      </c>
      <c r="G144" t="str">
        <f t="shared" si="5"/>
        <v>Sí</v>
      </c>
    </row>
    <row r="145" spans="6:7" x14ac:dyDescent="0.35">
      <c r="F145">
        <f t="shared" si="4"/>
        <v>0</v>
      </c>
      <c r="G145" t="str">
        <f t="shared" si="5"/>
        <v>Sí</v>
      </c>
    </row>
    <row r="146" spans="6:7" x14ac:dyDescent="0.35">
      <c r="F146">
        <f t="shared" si="4"/>
        <v>0</v>
      </c>
      <c r="G146" t="str">
        <f t="shared" si="5"/>
        <v>Sí</v>
      </c>
    </row>
    <row r="147" spans="6:7" x14ac:dyDescent="0.35">
      <c r="F147">
        <f t="shared" si="4"/>
        <v>0</v>
      </c>
      <c r="G147" t="str">
        <f t="shared" si="5"/>
        <v>Sí</v>
      </c>
    </row>
    <row r="148" spans="6:7" x14ac:dyDescent="0.35">
      <c r="F148">
        <f t="shared" si="4"/>
        <v>0</v>
      </c>
      <c r="G148" t="str">
        <f t="shared" si="5"/>
        <v>Sí</v>
      </c>
    </row>
    <row r="149" spans="6:7" x14ac:dyDescent="0.35">
      <c r="F149">
        <f t="shared" si="4"/>
        <v>0</v>
      </c>
      <c r="G149" t="str">
        <f t="shared" si="5"/>
        <v>Sí</v>
      </c>
    </row>
    <row r="150" spans="6:7" x14ac:dyDescent="0.35">
      <c r="F150">
        <f t="shared" si="4"/>
        <v>0</v>
      </c>
      <c r="G150" t="str">
        <f t="shared" si="5"/>
        <v>Sí</v>
      </c>
    </row>
    <row r="151" spans="6:7" x14ac:dyDescent="0.35">
      <c r="F151">
        <f t="shared" si="4"/>
        <v>0</v>
      </c>
      <c r="G151" t="str">
        <f t="shared" si="5"/>
        <v>Sí</v>
      </c>
    </row>
    <row r="152" spans="6:7" x14ac:dyDescent="0.35">
      <c r="F152">
        <f t="shared" si="4"/>
        <v>0</v>
      </c>
      <c r="G152" t="str">
        <f t="shared" si="5"/>
        <v>Sí</v>
      </c>
    </row>
    <row r="153" spans="6:7" x14ac:dyDescent="0.35">
      <c r="F153">
        <f t="shared" si="4"/>
        <v>0</v>
      </c>
      <c r="G153" t="str">
        <f t="shared" si="5"/>
        <v>Sí</v>
      </c>
    </row>
    <row r="154" spans="6:7" x14ac:dyDescent="0.35">
      <c r="F154">
        <f t="shared" si="4"/>
        <v>0</v>
      </c>
      <c r="G154" t="str">
        <f t="shared" si="5"/>
        <v>Sí</v>
      </c>
    </row>
    <row r="155" spans="6:7" x14ac:dyDescent="0.35">
      <c r="F155">
        <f t="shared" si="4"/>
        <v>0</v>
      </c>
      <c r="G155" t="str">
        <f t="shared" si="5"/>
        <v>Sí</v>
      </c>
    </row>
    <row r="156" spans="6:7" x14ac:dyDescent="0.35">
      <c r="F156">
        <f t="shared" si="4"/>
        <v>0</v>
      </c>
      <c r="G156" t="str">
        <f t="shared" si="5"/>
        <v>Sí</v>
      </c>
    </row>
    <row r="157" spans="6:7" x14ac:dyDescent="0.35">
      <c r="F157">
        <f t="shared" si="4"/>
        <v>0</v>
      </c>
      <c r="G157" t="str">
        <f t="shared" si="5"/>
        <v>Sí</v>
      </c>
    </row>
    <row r="158" spans="6:7" x14ac:dyDescent="0.35">
      <c r="F158">
        <f t="shared" si="4"/>
        <v>0</v>
      </c>
      <c r="G158" t="str">
        <f t="shared" si="5"/>
        <v>Sí</v>
      </c>
    </row>
    <row r="159" spans="6:7" x14ac:dyDescent="0.35">
      <c r="F159">
        <f t="shared" si="4"/>
        <v>0</v>
      </c>
      <c r="G159" t="str">
        <f t="shared" si="5"/>
        <v>Sí</v>
      </c>
    </row>
    <row r="160" spans="6:7" x14ac:dyDescent="0.35">
      <c r="F160">
        <f t="shared" si="4"/>
        <v>0</v>
      </c>
      <c r="G160" t="str">
        <f t="shared" si="5"/>
        <v>Sí</v>
      </c>
    </row>
    <row r="161" spans="6:7" x14ac:dyDescent="0.35">
      <c r="F161">
        <f t="shared" si="4"/>
        <v>0</v>
      </c>
      <c r="G161" t="str">
        <f t="shared" si="5"/>
        <v>Sí</v>
      </c>
    </row>
    <row r="162" spans="6:7" x14ac:dyDescent="0.35">
      <c r="F162">
        <f t="shared" si="4"/>
        <v>0</v>
      </c>
      <c r="G162" t="str">
        <f t="shared" si="5"/>
        <v>Sí</v>
      </c>
    </row>
    <row r="163" spans="6:7" x14ac:dyDescent="0.35">
      <c r="F163">
        <f t="shared" si="4"/>
        <v>0</v>
      </c>
      <c r="G163" t="str">
        <f t="shared" si="5"/>
        <v>Sí</v>
      </c>
    </row>
    <row r="164" spans="6:7" x14ac:dyDescent="0.35">
      <c r="F164">
        <f t="shared" si="4"/>
        <v>0</v>
      </c>
      <c r="G164" t="str">
        <f t="shared" si="5"/>
        <v>Sí</v>
      </c>
    </row>
    <row r="165" spans="6:7" x14ac:dyDescent="0.35">
      <c r="F165">
        <f t="shared" si="4"/>
        <v>0</v>
      </c>
      <c r="G165" t="str">
        <f t="shared" si="5"/>
        <v>Sí</v>
      </c>
    </row>
    <row r="166" spans="6:7" x14ac:dyDescent="0.35">
      <c r="F166">
        <f t="shared" si="4"/>
        <v>0</v>
      </c>
      <c r="G166" t="str">
        <f t="shared" si="5"/>
        <v>Sí</v>
      </c>
    </row>
    <row r="167" spans="6:7" x14ac:dyDescent="0.35">
      <c r="F167">
        <f t="shared" si="4"/>
        <v>0</v>
      </c>
      <c r="G167" t="str">
        <f t="shared" si="5"/>
        <v>Sí</v>
      </c>
    </row>
    <row r="168" spans="6:7" x14ac:dyDescent="0.35">
      <c r="F168">
        <f t="shared" si="4"/>
        <v>0</v>
      </c>
      <c r="G168" t="str">
        <f t="shared" si="5"/>
        <v>Sí</v>
      </c>
    </row>
    <row r="169" spans="6:7" x14ac:dyDescent="0.35">
      <c r="F169">
        <f t="shared" si="4"/>
        <v>0</v>
      </c>
      <c r="G169" t="str">
        <f t="shared" si="5"/>
        <v>Sí</v>
      </c>
    </row>
    <row r="170" spans="6:7" x14ac:dyDescent="0.35">
      <c r="F170">
        <f t="shared" si="4"/>
        <v>0</v>
      </c>
      <c r="G170" t="str">
        <f t="shared" si="5"/>
        <v>Sí</v>
      </c>
    </row>
    <row r="171" spans="6:7" x14ac:dyDescent="0.35">
      <c r="F171">
        <f t="shared" si="4"/>
        <v>0</v>
      </c>
      <c r="G171" t="str">
        <f t="shared" si="5"/>
        <v>Sí</v>
      </c>
    </row>
    <row r="172" spans="6:7" x14ac:dyDescent="0.35">
      <c r="F172">
        <f t="shared" si="4"/>
        <v>0</v>
      </c>
      <c r="G172" t="str">
        <f t="shared" si="5"/>
        <v>Sí</v>
      </c>
    </row>
    <row r="173" spans="6:7" x14ac:dyDescent="0.35">
      <c r="F173">
        <f t="shared" si="4"/>
        <v>0</v>
      </c>
      <c r="G173" t="str">
        <f t="shared" si="5"/>
        <v>Sí</v>
      </c>
    </row>
    <row r="174" spans="6:7" x14ac:dyDescent="0.35">
      <c r="F174">
        <f t="shared" si="4"/>
        <v>0</v>
      </c>
      <c r="G174" t="str">
        <f t="shared" si="5"/>
        <v>Sí</v>
      </c>
    </row>
    <row r="175" spans="6:7" x14ac:dyDescent="0.35">
      <c r="F175">
        <f t="shared" si="4"/>
        <v>0</v>
      </c>
      <c r="G175" t="str">
        <f t="shared" si="5"/>
        <v>Sí</v>
      </c>
    </row>
    <row r="176" spans="6:7" x14ac:dyDescent="0.35">
      <c r="F176">
        <f t="shared" si="4"/>
        <v>0</v>
      </c>
      <c r="G176" t="str">
        <f t="shared" si="5"/>
        <v>Sí</v>
      </c>
    </row>
    <row r="177" spans="6:7" x14ac:dyDescent="0.35">
      <c r="F177">
        <f t="shared" si="4"/>
        <v>0</v>
      </c>
      <c r="G177" t="str">
        <f t="shared" si="5"/>
        <v>Sí</v>
      </c>
    </row>
    <row r="178" spans="6:7" x14ac:dyDescent="0.35">
      <c r="F178">
        <f t="shared" si="4"/>
        <v>0</v>
      </c>
      <c r="G178" t="str">
        <f t="shared" si="5"/>
        <v>Sí</v>
      </c>
    </row>
    <row r="179" spans="6:7" x14ac:dyDescent="0.35">
      <c r="F179">
        <f t="shared" si="4"/>
        <v>0</v>
      </c>
      <c r="G179" t="str">
        <f t="shared" si="5"/>
        <v>Sí</v>
      </c>
    </row>
    <row r="180" spans="6:7" x14ac:dyDescent="0.35">
      <c r="F180">
        <f t="shared" si="4"/>
        <v>0</v>
      </c>
      <c r="G180" t="str">
        <f t="shared" si="5"/>
        <v>Sí</v>
      </c>
    </row>
    <row r="181" spans="6:7" x14ac:dyDescent="0.35">
      <c r="F181">
        <f t="shared" si="4"/>
        <v>0</v>
      </c>
      <c r="G181" t="str">
        <f t="shared" si="5"/>
        <v>Sí</v>
      </c>
    </row>
    <row r="182" spans="6:7" x14ac:dyDescent="0.35">
      <c r="F182">
        <f t="shared" si="4"/>
        <v>0</v>
      </c>
      <c r="G182" t="str">
        <f t="shared" si="5"/>
        <v>Sí</v>
      </c>
    </row>
    <row r="183" spans="6:7" x14ac:dyDescent="0.35">
      <c r="F183">
        <f t="shared" si="4"/>
        <v>0</v>
      </c>
      <c r="G183" t="str">
        <f t="shared" si="5"/>
        <v>Sí</v>
      </c>
    </row>
    <row r="184" spans="6:7" x14ac:dyDescent="0.35">
      <c r="F184">
        <f t="shared" si="4"/>
        <v>0</v>
      </c>
      <c r="G184" t="str">
        <f t="shared" si="5"/>
        <v>Sí</v>
      </c>
    </row>
    <row r="185" spans="6:7" x14ac:dyDescent="0.35">
      <c r="F185">
        <f t="shared" si="4"/>
        <v>0</v>
      </c>
      <c r="G185" t="str">
        <f t="shared" si="5"/>
        <v>Sí</v>
      </c>
    </row>
    <row r="186" spans="6:7" x14ac:dyDescent="0.35">
      <c r="F186">
        <f t="shared" si="4"/>
        <v>0</v>
      </c>
      <c r="G186" t="str">
        <f t="shared" si="5"/>
        <v>Sí</v>
      </c>
    </row>
    <row r="187" spans="6:7" x14ac:dyDescent="0.35">
      <c r="F187">
        <f t="shared" si="4"/>
        <v>0</v>
      </c>
      <c r="G187" t="str">
        <f t="shared" si="5"/>
        <v>Sí</v>
      </c>
    </row>
    <row r="188" spans="6:7" x14ac:dyDescent="0.35">
      <c r="F188">
        <f t="shared" si="4"/>
        <v>0</v>
      </c>
      <c r="G188" t="str">
        <f t="shared" si="5"/>
        <v>Sí</v>
      </c>
    </row>
    <row r="189" spans="6:7" x14ac:dyDescent="0.35">
      <c r="F189">
        <f t="shared" si="4"/>
        <v>0</v>
      </c>
      <c r="G189" t="str">
        <f t="shared" si="5"/>
        <v>Sí</v>
      </c>
    </row>
    <row r="190" spans="6:7" x14ac:dyDescent="0.35">
      <c r="F190">
        <f t="shared" si="4"/>
        <v>0</v>
      </c>
      <c r="G190" t="str">
        <f t="shared" si="5"/>
        <v>Sí</v>
      </c>
    </row>
    <row r="191" spans="6:7" x14ac:dyDescent="0.35">
      <c r="F191">
        <f t="shared" si="4"/>
        <v>0</v>
      </c>
      <c r="G191" t="str">
        <f t="shared" si="5"/>
        <v>Sí</v>
      </c>
    </row>
    <row r="192" spans="6:7" x14ac:dyDescent="0.35">
      <c r="F192">
        <f t="shared" si="4"/>
        <v>0</v>
      </c>
      <c r="G192" t="str">
        <f t="shared" si="5"/>
        <v>Sí</v>
      </c>
    </row>
    <row r="193" spans="6:7" x14ac:dyDescent="0.35">
      <c r="F193">
        <f t="shared" si="4"/>
        <v>0</v>
      </c>
      <c r="G193" t="str">
        <f t="shared" si="5"/>
        <v>Sí</v>
      </c>
    </row>
    <row r="194" spans="6:7" x14ac:dyDescent="0.35">
      <c r="F194">
        <f t="shared" ref="F194:F257" si="6">IFERROR((E194-D194)/D194,0)</f>
        <v>0</v>
      </c>
      <c r="G194" t="str">
        <f t="shared" ref="G194:G257" si="7">IF(ABS(F194)&lt;=0.1,"Sí","No")</f>
        <v>Sí</v>
      </c>
    </row>
    <row r="195" spans="6:7" x14ac:dyDescent="0.35">
      <c r="F195">
        <f t="shared" si="6"/>
        <v>0</v>
      </c>
      <c r="G195" t="str">
        <f t="shared" si="7"/>
        <v>Sí</v>
      </c>
    </row>
    <row r="196" spans="6:7" x14ac:dyDescent="0.35">
      <c r="F196">
        <f t="shared" si="6"/>
        <v>0</v>
      </c>
      <c r="G196" t="str">
        <f t="shared" si="7"/>
        <v>Sí</v>
      </c>
    </row>
    <row r="197" spans="6:7" x14ac:dyDescent="0.35">
      <c r="F197">
        <f t="shared" si="6"/>
        <v>0</v>
      </c>
      <c r="G197" t="str">
        <f t="shared" si="7"/>
        <v>Sí</v>
      </c>
    </row>
    <row r="198" spans="6:7" x14ac:dyDescent="0.35">
      <c r="F198">
        <f t="shared" si="6"/>
        <v>0</v>
      </c>
      <c r="G198" t="str">
        <f t="shared" si="7"/>
        <v>Sí</v>
      </c>
    </row>
    <row r="199" spans="6:7" x14ac:dyDescent="0.35">
      <c r="F199">
        <f t="shared" si="6"/>
        <v>0</v>
      </c>
      <c r="G199" t="str">
        <f t="shared" si="7"/>
        <v>Sí</v>
      </c>
    </row>
    <row r="200" spans="6:7" x14ac:dyDescent="0.35">
      <c r="F200">
        <f t="shared" si="6"/>
        <v>0</v>
      </c>
      <c r="G200" t="str">
        <f t="shared" si="7"/>
        <v>Sí</v>
      </c>
    </row>
    <row r="201" spans="6:7" x14ac:dyDescent="0.35">
      <c r="F201">
        <f t="shared" si="6"/>
        <v>0</v>
      </c>
      <c r="G201" t="str">
        <f t="shared" si="7"/>
        <v>Sí</v>
      </c>
    </row>
    <row r="202" spans="6:7" x14ac:dyDescent="0.35">
      <c r="F202">
        <f t="shared" si="6"/>
        <v>0</v>
      </c>
      <c r="G202" t="str">
        <f t="shared" si="7"/>
        <v>Sí</v>
      </c>
    </row>
    <row r="203" spans="6:7" x14ac:dyDescent="0.35">
      <c r="F203">
        <f t="shared" si="6"/>
        <v>0</v>
      </c>
      <c r="G203" t="str">
        <f t="shared" si="7"/>
        <v>Sí</v>
      </c>
    </row>
    <row r="204" spans="6:7" x14ac:dyDescent="0.35">
      <c r="F204">
        <f t="shared" si="6"/>
        <v>0</v>
      </c>
      <c r="G204" t="str">
        <f t="shared" si="7"/>
        <v>Sí</v>
      </c>
    </row>
    <row r="205" spans="6:7" x14ac:dyDescent="0.35">
      <c r="F205">
        <f t="shared" si="6"/>
        <v>0</v>
      </c>
      <c r="G205" t="str">
        <f t="shared" si="7"/>
        <v>Sí</v>
      </c>
    </row>
    <row r="206" spans="6:7" x14ac:dyDescent="0.35">
      <c r="F206">
        <f t="shared" si="6"/>
        <v>0</v>
      </c>
      <c r="G206" t="str">
        <f t="shared" si="7"/>
        <v>Sí</v>
      </c>
    </row>
    <row r="207" spans="6:7" x14ac:dyDescent="0.35">
      <c r="F207">
        <f t="shared" si="6"/>
        <v>0</v>
      </c>
      <c r="G207" t="str">
        <f t="shared" si="7"/>
        <v>Sí</v>
      </c>
    </row>
    <row r="208" spans="6:7" x14ac:dyDescent="0.35">
      <c r="F208">
        <f t="shared" si="6"/>
        <v>0</v>
      </c>
      <c r="G208" t="str">
        <f t="shared" si="7"/>
        <v>Sí</v>
      </c>
    </row>
    <row r="209" spans="6:7" x14ac:dyDescent="0.35">
      <c r="F209">
        <f t="shared" si="6"/>
        <v>0</v>
      </c>
      <c r="G209" t="str">
        <f t="shared" si="7"/>
        <v>Sí</v>
      </c>
    </row>
    <row r="210" spans="6:7" x14ac:dyDescent="0.35">
      <c r="F210">
        <f t="shared" si="6"/>
        <v>0</v>
      </c>
      <c r="G210" t="str">
        <f t="shared" si="7"/>
        <v>Sí</v>
      </c>
    </row>
    <row r="211" spans="6:7" x14ac:dyDescent="0.35">
      <c r="F211">
        <f t="shared" si="6"/>
        <v>0</v>
      </c>
      <c r="G211" t="str">
        <f t="shared" si="7"/>
        <v>Sí</v>
      </c>
    </row>
    <row r="212" spans="6:7" x14ac:dyDescent="0.35">
      <c r="F212">
        <f t="shared" si="6"/>
        <v>0</v>
      </c>
      <c r="G212" t="str">
        <f t="shared" si="7"/>
        <v>Sí</v>
      </c>
    </row>
    <row r="213" spans="6:7" x14ac:dyDescent="0.35">
      <c r="F213">
        <f t="shared" si="6"/>
        <v>0</v>
      </c>
      <c r="G213" t="str">
        <f t="shared" si="7"/>
        <v>Sí</v>
      </c>
    </row>
    <row r="214" spans="6:7" x14ac:dyDescent="0.35">
      <c r="F214">
        <f t="shared" si="6"/>
        <v>0</v>
      </c>
      <c r="G214" t="str">
        <f t="shared" si="7"/>
        <v>Sí</v>
      </c>
    </row>
    <row r="215" spans="6:7" x14ac:dyDescent="0.35">
      <c r="F215">
        <f t="shared" si="6"/>
        <v>0</v>
      </c>
      <c r="G215" t="str">
        <f t="shared" si="7"/>
        <v>Sí</v>
      </c>
    </row>
    <row r="216" spans="6:7" x14ac:dyDescent="0.35">
      <c r="F216">
        <f t="shared" si="6"/>
        <v>0</v>
      </c>
      <c r="G216" t="str">
        <f t="shared" si="7"/>
        <v>Sí</v>
      </c>
    </row>
    <row r="217" spans="6:7" x14ac:dyDescent="0.35">
      <c r="F217">
        <f t="shared" si="6"/>
        <v>0</v>
      </c>
      <c r="G217" t="str">
        <f t="shared" si="7"/>
        <v>Sí</v>
      </c>
    </row>
    <row r="218" spans="6:7" x14ac:dyDescent="0.35">
      <c r="F218">
        <f t="shared" si="6"/>
        <v>0</v>
      </c>
      <c r="G218" t="str">
        <f t="shared" si="7"/>
        <v>Sí</v>
      </c>
    </row>
    <row r="219" spans="6:7" x14ac:dyDescent="0.35">
      <c r="F219">
        <f t="shared" si="6"/>
        <v>0</v>
      </c>
      <c r="G219" t="str">
        <f t="shared" si="7"/>
        <v>Sí</v>
      </c>
    </row>
    <row r="220" spans="6:7" x14ac:dyDescent="0.35">
      <c r="F220">
        <f t="shared" si="6"/>
        <v>0</v>
      </c>
      <c r="G220" t="str">
        <f t="shared" si="7"/>
        <v>Sí</v>
      </c>
    </row>
    <row r="221" spans="6:7" x14ac:dyDescent="0.35">
      <c r="F221">
        <f t="shared" si="6"/>
        <v>0</v>
      </c>
      <c r="G221" t="str">
        <f t="shared" si="7"/>
        <v>Sí</v>
      </c>
    </row>
    <row r="222" spans="6:7" x14ac:dyDescent="0.35">
      <c r="F222">
        <f t="shared" si="6"/>
        <v>0</v>
      </c>
      <c r="G222" t="str">
        <f t="shared" si="7"/>
        <v>Sí</v>
      </c>
    </row>
    <row r="223" spans="6:7" x14ac:dyDescent="0.35">
      <c r="F223">
        <f t="shared" si="6"/>
        <v>0</v>
      </c>
      <c r="G223" t="str">
        <f t="shared" si="7"/>
        <v>Sí</v>
      </c>
    </row>
    <row r="224" spans="6:7" x14ac:dyDescent="0.35">
      <c r="F224">
        <f t="shared" si="6"/>
        <v>0</v>
      </c>
      <c r="G224" t="str">
        <f t="shared" si="7"/>
        <v>Sí</v>
      </c>
    </row>
    <row r="225" spans="6:7" x14ac:dyDescent="0.35">
      <c r="F225">
        <f t="shared" si="6"/>
        <v>0</v>
      </c>
      <c r="G225" t="str">
        <f t="shared" si="7"/>
        <v>Sí</v>
      </c>
    </row>
    <row r="226" spans="6:7" x14ac:dyDescent="0.35">
      <c r="F226">
        <f t="shared" si="6"/>
        <v>0</v>
      </c>
      <c r="G226" t="str">
        <f t="shared" si="7"/>
        <v>Sí</v>
      </c>
    </row>
    <row r="227" spans="6:7" x14ac:dyDescent="0.35">
      <c r="F227">
        <f t="shared" si="6"/>
        <v>0</v>
      </c>
      <c r="G227" t="str">
        <f t="shared" si="7"/>
        <v>Sí</v>
      </c>
    </row>
    <row r="228" spans="6:7" x14ac:dyDescent="0.35">
      <c r="F228">
        <f t="shared" si="6"/>
        <v>0</v>
      </c>
      <c r="G228" t="str">
        <f t="shared" si="7"/>
        <v>Sí</v>
      </c>
    </row>
    <row r="229" spans="6:7" x14ac:dyDescent="0.35">
      <c r="F229">
        <f t="shared" si="6"/>
        <v>0</v>
      </c>
      <c r="G229" t="str">
        <f t="shared" si="7"/>
        <v>Sí</v>
      </c>
    </row>
    <row r="230" spans="6:7" x14ac:dyDescent="0.35">
      <c r="F230">
        <f t="shared" si="6"/>
        <v>0</v>
      </c>
      <c r="G230" t="str">
        <f t="shared" si="7"/>
        <v>Sí</v>
      </c>
    </row>
    <row r="231" spans="6:7" x14ac:dyDescent="0.35">
      <c r="F231">
        <f t="shared" si="6"/>
        <v>0</v>
      </c>
      <c r="G231" t="str">
        <f t="shared" si="7"/>
        <v>Sí</v>
      </c>
    </row>
    <row r="232" spans="6:7" x14ac:dyDescent="0.35">
      <c r="F232">
        <f t="shared" si="6"/>
        <v>0</v>
      </c>
      <c r="G232" t="str">
        <f t="shared" si="7"/>
        <v>Sí</v>
      </c>
    </row>
    <row r="233" spans="6:7" x14ac:dyDescent="0.35">
      <c r="F233">
        <f t="shared" si="6"/>
        <v>0</v>
      </c>
      <c r="G233" t="str">
        <f t="shared" si="7"/>
        <v>Sí</v>
      </c>
    </row>
    <row r="234" spans="6:7" x14ac:dyDescent="0.35">
      <c r="F234">
        <f t="shared" si="6"/>
        <v>0</v>
      </c>
      <c r="G234" t="str">
        <f t="shared" si="7"/>
        <v>Sí</v>
      </c>
    </row>
    <row r="235" spans="6:7" x14ac:dyDescent="0.35">
      <c r="F235">
        <f t="shared" si="6"/>
        <v>0</v>
      </c>
      <c r="G235" t="str">
        <f t="shared" si="7"/>
        <v>Sí</v>
      </c>
    </row>
    <row r="236" spans="6:7" x14ac:dyDescent="0.35">
      <c r="F236">
        <f t="shared" si="6"/>
        <v>0</v>
      </c>
      <c r="G236" t="str">
        <f t="shared" si="7"/>
        <v>Sí</v>
      </c>
    </row>
    <row r="237" spans="6:7" x14ac:dyDescent="0.35">
      <c r="F237">
        <f t="shared" si="6"/>
        <v>0</v>
      </c>
      <c r="G237" t="str">
        <f t="shared" si="7"/>
        <v>Sí</v>
      </c>
    </row>
    <row r="238" spans="6:7" x14ac:dyDescent="0.35">
      <c r="F238">
        <f t="shared" si="6"/>
        <v>0</v>
      </c>
      <c r="G238" t="str">
        <f t="shared" si="7"/>
        <v>Sí</v>
      </c>
    </row>
    <row r="239" spans="6:7" x14ac:dyDescent="0.35">
      <c r="F239">
        <f t="shared" si="6"/>
        <v>0</v>
      </c>
      <c r="G239" t="str">
        <f t="shared" si="7"/>
        <v>Sí</v>
      </c>
    </row>
    <row r="240" spans="6:7" x14ac:dyDescent="0.35">
      <c r="F240">
        <f t="shared" si="6"/>
        <v>0</v>
      </c>
      <c r="G240" t="str">
        <f t="shared" si="7"/>
        <v>Sí</v>
      </c>
    </row>
    <row r="241" spans="6:7" x14ac:dyDescent="0.35">
      <c r="F241">
        <f t="shared" si="6"/>
        <v>0</v>
      </c>
      <c r="G241" t="str">
        <f t="shared" si="7"/>
        <v>Sí</v>
      </c>
    </row>
    <row r="242" spans="6:7" x14ac:dyDescent="0.35">
      <c r="F242">
        <f t="shared" si="6"/>
        <v>0</v>
      </c>
      <c r="G242" t="str">
        <f t="shared" si="7"/>
        <v>Sí</v>
      </c>
    </row>
    <row r="243" spans="6:7" x14ac:dyDescent="0.35">
      <c r="F243">
        <f t="shared" si="6"/>
        <v>0</v>
      </c>
      <c r="G243" t="str">
        <f t="shared" si="7"/>
        <v>Sí</v>
      </c>
    </row>
    <row r="244" spans="6:7" x14ac:dyDescent="0.35">
      <c r="F244">
        <f t="shared" si="6"/>
        <v>0</v>
      </c>
      <c r="G244" t="str">
        <f t="shared" si="7"/>
        <v>Sí</v>
      </c>
    </row>
    <row r="245" spans="6:7" x14ac:dyDescent="0.35">
      <c r="F245">
        <f t="shared" si="6"/>
        <v>0</v>
      </c>
      <c r="G245" t="str">
        <f t="shared" si="7"/>
        <v>Sí</v>
      </c>
    </row>
    <row r="246" spans="6:7" x14ac:dyDescent="0.35">
      <c r="F246">
        <f t="shared" si="6"/>
        <v>0</v>
      </c>
      <c r="G246" t="str">
        <f t="shared" si="7"/>
        <v>Sí</v>
      </c>
    </row>
    <row r="247" spans="6:7" x14ac:dyDescent="0.35">
      <c r="F247">
        <f t="shared" si="6"/>
        <v>0</v>
      </c>
      <c r="G247" t="str">
        <f t="shared" si="7"/>
        <v>Sí</v>
      </c>
    </row>
    <row r="248" spans="6:7" x14ac:dyDescent="0.35">
      <c r="F248">
        <f t="shared" si="6"/>
        <v>0</v>
      </c>
      <c r="G248" t="str">
        <f t="shared" si="7"/>
        <v>Sí</v>
      </c>
    </row>
    <row r="249" spans="6:7" x14ac:dyDescent="0.35">
      <c r="F249">
        <f t="shared" si="6"/>
        <v>0</v>
      </c>
      <c r="G249" t="str">
        <f t="shared" si="7"/>
        <v>Sí</v>
      </c>
    </row>
    <row r="250" spans="6:7" x14ac:dyDescent="0.35">
      <c r="F250">
        <f t="shared" si="6"/>
        <v>0</v>
      </c>
      <c r="G250" t="str">
        <f t="shared" si="7"/>
        <v>Sí</v>
      </c>
    </row>
    <row r="251" spans="6:7" x14ac:dyDescent="0.35">
      <c r="F251">
        <f t="shared" si="6"/>
        <v>0</v>
      </c>
      <c r="G251" t="str">
        <f t="shared" si="7"/>
        <v>Sí</v>
      </c>
    </row>
    <row r="252" spans="6:7" x14ac:dyDescent="0.35">
      <c r="F252">
        <f t="shared" si="6"/>
        <v>0</v>
      </c>
      <c r="G252" t="str">
        <f t="shared" si="7"/>
        <v>Sí</v>
      </c>
    </row>
    <row r="253" spans="6:7" x14ac:dyDescent="0.35">
      <c r="F253">
        <f t="shared" si="6"/>
        <v>0</v>
      </c>
      <c r="G253" t="str">
        <f t="shared" si="7"/>
        <v>Sí</v>
      </c>
    </row>
    <row r="254" spans="6:7" x14ac:dyDescent="0.35">
      <c r="F254">
        <f t="shared" si="6"/>
        <v>0</v>
      </c>
      <c r="G254" t="str">
        <f t="shared" si="7"/>
        <v>Sí</v>
      </c>
    </row>
    <row r="255" spans="6:7" x14ac:dyDescent="0.35">
      <c r="F255">
        <f t="shared" si="6"/>
        <v>0</v>
      </c>
      <c r="G255" t="str">
        <f t="shared" si="7"/>
        <v>Sí</v>
      </c>
    </row>
    <row r="256" spans="6:7" x14ac:dyDescent="0.35">
      <c r="F256">
        <f t="shared" si="6"/>
        <v>0</v>
      </c>
      <c r="G256" t="str">
        <f t="shared" si="7"/>
        <v>Sí</v>
      </c>
    </row>
    <row r="257" spans="6:7" x14ac:dyDescent="0.35">
      <c r="F257">
        <f t="shared" si="6"/>
        <v>0</v>
      </c>
      <c r="G257" t="str">
        <f t="shared" si="7"/>
        <v>Sí</v>
      </c>
    </row>
    <row r="258" spans="6:7" x14ac:dyDescent="0.35">
      <c r="F258">
        <f t="shared" ref="F258:F299" si="8">IFERROR((E258-D258)/D258,0)</f>
        <v>0</v>
      </c>
      <c r="G258" t="str">
        <f t="shared" ref="G258:G299" si="9">IF(ABS(F258)&lt;=0.1,"Sí","No")</f>
        <v>Sí</v>
      </c>
    </row>
    <row r="259" spans="6:7" x14ac:dyDescent="0.35">
      <c r="F259">
        <f t="shared" si="8"/>
        <v>0</v>
      </c>
      <c r="G259" t="str">
        <f t="shared" si="9"/>
        <v>Sí</v>
      </c>
    </row>
    <row r="260" spans="6:7" x14ac:dyDescent="0.35">
      <c r="F260">
        <f t="shared" si="8"/>
        <v>0</v>
      </c>
      <c r="G260" t="str">
        <f t="shared" si="9"/>
        <v>Sí</v>
      </c>
    </row>
    <row r="261" spans="6:7" x14ac:dyDescent="0.35">
      <c r="F261">
        <f t="shared" si="8"/>
        <v>0</v>
      </c>
      <c r="G261" t="str">
        <f t="shared" si="9"/>
        <v>Sí</v>
      </c>
    </row>
    <row r="262" spans="6:7" x14ac:dyDescent="0.35">
      <c r="F262">
        <f t="shared" si="8"/>
        <v>0</v>
      </c>
      <c r="G262" t="str">
        <f t="shared" si="9"/>
        <v>Sí</v>
      </c>
    </row>
    <row r="263" spans="6:7" x14ac:dyDescent="0.35">
      <c r="F263">
        <f t="shared" si="8"/>
        <v>0</v>
      </c>
      <c r="G263" t="str">
        <f t="shared" si="9"/>
        <v>Sí</v>
      </c>
    </row>
    <row r="264" spans="6:7" x14ac:dyDescent="0.35">
      <c r="F264">
        <f t="shared" si="8"/>
        <v>0</v>
      </c>
      <c r="G264" t="str">
        <f t="shared" si="9"/>
        <v>Sí</v>
      </c>
    </row>
    <row r="265" spans="6:7" x14ac:dyDescent="0.35">
      <c r="F265">
        <f t="shared" si="8"/>
        <v>0</v>
      </c>
      <c r="G265" t="str">
        <f t="shared" si="9"/>
        <v>Sí</v>
      </c>
    </row>
    <row r="266" spans="6:7" x14ac:dyDescent="0.35">
      <c r="F266">
        <f t="shared" si="8"/>
        <v>0</v>
      </c>
      <c r="G266" t="str">
        <f t="shared" si="9"/>
        <v>Sí</v>
      </c>
    </row>
    <row r="267" spans="6:7" x14ac:dyDescent="0.35">
      <c r="F267">
        <f t="shared" si="8"/>
        <v>0</v>
      </c>
      <c r="G267" t="str">
        <f t="shared" si="9"/>
        <v>Sí</v>
      </c>
    </row>
    <row r="268" spans="6:7" x14ac:dyDescent="0.35">
      <c r="F268">
        <f t="shared" si="8"/>
        <v>0</v>
      </c>
      <c r="G268" t="str">
        <f t="shared" si="9"/>
        <v>Sí</v>
      </c>
    </row>
    <row r="269" spans="6:7" x14ac:dyDescent="0.35">
      <c r="F269">
        <f t="shared" si="8"/>
        <v>0</v>
      </c>
      <c r="G269" t="str">
        <f t="shared" si="9"/>
        <v>Sí</v>
      </c>
    </row>
    <row r="270" spans="6:7" x14ac:dyDescent="0.35">
      <c r="F270">
        <f t="shared" si="8"/>
        <v>0</v>
      </c>
      <c r="G270" t="str">
        <f t="shared" si="9"/>
        <v>Sí</v>
      </c>
    </row>
    <row r="271" spans="6:7" x14ac:dyDescent="0.35">
      <c r="F271">
        <f t="shared" si="8"/>
        <v>0</v>
      </c>
      <c r="G271" t="str">
        <f t="shared" si="9"/>
        <v>Sí</v>
      </c>
    </row>
    <row r="272" spans="6:7" x14ac:dyDescent="0.35">
      <c r="F272">
        <f t="shared" si="8"/>
        <v>0</v>
      </c>
      <c r="G272" t="str">
        <f t="shared" si="9"/>
        <v>Sí</v>
      </c>
    </row>
    <row r="273" spans="6:7" x14ac:dyDescent="0.35">
      <c r="F273">
        <f t="shared" si="8"/>
        <v>0</v>
      </c>
      <c r="G273" t="str">
        <f t="shared" si="9"/>
        <v>Sí</v>
      </c>
    </row>
    <row r="274" spans="6:7" x14ac:dyDescent="0.35">
      <c r="F274">
        <f t="shared" si="8"/>
        <v>0</v>
      </c>
      <c r="G274" t="str">
        <f t="shared" si="9"/>
        <v>Sí</v>
      </c>
    </row>
    <row r="275" spans="6:7" x14ac:dyDescent="0.35">
      <c r="F275">
        <f t="shared" si="8"/>
        <v>0</v>
      </c>
      <c r="G275" t="str">
        <f t="shared" si="9"/>
        <v>Sí</v>
      </c>
    </row>
    <row r="276" spans="6:7" x14ac:dyDescent="0.35">
      <c r="F276">
        <f t="shared" si="8"/>
        <v>0</v>
      </c>
      <c r="G276" t="str">
        <f t="shared" si="9"/>
        <v>Sí</v>
      </c>
    </row>
    <row r="277" spans="6:7" x14ac:dyDescent="0.35">
      <c r="F277">
        <f t="shared" si="8"/>
        <v>0</v>
      </c>
      <c r="G277" t="str">
        <f t="shared" si="9"/>
        <v>Sí</v>
      </c>
    </row>
    <row r="278" spans="6:7" x14ac:dyDescent="0.35">
      <c r="F278">
        <f t="shared" si="8"/>
        <v>0</v>
      </c>
      <c r="G278" t="str">
        <f t="shared" si="9"/>
        <v>Sí</v>
      </c>
    </row>
    <row r="279" spans="6:7" x14ac:dyDescent="0.35">
      <c r="F279">
        <f t="shared" si="8"/>
        <v>0</v>
      </c>
      <c r="G279" t="str">
        <f t="shared" si="9"/>
        <v>Sí</v>
      </c>
    </row>
    <row r="280" spans="6:7" x14ac:dyDescent="0.35">
      <c r="F280">
        <f t="shared" si="8"/>
        <v>0</v>
      </c>
      <c r="G280" t="str">
        <f t="shared" si="9"/>
        <v>Sí</v>
      </c>
    </row>
    <row r="281" spans="6:7" x14ac:dyDescent="0.35">
      <c r="F281">
        <f t="shared" si="8"/>
        <v>0</v>
      </c>
      <c r="G281" t="str">
        <f t="shared" si="9"/>
        <v>Sí</v>
      </c>
    </row>
    <row r="282" spans="6:7" x14ac:dyDescent="0.35">
      <c r="F282">
        <f t="shared" si="8"/>
        <v>0</v>
      </c>
      <c r="G282" t="str">
        <f t="shared" si="9"/>
        <v>Sí</v>
      </c>
    </row>
    <row r="283" spans="6:7" x14ac:dyDescent="0.35">
      <c r="F283">
        <f t="shared" si="8"/>
        <v>0</v>
      </c>
      <c r="G283" t="str">
        <f t="shared" si="9"/>
        <v>Sí</v>
      </c>
    </row>
    <row r="284" spans="6:7" x14ac:dyDescent="0.35">
      <c r="F284">
        <f t="shared" si="8"/>
        <v>0</v>
      </c>
      <c r="G284" t="str">
        <f t="shared" si="9"/>
        <v>Sí</v>
      </c>
    </row>
    <row r="285" spans="6:7" x14ac:dyDescent="0.35">
      <c r="F285">
        <f t="shared" si="8"/>
        <v>0</v>
      </c>
      <c r="G285" t="str">
        <f t="shared" si="9"/>
        <v>Sí</v>
      </c>
    </row>
    <row r="286" spans="6:7" x14ac:dyDescent="0.35">
      <c r="F286">
        <f t="shared" si="8"/>
        <v>0</v>
      </c>
      <c r="G286" t="str">
        <f t="shared" si="9"/>
        <v>Sí</v>
      </c>
    </row>
    <row r="287" spans="6:7" x14ac:dyDescent="0.35">
      <c r="F287">
        <f t="shared" si="8"/>
        <v>0</v>
      </c>
      <c r="G287" t="str">
        <f t="shared" si="9"/>
        <v>Sí</v>
      </c>
    </row>
    <row r="288" spans="6:7" x14ac:dyDescent="0.35">
      <c r="F288">
        <f t="shared" si="8"/>
        <v>0</v>
      </c>
      <c r="G288" t="str">
        <f t="shared" si="9"/>
        <v>Sí</v>
      </c>
    </row>
    <row r="289" spans="6:7" x14ac:dyDescent="0.35">
      <c r="F289">
        <f t="shared" si="8"/>
        <v>0</v>
      </c>
      <c r="G289" t="str">
        <f t="shared" si="9"/>
        <v>Sí</v>
      </c>
    </row>
    <row r="290" spans="6:7" x14ac:dyDescent="0.35">
      <c r="F290">
        <f t="shared" si="8"/>
        <v>0</v>
      </c>
      <c r="G290" t="str">
        <f t="shared" si="9"/>
        <v>Sí</v>
      </c>
    </row>
    <row r="291" spans="6:7" x14ac:dyDescent="0.35">
      <c r="F291">
        <f t="shared" si="8"/>
        <v>0</v>
      </c>
      <c r="G291" t="str">
        <f t="shared" si="9"/>
        <v>Sí</v>
      </c>
    </row>
    <row r="292" spans="6:7" x14ac:dyDescent="0.35">
      <c r="F292">
        <f t="shared" si="8"/>
        <v>0</v>
      </c>
      <c r="G292" t="str">
        <f t="shared" si="9"/>
        <v>Sí</v>
      </c>
    </row>
    <row r="293" spans="6:7" x14ac:dyDescent="0.35">
      <c r="F293">
        <f t="shared" si="8"/>
        <v>0</v>
      </c>
      <c r="G293" t="str">
        <f t="shared" si="9"/>
        <v>Sí</v>
      </c>
    </row>
    <row r="294" spans="6:7" x14ac:dyDescent="0.35">
      <c r="F294">
        <f t="shared" si="8"/>
        <v>0</v>
      </c>
      <c r="G294" t="str">
        <f t="shared" si="9"/>
        <v>Sí</v>
      </c>
    </row>
    <row r="295" spans="6:7" x14ac:dyDescent="0.35">
      <c r="F295">
        <f t="shared" si="8"/>
        <v>0</v>
      </c>
      <c r="G295" t="str">
        <f t="shared" si="9"/>
        <v>Sí</v>
      </c>
    </row>
    <row r="296" spans="6:7" x14ac:dyDescent="0.35">
      <c r="F296">
        <f t="shared" si="8"/>
        <v>0</v>
      </c>
      <c r="G296" t="str">
        <f t="shared" si="9"/>
        <v>Sí</v>
      </c>
    </row>
    <row r="297" spans="6:7" x14ac:dyDescent="0.35">
      <c r="F297">
        <f t="shared" si="8"/>
        <v>0</v>
      </c>
      <c r="G297" t="str">
        <f t="shared" si="9"/>
        <v>Sí</v>
      </c>
    </row>
    <row r="298" spans="6:7" x14ac:dyDescent="0.35">
      <c r="F298">
        <f t="shared" si="8"/>
        <v>0</v>
      </c>
      <c r="G298" t="str">
        <f t="shared" si="9"/>
        <v>Sí</v>
      </c>
    </row>
    <row r="299" spans="6:7" x14ac:dyDescent="0.35">
      <c r="F299">
        <f t="shared" si="8"/>
        <v>0</v>
      </c>
      <c r="G299" t="str">
        <f t="shared" si="9"/>
        <v>Sí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9"/>
  <sheetViews>
    <sheetView topLeftCell="E1" workbookViewId="0">
      <pane ySplit="1" topLeftCell="A26" activePane="bottomLeft" state="frozen"/>
      <selection pane="bottomLeft" activeCell="M30" sqref="M30"/>
    </sheetView>
  </sheetViews>
  <sheetFormatPr baseColWidth="10" defaultColWidth="8.7265625" defaultRowHeight="14.5" x14ac:dyDescent="0.35"/>
  <cols>
    <col min="1" max="1" width="38" customWidth="1"/>
    <col min="2" max="2" width="36" customWidth="1"/>
    <col min="3" max="3" width="38" customWidth="1"/>
    <col min="4" max="4" width="23" customWidth="1"/>
    <col min="5" max="5" width="29" customWidth="1"/>
    <col min="6" max="7" width="26" customWidth="1"/>
    <col min="8" max="8" width="19" customWidth="1"/>
    <col min="9" max="9" width="22" customWidth="1"/>
    <col min="10" max="10" width="28" customWidth="1"/>
  </cols>
  <sheetData>
    <row r="1" spans="1:12" ht="22" customHeight="1" x14ac:dyDescent="0.3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L1" s="2" t="s">
        <v>246</v>
      </c>
    </row>
    <row r="2" spans="1:12" x14ac:dyDescent="0.35">
      <c r="F2">
        <f>IFERROR('07_Resumen_Ejecutivo'!B3,0)</f>
        <v>0</v>
      </c>
      <c r="G2">
        <f t="shared" ref="G2:G33" si="0">IF(E2="Sí",G2,F2)</f>
        <v>0</v>
      </c>
      <c r="L2" t="s">
        <v>115</v>
      </c>
    </row>
    <row r="3" spans="1:12" x14ac:dyDescent="0.35">
      <c r="F3">
        <f>IFERROR('07_Resumen_Ejecutivo'!B3,0)</f>
        <v>0</v>
      </c>
      <c r="G3">
        <f t="shared" si="0"/>
        <v>0</v>
      </c>
      <c r="L3" t="s">
        <v>116</v>
      </c>
    </row>
    <row r="4" spans="1:12" x14ac:dyDescent="0.35">
      <c r="F4">
        <f>IFERROR('07_Resumen_Ejecutivo'!B3,0)</f>
        <v>0</v>
      </c>
      <c r="G4">
        <f t="shared" si="0"/>
        <v>0</v>
      </c>
    </row>
    <row r="5" spans="1:12" x14ac:dyDescent="0.35">
      <c r="F5">
        <f>IFERROR('07_Resumen_Ejecutivo'!B3,0)</f>
        <v>0</v>
      </c>
      <c r="G5">
        <f t="shared" si="0"/>
        <v>0</v>
      </c>
    </row>
    <row r="6" spans="1:12" x14ac:dyDescent="0.35">
      <c r="F6">
        <f>IFERROR('07_Resumen_Ejecutivo'!B3,0)</f>
        <v>0</v>
      </c>
      <c r="G6">
        <f t="shared" si="0"/>
        <v>0</v>
      </c>
    </row>
    <row r="7" spans="1:12" x14ac:dyDescent="0.35">
      <c r="F7">
        <f>IFERROR('07_Resumen_Ejecutivo'!B3,0)</f>
        <v>0</v>
      </c>
      <c r="G7">
        <f t="shared" si="0"/>
        <v>0</v>
      </c>
    </row>
    <row r="8" spans="1:12" x14ac:dyDescent="0.35">
      <c r="F8">
        <f>IFERROR('07_Resumen_Ejecutivo'!B3,0)</f>
        <v>0</v>
      </c>
      <c r="G8">
        <f t="shared" si="0"/>
        <v>0</v>
      </c>
    </row>
    <row r="9" spans="1:12" x14ac:dyDescent="0.35">
      <c r="F9">
        <f>IFERROR('07_Resumen_Ejecutivo'!B3,0)</f>
        <v>0</v>
      </c>
      <c r="G9">
        <f t="shared" si="0"/>
        <v>0</v>
      </c>
    </row>
    <row r="10" spans="1:12" x14ac:dyDescent="0.35">
      <c r="F10">
        <f>IFERROR('07_Resumen_Ejecutivo'!B3,0)</f>
        <v>0</v>
      </c>
      <c r="G10">
        <f t="shared" si="0"/>
        <v>0</v>
      </c>
    </row>
    <row r="11" spans="1:12" x14ac:dyDescent="0.35">
      <c r="F11">
        <f>IFERROR('07_Resumen_Ejecutivo'!B3,0)</f>
        <v>0</v>
      </c>
      <c r="G11">
        <f t="shared" si="0"/>
        <v>0</v>
      </c>
    </row>
    <row r="12" spans="1:12" x14ac:dyDescent="0.35">
      <c r="F12">
        <f>IFERROR('07_Resumen_Ejecutivo'!B3,0)</f>
        <v>0</v>
      </c>
      <c r="G12">
        <f t="shared" si="0"/>
        <v>0</v>
      </c>
    </row>
    <row r="13" spans="1:12" x14ac:dyDescent="0.35">
      <c r="F13">
        <f>IFERROR('07_Resumen_Ejecutivo'!B3,0)</f>
        <v>0</v>
      </c>
      <c r="G13">
        <f t="shared" si="0"/>
        <v>0</v>
      </c>
    </row>
    <row r="14" spans="1:12" x14ac:dyDescent="0.35">
      <c r="F14">
        <f>IFERROR('07_Resumen_Ejecutivo'!B3,0)</f>
        <v>0</v>
      </c>
      <c r="G14">
        <f t="shared" si="0"/>
        <v>0</v>
      </c>
    </row>
    <row r="15" spans="1:12" x14ac:dyDescent="0.35">
      <c r="F15">
        <f>IFERROR('07_Resumen_Ejecutivo'!B3,0)</f>
        <v>0</v>
      </c>
      <c r="G15">
        <f t="shared" si="0"/>
        <v>0</v>
      </c>
    </row>
    <row r="16" spans="1:12" x14ac:dyDescent="0.35">
      <c r="F16">
        <f>IFERROR('07_Resumen_Ejecutivo'!B3,0)</f>
        <v>0</v>
      </c>
      <c r="G16">
        <f t="shared" si="0"/>
        <v>0</v>
      </c>
    </row>
    <row r="17" spans="6:7" x14ac:dyDescent="0.35">
      <c r="F17">
        <f>IFERROR('07_Resumen_Ejecutivo'!B3,0)</f>
        <v>0</v>
      </c>
      <c r="G17">
        <f t="shared" si="0"/>
        <v>0</v>
      </c>
    </row>
    <row r="18" spans="6:7" x14ac:dyDescent="0.35">
      <c r="F18">
        <f>IFERROR('07_Resumen_Ejecutivo'!B3,0)</f>
        <v>0</v>
      </c>
      <c r="G18">
        <f t="shared" si="0"/>
        <v>0</v>
      </c>
    </row>
    <row r="19" spans="6:7" x14ac:dyDescent="0.35">
      <c r="F19">
        <f>IFERROR('07_Resumen_Ejecutivo'!B3,0)</f>
        <v>0</v>
      </c>
      <c r="G19">
        <f t="shared" si="0"/>
        <v>0</v>
      </c>
    </row>
    <row r="20" spans="6:7" x14ac:dyDescent="0.35">
      <c r="F20">
        <f>IFERROR('07_Resumen_Ejecutivo'!B3,0)</f>
        <v>0</v>
      </c>
      <c r="G20">
        <f t="shared" si="0"/>
        <v>0</v>
      </c>
    </row>
    <row r="21" spans="6:7" x14ac:dyDescent="0.35">
      <c r="F21">
        <f>IFERROR('07_Resumen_Ejecutivo'!B3,0)</f>
        <v>0</v>
      </c>
      <c r="G21">
        <f t="shared" si="0"/>
        <v>0</v>
      </c>
    </row>
    <row r="22" spans="6:7" x14ac:dyDescent="0.35">
      <c r="F22">
        <f>IFERROR('07_Resumen_Ejecutivo'!B3,0)</f>
        <v>0</v>
      </c>
      <c r="G22">
        <f t="shared" si="0"/>
        <v>0</v>
      </c>
    </row>
    <row r="23" spans="6:7" x14ac:dyDescent="0.35">
      <c r="F23">
        <f>IFERROR('07_Resumen_Ejecutivo'!B3,0)</f>
        <v>0</v>
      </c>
      <c r="G23">
        <f t="shared" si="0"/>
        <v>0</v>
      </c>
    </row>
    <row r="24" spans="6:7" x14ac:dyDescent="0.35">
      <c r="F24">
        <f>IFERROR('07_Resumen_Ejecutivo'!B3,0)</f>
        <v>0</v>
      </c>
      <c r="G24">
        <f t="shared" si="0"/>
        <v>0</v>
      </c>
    </row>
    <row r="25" spans="6:7" x14ac:dyDescent="0.35">
      <c r="F25">
        <f>IFERROR('07_Resumen_Ejecutivo'!B3,0)</f>
        <v>0</v>
      </c>
      <c r="G25">
        <f t="shared" si="0"/>
        <v>0</v>
      </c>
    </row>
    <row r="26" spans="6:7" x14ac:dyDescent="0.35">
      <c r="F26">
        <f>IFERROR('07_Resumen_Ejecutivo'!B3,0)</f>
        <v>0</v>
      </c>
      <c r="G26">
        <f t="shared" si="0"/>
        <v>0</v>
      </c>
    </row>
    <row r="27" spans="6:7" x14ac:dyDescent="0.35">
      <c r="F27">
        <f>IFERROR('07_Resumen_Ejecutivo'!B3,0)</f>
        <v>0</v>
      </c>
      <c r="G27">
        <f t="shared" si="0"/>
        <v>0</v>
      </c>
    </row>
    <row r="28" spans="6:7" x14ac:dyDescent="0.35">
      <c r="F28">
        <f>IFERROR('07_Resumen_Ejecutivo'!B3,0)</f>
        <v>0</v>
      </c>
      <c r="G28">
        <f t="shared" si="0"/>
        <v>0</v>
      </c>
    </row>
    <row r="29" spans="6:7" x14ac:dyDescent="0.35">
      <c r="F29">
        <f>IFERROR('07_Resumen_Ejecutivo'!B3,0)</f>
        <v>0</v>
      </c>
      <c r="G29">
        <f t="shared" si="0"/>
        <v>0</v>
      </c>
    </row>
    <row r="30" spans="6:7" x14ac:dyDescent="0.35">
      <c r="F30">
        <f>IFERROR('07_Resumen_Ejecutivo'!B3,0)</f>
        <v>0</v>
      </c>
      <c r="G30">
        <f t="shared" si="0"/>
        <v>0</v>
      </c>
    </row>
    <row r="31" spans="6:7" x14ac:dyDescent="0.35">
      <c r="F31">
        <f>IFERROR('07_Resumen_Ejecutivo'!B3,0)</f>
        <v>0</v>
      </c>
      <c r="G31">
        <f t="shared" si="0"/>
        <v>0</v>
      </c>
    </row>
    <row r="32" spans="6:7" x14ac:dyDescent="0.35">
      <c r="F32">
        <f>IFERROR('07_Resumen_Ejecutivo'!B3,0)</f>
        <v>0</v>
      </c>
      <c r="G32">
        <f t="shared" si="0"/>
        <v>0</v>
      </c>
    </row>
    <row r="33" spans="6:7" x14ac:dyDescent="0.35">
      <c r="F33">
        <f>IFERROR('07_Resumen_Ejecutivo'!B3,0)</f>
        <v>0</v>
      </c>
      <c r="G33">
        <f t="shared" si="0"/>
        <v>0</v>
      </c>
    </row>
    <row r="34" spans="6:7" x14ac:dyDescent="0.35">
      <c r="F34">
        <f>IFERROR('07_Resumen_Ejecutivo'!B3,0)</f>
        <v>0</v>
      </c>
      <c r="G34">
        <f t="shared" ref="G34:G65" si="1">IF(E34="Sí",G34,F34)</f>
        <v>0</v>
      </c>
    </row>
    <row r="35" spans="6:7" x14ac:dyDescent="0.35">
      <c r="F35">
        <f>IFERROR('07_Resumen_Ejecutivo'!B3,0)</f>
        <v>0</v>
      </c>
      <c r="G35">
        <f t="shared" si="1"/>
        <v>0</v>
      </c>
    </row>
    <row r="36" spans="6:7" x14ac:dyDescent="0.35">
      <c r="F36">
        <f>IFERROR('07_Resumen_Ejecutivo'!B3,0)</f>
        <v>0</v>
      </c>
      <c r="G36">
        <f t="shared" si="1"/>
        <v>0</v>
      </c>
    </row>
    <row r="37" spans="6:7" x14ac:dyDescent="0.35">
      <c r="F37">
        <f>IFERROR('07_Resumen_Ejecutivo'!B3,0)</f>
        <v>0</v>
      </c>
      <c r="G37">
        <f t="shared" si="1"/>
        <v>0</v>
      </c>
    </row>
    <row r="38" spans="6:7" x14ac:dyDescent="0.35">
      <c r="F38">
        <f>IFERROR('07_Resumen_Ejecutivo'!B3,0)</f>
        <v>0</v>
      </c>
      <c r="G38">
        <f t="shared" si="1"/>
        <v>0</v>
      </c>
    </row>
    <row r="39" spans="6:7" x14ac:dyDescent="0.35">
      <c r="F39">
        <f>IFERROR('07_Resumen_Ejecutivo'!B3,0)</f>
        <v>0</v>
      </c>
      <c r="G39">
        <f t="shared" si="1"/>
        <v>0</v>
      </c>
    </row>
    <row r="40" spans="6:7" x14ac:dyDescent="0.35">
      <c r="F40">
        <f>IFERROR('07_Resumen_Ejecutivo'!B3,0)</f>
        <v>0</v>
      </c>
      <c r="G40">
        <f t="shared" si="1"/>
        <v>0</v>
      </c>
    </row>
    <row r="41" spans="6:7" x14ac:dyDescent="0.35">
      <c r="F41">
        <f>IFERROR('07_Resumen_Ejecutivo'!B3,0)</f>
        <v>0</v>
      </c>
      <c r="G41">
        <f t="shared" si="1"/>
        <v>0</v>
      </c>
    </row>
    <row r="42" spans="6:7" x14ac:dyDescent="0.35">
      <c r="F42">
        <f>IFERROR('07_Resumen_Ejecutivo'!B3,0)</f>
        <v>0</v>
      </c>
      <c r="G42">
        <f t="shared" si="1"/>
        <v>0</v>
      </c>
    </row>
    <row r="43" spans="6:7" x14ac:dyDescent="0.35">
      <c r="F43">
        <f>IFERROR('07_Resumen_Ejecutivo'!B3,0)</f>
        <v>0</v>
      </c>
      <c r="G43">
        <f t="shared" si="1"/>
        <v>0</v>
      </c>
    </row>
    <row r="44" spans="6:7" x14ac:dyDescent="0.35">
      <c r="F44">
        <f>IFERROR('07_Resumen_Ejecutivo'!B3,0)</f>
        <v>0</v>
      </c>
      <c r="G44">
        <f t="shared" si="1"/>
        <v>0</v>
      </c>
    </row>
    <row r="45" spans="6:7" x14ac:dyDescent="0.35">
      <c r="F45">
        <f>IFERROR('07_Resumen_Ejecutivo'!B3,0)</f>
        <v>0</v>
      </c>
      <c r="G45">
        <f t="shared" si="1"/>
        <v>0</v>
      </c>
    </row>
    <row r="46" spans="6:7" x14ac:dyDescent="0.35">
      <c r="F46">
        <f>IFERROR('07_Resumen_Ejecutivo'!B3,0)</f>
        <v>0</v>
      </c>
      <c r="G46">
        <f t="shared" si="1"/>
        <v>0</v>
      </c>
    </row>
    <row r="47" spans="6:7" x14ac:dyDescent="0.35">
      <c r="F47">
        <f>IFERROR('07_Resumen_Ejecutivo'!B3,0)</f>
        <v>0</v>
      </c>
      <c r="G47">
        <f t="shared" si="1"/>
        <v>0</v>
      </c>
    </row>
    <row r="48" spans="6:7" x14ac:dyDescent="0.35">
      <c r="F48">
        <f>IFERROR('07_Resumen_Ejecutivo'!B3,0)</f>
        <v>0</v>
      </c>
      <c r="G48">
        <f t="shared" si="1"/>
        <v>0</v>
      </c>
    </row>
    <row r="49" spans="6:7" x14ac:dyDescent="0.35">
      <c r="F49">
        <f>IFERROR('07_Resumen_Ejecutivo'!B3,0)</f>
        <v>0</v>
      </c>
      <c r="G49">
        <f t="shared" si="1"/>
        <v>0</v>
      </c>
    </row>
    <row r="50" spans="6:7" x14ac:dyDescent="0.35">
      <c r="F50">
        <f>IFERROR('07_Resumen_Ejecutivo'!B3,0)</f>
        <v>0</v>
      </c>
      <c r="G50">
        <f t="shared" si="1"/>
        <v>0</v>
      </c>
    </row>
    <row r="51" spans="6:7" x14ac:dyDescent="0.35">
      <c r="F51">
        <f>IFERROR('07_Resumen_Ejecutivo'!B3,0)</f>
        <v>0</v>
      </c>
      <c r="G51">
        <f t="shared" si="1"/>
        <v>0</v>
      </c>
    </row>
    <row r="52" spans="6:7" x14ac:dyDescent="0.35">
      <c r="F52">
        <f>IFERROR('07_Resumen_Ejecutivo'!B3,0)</f>
        <v>0</v>
      </c>
      <c r="G52">
        <f t="shared" si="1"/>
        <v>0</v>
      </c>
    </row>
    <row r="53" spans="6:7" x14ac:dyDescent="0.35">
      <c r="F53">
        <f>IFERROR('07_Resumen_Ejecutivo'!B3,0)</f>
        <v>0</v>
      </c>
      <c r="G53">
        <f t="shared" si="1"/>
        <v>0</v>
      </c>
    </row>
    <row r="54" spans="6:7" x14ac:dyDescent="0.35">
      <c r="F54">
        <f>IFERROR('07_Resumen_Ejecutivo'!B3,0)</f>
        <v>0</v>
      </c>
      <c r="G54">
        <f t="shared" si="1"/>
        <v>0</v>
      </c>
    </row>
    <row r="55" spans="6:7" x14ac:dyDescent="0.35">
      <c r="F55">
        <f>IFERROR('07_Resumen_Ejecutivo'!B3,0)</f>
        <v>0</v>
      </c>
      <c r="G55">
        <f t="shared" si="1"/>
        <v>0</v>
      </c>
    </row>
    <row r="56" spans="6:7" x14ac:dyDescent="0.35">
      <c r="F56">
        <f>IFERROR('07_Resumen_Ejecutivo'!B3,0)</f>
        <v>0</v>
      </c>
      <c r="G56">
        <f t="shared" si="1"/>
        <v>0</v>
      </c>
    </row>
    <row r="57" spans="6:7" x14ac:dyDescent="0.35">
      <c r="F57">
        <f>IFERROR('07_Resumen_Ejecutivo'!B3,0)</f>
        <v>0</v>
      </c>
      <c r="G57">
        <f t="shared" si="1"/>
        <v>0</v>
      </c>
    </row>
    <row r="58" spans="6:7" x14ac:dyDescent="0.35">
      <c r="F58">
        <f>IFERROR('07_Resumen_Ejecutivo'!B3,0)</f>
        <v>0</v>
      </c>
      <c r="G58">
        <f t="shared" si="1"/>
        <v>0</v>
      </c>
    </row>
    <row r="59" spans="6:7" x14ac:dyDescent="0.35">
      <c r="F59">
        <f>IFERROR('07_Resumen_Ejecutivo'!B3,0)</f>
        <v>0</v>
      </c>
      <c r="G59">
        <f t="shared" si="1"/>
        <v>0</v>
      </c>
    </row>
    <row r="60" spans="6:7" x14ac:dyDescent="0.35">
      <c r="F60">
        <f>IFERROR('07_Resumen_Ejecutivo'!B3,0)</f>
        <v>0</v>
      </c>
      <c r="G60">
        <f t="shared" si="1"/>
        <v>0</v>
      </c>
    </row>
    <row r="61" spans="6:7" x14ac:dyDescent="0.35">
      <c r="F61">
        <f>IFERROR('07_Resumen_Ejecutivo'!B3,0)</f>
        <v>0</v>
      </c>
      <c r="G61">
        <f t="shared" si="1"/>
        <v>0</v>
      </c>
    </row>
    <row r="62" spans="6:7" x14ac:dyDescent="0.35">
      <c r="F62">
        <f>IFERROR('07_Resumen_Ejecutivo'!B3,0)</f>
        <v>0</v>
      </c>
      <c r="G62">
        <f t="shared" si="1"/>
        <v>0</v>
      </c>
    </row>
    <row r="63" spans="6:7" x14ac:dyDescent="0.35">
      <c r="F63">
        <f>IFERROR('07_Resumen_Ejecutivo'!B3,0)</f>
        <v>0</v>
      </c>
      <c r="G63">
        <f t="shared" si="1"/>
        <v>0</v>
      </c>
    </row>
    <row r="64" spans="6:7" x14ac:dyDescent="0.35">
      <c r="F64">
        <f>IFERROR('07_Resumen_Ejecutivo'!B3,0)</f>
        <v>0</v>
      </c>
      <c r="G64">
        <f t="shared" si="1"/>
        <v>0</v>
      </c>
    </row>
    <row r="65" spans="6:7" x14ac:dyDescent="0.35">
      <c r="F65">
        <f>IFERROR('07_Resumen_Ejecutivo'!B3,0)</f>
        <v>0</v>
      </c>
      <c r="G65">
        <f t="shared" si="1"/>
        <v>0</v>
      </c>
    </row>
    <row r="66" spans="6:7" x14ac:dyDescent="0.35">
      <c r="F66">
        <f>IFERROR('07_Resumen_Ejecutivo'!B3,0)</f>
        <v>0</v>
      </c>
      <c r="G66">
        <f t="shared" ref="G66:G97" si="2">IF(E66="Sí",G66,F66)</f>
        <v>0</v>
      </c>
    </row>
    <row r="67" spans="6:7" x14ac:dyDescent="0.35">
      <c r="F67">
        <f>IFERROR('07_Resumen_Ejecutivo'!B3,0)</f>
        <v>0</v>
      </c>
      <c r="G67">
        <f t="shared" si="2"/>
        <v>0</v>
      </c>
    </row>
    <row r="68" spans="6:7" x14ac:dyDescent="0.35">
      <c r="F68">
        <f>IFERROR('07_Resumen_Ejecutivo'!B3,0)</f>
        <v>0</v>
      </c>
      <c r="G68">
        <f t="shared" si="2"/>
        <v>0</v>
      </c>
    </row>
    <row r="69" spans="6:7" x14ac:dyDescent="0.35">
      <c r="F69">
        <f>IFERROR('07_Resumen_Ejecutivo'!B3,0)</f>
        <v>0</v>
      </c>
      <c r="G69">
        <f t="shared" si="2"/>
        <v>0</v>
      </c>
    </row>
    <row r="70" spans="6:7" x14ac:dyDescent="0.35">
      <c r="F70">
        <f>IFERROR('07_Resumen_Ejecutivo'!B3,0)</f>
        <v>0</v>
      </c>
      <c r="G70">
        <f t="shared" si="2"/>
        <v>0</v>
      </c>
    </row>
    <row r="71" spans="6:7" x14ac:dyDescent="0.35">
      <c r="F71">
        <f>IFERROR('07_Resumen_Ejecutivo'!B3,0)</f>
        <v>0</v>
      </c>
      <c r="G71">
        <f t="shared" si="2"/>
        <v>0</v>
      </c>
    </row>
    <row r="72" spans="6:7" x14ac:dyDescent="0.35">
      <c r="F72">
        <f>IFERROR('07_Resumen_Ejecutivo'!B3,0)</f>
        <v>0</v>
      </c>
      <c r="G72">
        <f t="shared" si="2"/>
        <v>0</v>
      </c>
    </row>
    <row r="73" spans="6:7" x14ac:dyDescent="0.35">
      <c r="F73">
        <f>IFERROR('07_Resumen_Ejecutivo'!B3,0)</f>
        <v>0</v>
      </c>
      <c r="G73">
        <f t="shared" si="2"/>
        <v>0</v>
      </c>
    </row>
    <row r="74" spans="6:7" x14ac:dyDescent="0.35">
      <c r="F74">
        <f>IFERROR('07_Resumen_Ejecutivo'!B3,0)</f>
        <v>0</v>
      </c>
      <c r="G74">
        <f t="shared" si="2"/>
        <v>0</v>
      </c>
    </row>
    <row r="75" spans="6:7" x14ac:dyDescent="0.35">
      <c r="F75">
        <f>IFERROR('07_Resumen_Ejecutivo'!B3,0)</f>
        <v>0</v>
      </c>
      <c r="G75">
        <f t="shared" si="2"/>
        <v>0</v>
      </c>
    </row>
    <row r="76" spans="6:7" x14ac:dyDescent="0.35">
      <c r="F76">
        <f>IFERROR('07_Resumen_Ejecutivo'!B3,0)</f>
        <v>0</v>
      </c>
      <c r="G76">
        <f t="shared" si="2"/>
        <v>0</v>
      </c>
    </row>
    <row r="77" spans="6:7" x14ac:dyDescent="0.35">
      <c r="F77">
        <f>IFERROR('07_Resumen_Ejecutivo'!B3,0)</f>
        <v>0</v>
      </c>
      <c r="G77">
        <f t="shared" si="2"/>
        <v>0</v>
      </c>
    </row>
    <row r="78" spans="6:7" x14ac:dyDescent="0.35">
      <c r="F78">
        <f>IFERROR('07_Resumen_Ejecutivo'!B3,0)</f>
        <v>0</v>
      </c>
      <c r="G78">
        <f t="shared" si="2"/>
        <v>0</v>
      </c>
    </row>
    <row r="79" spans="6:7" x14ac:dyDescent="0.35">
      <c r="F79">
        <f>IFERROR('07_Resumen_Ejecutivo'!B3,0)</f>
        <v>0</v>
      </c>
      <c r="G79">
        <f t="shared" si="2"/>
        <v>0</v>
      </c>
    </row>
    <row r="80" spans="6:7" x14ac:dyDescent="0.35">
      <c r="F80">
        <f>IFERROR('07_Resumen_Ejecutivo'!B3,0)</f>
        <v>0</v>
      </c>
      <c r="G80">
        <f t="shared" si="2"/>
        <v>0</v>
      </c>
    </row>
    <row r="81" spans="6:7" x14ac:dyDescent="0.35">
      <c r="F81">
        <f>IFERROR('07_Resumen_Ejecutivo'!B3,0)</f>
        <v>0</v>
      </c>
      <c r="G81">
        <f t="shared" si="2"/>
        <v>0</v>
      </c>
    </row>
    <row r="82" spans="6:7" x14ac:dyDescent="0.35">
      <c r="F82">
        <f>IFERROR('07_Resumen_Ejecutivo'!B3,0)</f>
        <v>0</v>
      </c>
      <c r="G82">
        <f t="shared" si="2"/>
        <v>0</v>
      </c>
    </row>
    <row r="83" spans="6:7" x14ac:dyDescent="0.35">
      <c r="F83">
        <f>IFERROR('07_Resumen_Ejecutivo'!B3,0)</f>
        <v>0</v>
      </c>
      <c r="G83">
        <f t="shared" si="2"/>
        <v>0</v>
      </c>
    </row>
    <row r="84" spans="6:7" x14ac:dyDescent="0.35">
      <c r="F84">
        <f>IFERROR('07_Resumen_Ejecutivo'!B3,0)</f>
        <v>0</v>
      </c>
      <c r="G84">
        <f t="shared" si="2"/>
        <v>0</v>
      </c>
    </row>
    <row r="85" spans="6:7" x14ac:dyDescent="0.35">
      <c r="F85">
        <f>IFERROR('07_Resumen_Ejecutivo'!B3,0)</f>
        <v>0</v>
      </c>
      <c r="G85">
        <f t="shared" si="2"/>
        <v>0</v>
      </c>
    </row>
    <row r="86" spans="6:7" x14ac:dyDescent="0.35">
      <c r="F86">
        <f>IFERROR('07_Resumen_Ejecutivo'!B3,0)</f>
        <v>0</v>
      </c>
      <c r="G86">
        <f t="shared" si="2"/>
        <v>0</v>
      </c>
    </row>
    <row r="87" spans="6:7" x14ac:dyDescent="0.35">
      <c r="F87">
        <f>IFERROR('07_Resumen_Ejecutivo'!B3,0)</f>
        <v>0</v>
      </c>
      <c r="G87">
        <f t="shared" si="2"/>
        <v>0</v>
      </c>
    </row>
    <row r="88" spans="6:7" x14ac:dyDescent="0.35">
      <c r="F88">
        <f>IFERROR('07_Resumen_Ejecutivo'!B3,0)</f>
        <v>0</v>
      </c>
      <c r="G88">
        <f t="shared" si="2"/>
        <v>0</v>
      </c>
    </row>
    <row r="89" spans="6:7" x14ac:dyDescent="0.35">
      <c r="F89">
        <f>IFERROR('07_Resumen_Ejecutivo'!B3,0)</f>
        <v>0</v>
      </c>
      <c r="G89">
        <f t="shared" si="2"/>
        <v>0</v>
      </c>
    </row>
    <row r="90" spans="6:7" x14ac:dyDescent="0.35">
      <c r="F90">
        <f>IFERROR('07_Resumen_Ejecutivo'!B3,0)</f>
        <v>0</v>
      </c>
      <c r="G90">
        <f t="shared" si="2"/>
        <v>0</v>
      </c>
    </row>
    <row r="91" spans="6:7" x14ac:dyDescent="0.35">
      <c r="F91">
        <f>IFERROR('07_Resumen_Ejecutivo'!B3,0)</f>
        <v>0</v>
      </c>
      <c r="G91">
        <f t="shared" si="2"/>
        <v>0</v>
      </c>
    </row>
    <row r="92" spans="6:7" x14ac:dyDescent="0.35">
      <c r="F92">
        <f>IFERROR('07_Resumen_Ejecutivo'!B3,0)</f>
        <v>0</v>
      </c>
      <c r="G92">
        <f t="shared" si="2"/>
        <v>0</v>
      </c>
    </row>
    <row r="93" spans="6:7" x14ac:dyDescent="0.35">
      <c r="F93">
        <f>IFERROR('07_Resumen_Ejecutivo'!B3,0)</f>
        <v>0</v>
      </c>
      <c r="G93">
        <f t="shared" si="2"/>
        <v>0</v>
      </c>
    </row>
    <row r="94" spans="6:7" x14ac:dyDescent="0.35">
      <c r="F94">
        <f>IFERROR('07_Resumen_Ejecutivo'!B3,0)</f>
        <v>0</v>
      </c>
      <c r="G94">
        <f t="shared" si="2"/>
        <v>0</v>
      </c>
    </row>
    <row r="95" spans="6:7" x14ac:dyDescent="0.35">
      <c r="F95">
        <f>IFERROR('07_Resumen_Ejecutivo'!B3,0)</f>
        <v>0</v>
      </c>
      <c r="G95">
        <f t="shared" si="2"/>
        <v>0</v>
      </c>
    </row>
    <row r="96" spans="6:7" x14ac:dyDescent="0.35">
      <c r="F96">
        <f>IFERROR('07_Resumen_Ejecutivo'!B3,0)</f>
        <v>0</v>
      </c>
      <c r="G96">
        <f t="shared" si="2"/>
        <v>0</v>
      </c>
    </row>
    <row r="97" spans="6:7" x14ac:dyDescent="0.35">
      <c r="F97">
        <f>IFERROR('07_Resumen_Ejecutivo'!B3,0)</f>
        <v>0</v>
      </c>
      <c r="G97">
        <f t="shared" si="2"/>
        <v>0</v>
      </c>
    </row>
    <row r="98" spans="6:7" x14ac:dyDescent="0.35">
      <c r="F98">
        <f>IFERROR('07_Resumen_Ejecutivo'!B3,0)</f>
        <v>0</v>
      </c>
      <c r="G98">
        <f t="shared" ref="G98:G129" si="3">IF(E98="Sí",G98,F98)</f>
        <v>0</v>
      </c>
    </row>
    <row r="99" spans="6:7" x14ac:dyDescent="0.35">
      <c r="F99">
        <f>IFERROR('07_Resumen_Ejecutivo'!B3,0)</f>
        <v>0</v>
      </c>
      <c r="G99">
        <f t="shared" si="3"/>
        <v>0</v>
      </c>
    </row>
    <row r="100" spans="6:7" x14ac:dyDescent="0.35">
      <c r="F100">
        <f>IFERROR('07_Resumen_Ejecutivo'!B3,0)</f>
        <v>0</v>
      </c>
      <c r="G100">
        <f t="shared" si="3"/>
        <v>0</v>
      </c>
    </row>
    <row r="101" spans="6:7" x14ac:dyDescent="0.35">
      <c r="F101">
        <f>IFERROR('07_Resumen_Ejecutivo'!B3,0)</f>
        <v>0</v>
      </c>
      <c r="G101">
        <f t="shared" si="3"/>
        <v>0</v>
      </c>
    </row>
    <row r="102" spans="6:7" x14ac:dyDescent="0.35">
      <c r="F102">
        <f>IFERROR('07_Resumen_Ejecutivo'!B3,0)</f>
        <v>0</v>
      </c>
      <c r="G102">
        <f t="shared" si="3"/>
        <v>0</v>
      </c>
    </row>
    <row r="103" spans="6:7" x14ac:dyDescent="0.35">
      <c r="F103">
        <f>IFERROR('07_Resumen_Ejecutivo'!B3,0)</f>
        <v>0</v>
      </c>
      <c r="G103">
        <f t="shared" si="3"/>
        <v>0</v>
      </c>
    </row>
    <row r="104" spans="6:7" x14ac:dyDescent="0.35">
      <c r="F104">
        <f>IFERROR('07_Resumen_Ejecutivo'!B3,0)</f>
        <v>0</v>
      </c>
      <c r="G104">
        <f t="shared" si="3"/>
        <v>0</v>
      </c>
    </row>
    <row r="105" spans="6:7" x14ac:dyDescent="0.35">
      <c r="F105">
        <f>IFERROR('07_Resumen_Ejecutivo'!B3,0)</f>
        <v>0</v>
      </c>
      <c r="G105">
        <f t="shared" si="3"/>
        <v>0</v>
      </c>
    </row>
    <row r="106" spans="6:7" x14ac:dyDescent="0.35">
      <c r="F106">
        <f>IFERROR('07_Resumen_Ejecutivo'!B3,0)</f>
        <v>0</v>
      </c>
      <c r="G106">
        <f t="shared" si="3"/>
        <v>0</v>
      </c>
    </row>
    <row r="107" spans="6:7" x14ac:dyDescent="0.35">
      <c r="F107">
        <f>IFERROR('07_Resumen_Ejecutivo'!B3,0)</f>
        <v>0</v>
      </c>
      <c r="G107">
        <f t="shared" si="3"/>
        <v>0</v>
      </c>
    </row>
    <row r="108" spans="6:7" x14ac:dyDescent="0.35">
      <c r="F108">
        <f>IFERROR('07_Resumen_Ejecutivo'!B3,0)</f>
        <v>0</v>
      </c>
      <c r="G108">
        <f t="shared" si="3"/>
        <v>0</v>
      </c>
    </row>
    <row r="109" spans="6:7" x14ac:dyDescent="0.35">
      <c r="F109">
        <f>IFERROR('07_Resumen_Ejecutivo'!B3,0)</f>
        <v>0</v>
      </c>
      <c r="G109">
        <f t="shared" si="3"/>
        <v>0</v>
      </c>
    </row>
    <row r="110" spans="6:7" x14ac:dyDescent="0.35">
      <c r="F110">
        <f>IFERROR('07_Resumen_Ejecutivo'!B3,0)</f>
        <v>0</v>
      </c>
      <c r="G110">
        <f t="shared" si="3"/>
        <v>0</v>
      </c>
    </row>
    <row r="111" spans="6:7" x14ac:dyDescent="0.35">
      <c r="F111">
        <f>IFERROR('07_Resumen_Ejecutivo'!B3,0)</f>
        <v>0</v>
      </c>
      <c r="G111">
        <f t="shared" si="3"/>
        <v>0</v>
      </c>
    </row>
    <row r="112" spans="6:7" x14ac:dyDescent="0.35">
      <c r="F112">
        <f>IFERROR('07_Resumen_Ejecutivo'!B3,0)</f>
        <v>0</v>
      </c>
      <c r="G112">
        <f t="shared" si="3"/>
        <v>0</v>
      </c>
    </row>
    <row r="113" spans="6:7" x14ac:dyDescent="0.35">
      <c r="F113">
        <f>IFERROR('07_Resumen_Ejecutivo'!B3,0)</f>
        <v>0</v>
      </c>
      <c r="G113">
        <f t="shared" si="3"/>
        <v>0</v>
      </c>
    </row>
    <row r="114" spans="6:7" x14ac:dyDescent="0.35">
      <c r="F114">
        <f>IFERROR('07_Resumen_Ejecutivo'!B3,0)</f>
        <v>0</v>
      </c>
      <c r="G114">
        <f t="shared" si="3"/>
        <v>0</v>
      </c>
    </row>
    <row r="115" spans="6:7" x14ac:dyDescent="0.35">
      <c r="F115">
        <f>IFERROR('07_Resumen_Ejecutivo'!B3,0)</f>
        <v>0</v>
      </c>
      <c r="G115">
        <f t="shared" si="3"/>
        <v>0</v>
      </c>
    </row>
    <row r="116" spans="6:7" x14ac:dyDescent="0.35">
      <c r="F116">
        <f>IFERROR('07_Resumen_Ejecutivo'!B3,0)</f>
        <v>0</v>
      </c>
      <c r="G116">
        <f t="shared" si="3"/>
        <v>0</v>
      </c>
    </row>
    <row r="117" spans="6:7" x14ac:dyDescent="0.35">
      <c r="F117">
        <f>IFERROR('07_Resumen_Ejecutivo'!B3,0)</f>
        <v>0</v>
      </c>
      <c r="G117">
        <f t="shared" si="3"/>
        <v>0</v>
      </c>
    </row>
    <row r="118" spans="6:7" x14ac:dyDescent="0.35">
      <c r="F118">
        <f>IFERROR('07_Resumen_Ejecutivo'!B3,0)</f>
        <v>0</v>
      </c>
      <c r="G118">
        <f t="shared" si="3"/>
        <v>0</v>
      </c>
    </row>
    <row r="119" spans="6:7" x14ac:dyDescent="0.35">
      <c r="F119">
        <f>IFERROR('07_Resumen_Ejecutivo'!B3,0)</f>
        <v>0</v>
      </c>
      <c r="G119">
        <f t="shared" si="3"/>
        <v>0</v>
      </c>
    </row>
    <row r="120" spans="6:7" x14ac:dyDescent="0.35">
      <c r="F120">
        <f>IFERROR('07_Resumen_Ejecutivo'!B3,0)</f>
        <v>0</v>
      </c>
      <c r="G120">
        <f t="shared" si="3"/>
        <v>0</v>
      </c>
    </row>
    <row r="121" spans="6:7" x14ac:dyDescent="0.35">
      <c r="F121">
        <f>IFERROR('07_Resumen_Ejecutivo'!B3,0)</f>
        <v>0</v>
      </c>
      <c r="G121">
        <f t="shared" si="3"/>
        <v>0</v>
      </c>
    </row>
    <row r="122" spans="6:7" x14ac:dyDescent="0.35">
      <c r="F122">
        <f>IFERROR('07_Resumen_Ejecutivo'!B3,0)</f>
        <v>0</v>
      </c>
      <c r="G122">
        <f t="shared" si="3"/>
        <v>0</v>
      </c>
    </row>
    <row r="123" spans="6:7" x14ac:dyDescent="0.35">
      <c r="F123">
        <f>IFERROR('07_Resumen_Ejecutivo'!B3,0)</f>
        <v>0</v>
      </c>
      <c r="G123">
        <f t="shared" si="3"/>
        <v>0</v>
      </c>
    </row>
    <row r="124" spans="6:7" x14ac:dyDescent="0.35">
      <c r="F124">
        <f>IFERROR('07_Resumen_Ejecutivo'!B3,0)</f>
        <v>0</v>
      </c>
      <c r="G124">
        <f t="shared" si="3"/>
        <v>0</v>
      </c>
    </row>
    <row r="125" spans="6:7" x14ac:dyDescent="0.35">
      <c r="F125">
        <f>IFERROR('07_Resumen_Ejecutivo'!B3,0)</f>
        <v>0</v>
      </c>
      <c r="G125">
        <f t="shared" si="3"/>
        <v>0</v>
      </c>
    </row>
    <row r="126" spans="6:7" x14ac:dyDescent="0.35">
      <c r="F126">
        <f>IFERROR('07_Resumen_Ejecutivo'!B3,0)</f>
        <v>0</v>
      </c>
      <c r="G126">
        <f t="shared" si="3"/>
        <v>0</v>
      </c>
    </row>
    <row r="127" spans="6:7" x14ac:dyDescent="0.35">
      <c r="F127">
        <f>IFERROR('07_Resumen_Ejecutivo'!B3,0)</f>
        <v>0</v>
      </c>
      <c r="G127">
        <f t="shared" si="3"/>
        <v>0</v>
      </c>
    </row>
    <row r="128" spans="6:7" x14ac:dyDescent="0.35">
      <c r="F128">
        <f>IFERROR('07_Resumen_Ejecutivo'!B3,0)</f>
        <v>0</v>
      </c>
      <c r="G128">
        <f t="shared" si="3"/>
        <v>0</v>
      </c>
    </row>
    <row r="129" spans="6:7" x14ac:dyDescent="0.35">
      <c r="F129">
        <f>IFERROR('07_Resumen_Ejecutivo'!B3,0)</f>
        <v>0</v>
      </c>
      <c r="G129">
        <f t="shared" si="3"/>
        <v>0</v>
      </c>
    </row>
    <row r="130" spans="6:7" x14ac:dyDescent="0.35">
      <c r="F130">
        <f>IFERROR('07_Resumen_Ejecutivo'!B3,0)</f>
        <v>0</v>
      </c>
      <c r="G130">
        <f t="shared" ref="G130:G161" si="4">IF(E130="Sí",G130,F130)</f>
        <v>0</v>
      </c>
    </row>
    <row r="131" spans="6:7" x14ac:dyDescent="0.35">
      <c r="F131">
        <f>IFERROR('07_Resumen_Ejecutivo'!B3,0)</f>
        <v>0</v>
      </c>
      <c r="G131">
        <f t="shared" si="4"/>
        <v>0</v>
      </c>
    </row>
    <row r="132" spans="6:7" x14ac:dyDescent="0.35">
      <c r="F132">
        <f>IFERROR('07_Resumen_Ejecutivo'!B3,0)</f>
        <v>0</v>
      </c>
      <c r="G132">
        <f t="shared" si="4"/>
        <v>0</v>
      </c>
    </row>
    <row r="133" spans="6:7" x14ac:dyDescent="0.35">
      <c r="F133">
        <f>IFERROR('07_Resumen_Ejecutivo'!B3,0)</f>
        <v>0</v>
      </c>
      <c r="G133">
        <f t="shared" si="4"/>
        <v>0</v>
      </c>
    </row>
    <row r="134" spans="6:7" x14ac:dyDescent="0.35">
      <c r="F134">
        <f>IFERROR('07_Resumen_Ejecutivo'!B3,0)</f>
        <v>0</v>
      </c>
      <c r="G134">
        <f t="shared" si="4"/>
        <v>0</v>
      </c>
    </row>
    <row r="135" spans="6:7" x14ac:dyDescent="0.35">
      <c r="F135">
        <f>IFERROR('07_Resumen_Ejecutivo'!B3,0)</f>
        <v>0</v>
      </c>
      <c r="G135">
        <f t="shared" si="4"/>
        <v>0</v>
      </c>
    </row>
    <row r="136" spans="6:7" x14ac:dyDescent="0.35">
      <c r="F136">
        <f>IFERROR('07_Resumen_Ejecutivo'!B3,0)</f>
        <v>0</v>
      </c>
      <c r="G136">
        <f t="shared" si="4"/>
        <v>0</v>
      </c>
    </row>
    <row r="137" spans="6:7" x14ac:dyDescent="0.35">
      <c r="F137">
        <f>IFERROR('07_Resumen_Ejecutivo'!B3,0)</f>
        <v>0</v>
      </c>
      <c r="G137">
        <f t="shared" si="4"/>
        <v>0</v>
      </c>
    </row>
    <row r="138" spans="6:7" x14ac:dyDescent="0.35">
      <c r="F138">
        <f>IFERROR('07_Resumen_Ejecutivo'!B3,0)</f>
        <v>0</v>
      </c>
      <c r="G138">
        <f t="shared" si="4"/>
        <v>0</v>
      </c>
    </row>
    <row r="139" spans="6:7" x14ac:dyDescent="0.35">
      <c r="F139">
        <f>IFERROR('07_Resumen_Ejecutivo'!B3,0)</f>
        <v>0</v>
      </c>
      <c r="G139">
        <f t="shared" si="4"/>
        <v>0</v>
      </c>
    </row>
    <row r="140" spans="6:7" x14ac:dyDescent="0.35">
      <c r="F140">
        <f>IFERROR('07_Resumen_Ejecutivo'!B3,0)</f>
        <v>0</v>
      </c>
      <c r="G140">
        <f t="shared" si="4"/>
        <v>0</v>
      </c>
    </row>
    <row r="141" spans="6:7" x14ac:dyDescent="0.35">
      <c r="F141">
        <f>IFERROR('07_Resumen_Ejecutivo'!B3,0)</f>
        <v>0</v>
      </c>
      <c r="G141">
        <f t="shared" si="4"/>
        <v>0</v>
      </c>
    </row>
    <row r="142" spans="6:7" x14ac:dyDescent="0.35">
      <c r="F142">
        <f>IFERROR('07_Resumen_Ejecutivo'!B3,0)</f>
        <v>0</v>
      </c>
      <c r="G142">
        <f t="shared" si="4"/>
        <v>0</v>
      </c>
    </row>
    <row r="143" spans="6:7" x14ac:dyDescent="0.35">
      <c r="F143">
        <f>IFERROR('07_Resumen_Ejecutivo'!B3,0)</f>
        <v>0</v>
      </c>
      <c r="G143">
        <f t="shared" si="4"/>
        <v>0</v>
      </c>
    </row>
    <row r="144" spans="6:7" x14ac:dyDescent="0.35">
      <c r="F144">
        <f>IFERROR('07_Resumen_Ejecutivo'!B3,0)</f>
        <v>0</v>
      </c>
      <c r="G144">
        <f t="shared" si="4"/>
        <v>0</v>
      </c>
    </row>
    <row r="145" spans="6:7" x14ac:dyDescent="0.35">
      <c r="F145">
        <f>IFERROR('07_Resumen_Ejecutivo'!B3,0)</f>
        <v>0</v>
      </c>
      <c r="G145">
        <f t="shared" si="4"/>
        <v>0</v>
      </c>
    </row>
    <row r="146" spans="6:7" x14ac:dyDescent="0.35">
      <c r="F146">
        <f>IFERROR('07_Resumen_Ejecutivo'!B3,0)</f>
        <v>0</v>
      </c>
      <c r="G146">
        <f t="shared" si="4"/>
        <v>0</v>
      </c>
    </row>
    <row r="147" spans="6:7" x14ac:dyDescent="0.35">
      <c r="F147">
        <f>IFERROR('07_Resumen_Ejecutivo'!B3,0)</f>
        <v>0</v>
      </c>
      <c r="G147">
        <f t="shared" si="4"/>
        <v>0</v>
      </c>
    </row>
    <row r="148" spans="6:7" x14ac:dyDescent="0.35">
      <c r="F148">
        <f>IFERROR('07_Resumen_Ejecutivo'!B3,0)</f>
        <v>0</v>
      </c>
      <c r="G148">
        <f t="shared" si="4"/>
        <v>0</v>
      </c>
    </row>
    <row r="149" spans="6:7" x14ac:dyDescent="0.35">
      <c r="F149">
        <f>IFERROR('07_Resumen_Ejecutivo'!B3,0)</f>
        <v>0</v>
      </c>
      <c r="G149">
        <f t="shared" si="4"/>
        <v>0</v>
      </c>
    </row>
    <row r="150" spans="6:7" x14ac:dyDescent="0.35">
      <c r="F150">
        <f>IFERROR('07_Resumen_Ejecutivo'!B3,0)</f>
        <v>0</v>
      </c>
      <c r="G150">
        <f t="shared" si="4"/>
        <v>0</v>
      </c>
    </row>
    <row r="151" spans="6:7" x14ac:dyDescent="0.35">
      <c r="F151">
        <f>IFERROR('07_Resumen_Ejecutivo'!B3,0)</f>
        <v>0</v>
      </c>
      <c r="G151">
        <f t="shared" si="4"/>
        <v>0</v>
      </c>
    </row>
    <row r="152" spans="6:7" x14ac:dyDescent="0.35">
      <c r="F152">
        <f>IFERROR('07_Resumen_Ejecutivo'!B3,0)</f>
        <v>0</v>
      </c>
      <c r="G152">
        <f t="shared" si="4"/>
        <v>0</v>
      </c>
    </row>
    <row r="153" spans="6:7" x14ac:dyDescent="0.35">
      <c r="F153">
        <f>IFERROR('07_Resumen_Ejecutivo'!B3,0)</f>
        <v>0</v>
      </c>
      <c r="G153">
        <f t="shared" si="4"/>
        <v>0</v>
      </c>
    </row>
    <row r="154" spans="6:7" x14ac:dyDescent="0.35">
      <c r="F154">
        <f>IFERROR('07_Resumen_Ejecutivo'!B3,0)</f>
        <v>0</v>
      </c>
      <c r="G154">
        <f t="shared" si="4"/>
        <v>0</v>
      </c>
    </row>
    <row r="155" spans="6:7" x14ac:dyDescent="0.35">
      <c r="F155">
        <f>IFERROR('07_Resumen_Ejecutivo'!B3,0)</f>
        <v>0</v>
      </c>
      <c r="G155">
        <f t="shared" si="4"/>
        <v>0</v>
      </c>
    </row>
    <row r="156" spans="6:7" x14ac:dyDescent="0.35">
      <c r="F156">
        <f>IFERROR('07_Resumen_Ejecutivo'!B3,0)</f>
        <v>0</v>
      </c>
      <c r="G156">
        <f t="shared" si="4"/>
        <v>0</v>
      </c>
    </row>
    <row r="157" spans="6:7" x14ac:dyDescent="0.35">
      <c r="F157">
        <f>IFERROR('07_Resumen_Ejecutivo'!B3,0)</f>
        <v>0</v>
      </c>
      <c r="G157">
        <f t="shared" si="4"/>
        <v>0</v>
      </c>
    </row>
    <row r="158" spans="6:7" x14ac:dyDescent="0.35">
      <c r="F158">
        <f>IFERROR('07_Resumen_Ejecutivo'!B3,0)</f>
        <v>0</v>
      </c>
      <c r="G158">
        <f t="shared" si="4"/>
        <v>0</v>
      </c>
    </row>
    <row r="159" spans="6:7" x14ac:dyDescent="0.35">
      <c r="F159">
        <f>IFERROR('07_Resumen_Ejecutivo'!B3,0)</f>
        <v>0</v>
      </c>
      <c r="G159">
        <f t="shared" si="4"/>
        <v>0</v>
      </c>
    </row>
    <row r="160" spans="6:7" x14ac:dyDescent="0.35">
      <c r="F160">
        <f>IFERROR('07_Resumen_Ejecutivo'!B3,0)</f>
        <v>0</v>
      </c>
      <c r="G160">
        <f t="shared" si="4"/>
        <v>0</v>
      </c>
    </row>
    <row r="161" spans="6:7" x14ac:dyDescent="0.35">
      <c r="F161">
        <f>IFERROR('07_Resumen_Ejecutivo'!B3,0)</f>
        <v>0</v>
      </c>
      <c r="G161">
        <f t="shared" si="4"/>
        <v>0</v>
      </c>
    </row>
    <row r="162" spans="6:7" x14ac:dyDescent="0.35">
      <c r="F162">
        <f>IFERROR('07_Resumen_Ejecutivo'!B3,0)</f>
        <v>0</v>
      </c>
      <c r="G162">
        <f t="shared" ref="G162:G193" si="5">IF(E162="Sí",G162,F162)</f>
        <v>0</v>
      </c>
    </row>
    <row r="163" spans="6:7" x14ac:dyDescent="0.35">
      <c r="F163">
        <f>IFERROR('07_Resumen_Ejecutivo'!B3,0)</f>
        <v>0</v>
      </c>
      <c r="G163">
        <f t="shared" si="5"/>
        <v>0</v>
      </c>
    </row>
    <row r="164" spans="6:7" x14ac:dyDescent="0.35">
      <c r="F164">
        <f>IFERROR('07_Resumen_Ejecutivo'!B3,0)</f>
        <v>0</v>
      </c>
      <c r="G164">
        <f t="shared" si="5"/>
        <v>0</v>
      </c>
    </row>
    <row r="165" spans="6:7" x14ac:dyDescent="0.35">
      <c r="F165">
        <f>IFERROR('07_Resumen_Ejecutivo'!B3,0)</f>
        <v>0</v>
      </c>
      <c r="G165">
        <f t="shared" si="5"/>
        <v>0</v>
      </c>
    </row>
    <row r="166" spans="6:7" x14ac:dyDescent="0.35">
      <c r="F166">
        <f>IFERROR('07_Resumen_Ejecutivo'!B3,0)</f>
        <v>0</v>
      </c>
      <c r="G166">
        <f t="shared" si="5"/>
        <v>0</v>
      </c>
    </row>
    <row r="167" spans="6:7" x14ac:dyDescent="0.35">
      <c r="F167">
        <f>IFERROR('07_Resumen_Ejecutivo'!B3,0)</f>
        <v>0</v>
      </c>
      <c r="G167">
        <f t="shared" si="5"/>
        <v>0</v>
      </c>
    </row>
    <row r="168" spans="6:7" x14ac:dyDescent="0.35">
      <c r="F168">
        <f>IFERROR('07_Resumen_Ejecutivo'!B3,0)</f>
        <v>0</v>
      </c>
      <c r="G168">
        <f t="shared" si="5"/>
        <v>0</v>
      </c>
    </row>
    <row r="169" spans="6:7" x14ac:dyDescent="0.35">
      <c r="F169">
        <f>IFERROR('07_Resumen_Ejecutivo'!B3,0)</f>
        <v>0</v>
      </c>
      <c r="G169">
        <f t="shared" si="5"/>
        <v>0</v>
      </c>
    </row>
    <row r="170" spans="6:7" x14ac:dyDescent="0.35">
      <c r="F170">
        <f>IFERROR('07_Resumen_Ejecutivo'!B3,0)</f>
        <v>0</v>
      </c>
      <c r="G170">
        <f t="shared" si="5"/>
        <v>0</v>
      </c>
    </row>
    <row r="171" spans="6:7" x14ac:dyDescent="0.35">
      <c r="F171">
        <f>IFERROR('07_Resumen_Ejecutivo'!B3,0)</f>
        <v>0</v>
      </c>
      <c r="G171">
        <f t="shared" si="5"/>
        <v>0</v>
      </c>
    </row>
    <row r="172" spans="6:7" x14ac:dyDescent="0.35">
      <c r="F172">
        <f>IFERROR('07_Resumen_Ejecutivo'!B3,0)</f>
        <v>0</v>
      </c>
      <c r="G172">
        <f t="shared" si="5"/>
        <v>0</v>
      </c>
    </row>
    <row r="173" spans="6:7" x14ac:dyDescent="0.35">
      <c r="F173">
        <f>IFERROR('07_Resumen_Ejecutivo'!B3,0)</f>
        <v>0</v>
      </c>
      <c r="G173">
        <f t="shared" si="5"/>
        <v>0</v>
      </c>
    </row>
    <row r="174" spans="6:7" x14ac:dyDescent="0.35">
      <c r="F174">
        <f>IFERROR('07_Resumen_Ejecutivo'!B3,0)</f>
        <v>0</v>
      </c>
      <c r="G174">
        <f t="shared" si="5"/>
        <v>0</v>
      </c>
    </row>
    <row r="175" spans="6:7" x14ac:dyDescent="0.35">
      <c r="F175">
        <f>IFERROR('07_Resumen_Ejecutivo'!B3,0)</f>
        <v>0</v>
      </c>
      <c r="G175">
        <f t="shared" si="5"/>
        <v>0</v>
      </c>
    </row>
    <row r="176" spans="6:7" x14ac:dyDescent="0.35">
      <c r="F176">
        <f>IFERROR('07_Resumen_Ejecutivo'!B3,0)</f>
        <v>0</v>
      </c>
      <c r="G176">
        <f t="shared" si="5"/>
        <v>0</v>
      </c>
    </row>
    <row r="177" spans="6:7" x14ac:dyDescent="0.35">
      <c r="F177">
        <f>IFERROR('07_Resumen_Ejecutivo'!B3,0)</f>
        <v>0</v>
      </c>
      <c r="G177">
        <f t="shared" si="5"/>
        <v>0</v>
      </c>
    </row>
    <row r="178" spans="6:7" x14ac:dyDescent="0.35">
      <c r="F178">
        <f>IFERROR('07_Resumen_Ejecutivo'!B3,0)</f>
        <v>0</v>
      </c>
      <c r="G178">
        <f t="shared" si="5"/>
        <v>0</v>
      </c>
    </row>
    <row r="179" spans="6:7" x14ac:dyDescent="0.35">
      <c r="F179">
        <f>IFERROR('07_Resumen_Ejecutivo'!B3,0)</f>
        <v>0</v>
      </c>
      <c r="G179">
        <f t="shared" si="5"/>
        <v>0</v>
      </c>
    </row>
    <row r="180" spans="6:7" x14ac:dyDescent="0.35">
      <c r="F180">
        <f>IFERROR('07_Resumen_Ejecutivo'!B3,0)</f>
        <v>0</v>
      </c>
      <c r="G180">
        <f t="shared" si="5"/>
        <v>0</v>
      </c>
    </row>
    <row r="181" spans="6:7" x14ac:dyDescent="0.35">
      <c r="F181">
        <f>IFERROR('07_Resumen_Ejecutivo'!B3,0)</f>
        <v>0</v>
      </c>
      <c r="G181">
        <f t="shared" si="5"/>
        <v>0</v>
      </c>
    </row>
    <row r="182" spans="6:7" x14ac:dyDescent="0.35">
      <c r="F182">
        <f>IFERROR('07_Resumen_Ejecutivo'!B3,0)</f>
        <v>0</v>
      </c>
      <c r="G182">
        <f t="shared" si="5"/>
        <v>0</v>
      </c>
    </row>
    <row r="183" spans="6:7" x14ac:dyDescent="0.35">
      <c r="F183">
        <f>IFERROR('07_Resumen_Ejecutivo'!B3,0)</f>
        <v>0</v>
      </c>
      <c r="G183">
        <f t="shared" si="5"/>
        <v>0</v>
      </c>
    </row>
    <row r="184" spans="6:7" x14ac:dyDescent="0.35">
      <c r="F184">
        <f>IFERROR('07_Resumen_Ejecutivo'!B3,0)</f>
        <v>0</v>
      </c>
      <c r="G184">
        <f t="shared" si="5"/>
        <v>0</v>
      </c>
    </row>
    <row r="185" spans="6:7" x14ac:dyDescent="0.35">
      <c r="F185">
        <f>IFERROR('07_Resumen_Ejecutivo'!B3,0)</f>
        <v>0</v>
      </c>
      <c r="G185">
        <f t="shared" si="5"/>
        <v>0</v>
      </c>
    </row>
    <row r="186" spans="6:7" x14ac:dyDescent="0.35">
      <c r="F186">
        <f>IFERROR('07_Resumen_Ejecutivo'!B3,0)</f>
        <v>0</v>
      </c>
      <c r="G186">
        <f t="shared" si="5"/>
        <v>0</v>
      </c>
    </row>
    <row r="187" spans="6:7" x14ac:dyDescent="0.35">
      <c r="F187">
        <f>IFERROR('07_Resumen_Ejecutivo'!B3,0)</f>
        <v>0</v>
      </c>
      <c r="G187">
        <f t="shared" si="5"/>
        <v>0</v>
      </c>
    </row>
    <row r="188" spans="6:7" x14ac:dyDescent="0.35">
      <c r="F188">
        <f>IFERROR('07_Resumen_Ejecutivo'!B3,0)</f>
        <v>0</v>
      </c>
      <c r="G188">
        <f t="shared" si="5"/>
        <v>0</v>
      </c>
    </row>
    <row r="189" spans="6:7" x14ac:dyDescent="0.35">
      <c r="F189">
        <f>IFERROR('07_Resumen_Ejecutivo'!B3,0)</f>
        <v>0</v>
      </c>
      <c r="G189">
        <f t="shared" si="5"/>
        <v>0</v>
      </c>
    </row>
    <row r="190" spans="6:7" x14ac:dyDescent="0.35">
      <c r="F190">
        <f>IFERROR('07_Resumen_Ejecutivo'!B3,0)</f>
        <v>0</v>
      </c>
      <c r="G190">
        <f t="shared" si="5"/>
        <v>0</v>
      </c>
    </row>
    <row r="191" spans="6:7" x14ac:dyDescent="0.35">
      <c r="F191">
        <f>IFERROR('07_Resumen_Ejecutivo'!B3,0)</f>
        <v>0</v>
      </c>
      <c r="G191">
        <f t="shared" si="5"/>
        <v>0</v>
      </c>
    </row>
    <row r="192" spans="6:7" x14ac:dyDescent="0.35">
      <c r="F192">
        <f>IFERROR('07_Resumen_Ejecutivo'!B3,0)</f>
        <v>0</v>
      </c>
      <c r="G192">
        <f t="shared" si="5"/>
        <v>0</v>
      </c>
    </row>
    <row r="193" spans="6:7" x14ac:dyDescent="0.35">
      <c r="F193">
        <f>IFERROR('07_Resumen_Ejecutivo'!B3,0)</f>
        <v>0</v>
      </c>
      <c r="G193">
        <f t="shared" si="5"/>
        <v>0</v>
      </c>
    </row>
    <row r="194" spans="6:7" x14ac:dyDescent="0.35">
      <c r="F194">
        <f>IFERROR('07_Resumen_Ejecutivo'!B3,0)</f>
        <v>0</v>
      </c>
      <c r="G194">
        <f t="shared" ref="G194:G199" si="6">IF(E194="Sí",G194,F194)</f>
        <v>0</v>
      </c>
    </row>
    <row r="195" spans="6:7" x14ac:dyDescent="0.35">
      <c r="F195">
        <f>IFERROR('07_Resumen_Ejecutivo'!B3,0)</f>
        <v>0</v>
      </c>
      <c r="G195">
        <f t="shared" si="6"/>
        <v>0</v>
      </c>
    </row>
    <row r="196" spans="6:7" x14ac:dyDescent="0.35">
      <c r="F196">
        <f>IFERROR('07_Resumen_Ejecutivo'!B3,0)</f>
        <v>0</v>
      </c>
      <c r="G196">
        <f t="shared" si="6"/>
        <v>0</v>
      </c>
    </row>
    <row r="197" spans="6:7" x14ac:dyDescent="0.35">
      <c r="F197">
        <f>IFERROR('07_Resumen_Ejecutivo'!B3,0)</f>
        <v>0</v>
      </c>
      <c r="G197">
        <f t="shared" si="6"/>
        <v>0</v>
      </c>
    </row>
    <row r="198" spans="6:7" x14ac:dyDescent="0.35">
      <c r="F198">
        <f>IFERROR('07_Resumen_Ejecutivo'!B3,0)</f>
        <v>0</v>
      </c>
      <c r="G198">
        <f t="shared" si="6"/>
        <v>0</v>
      </c>
    </row>
    <row r="199" spans="6:7" x14ac:dyDescent="0.35">
      <c r="F199">
        <f>IFERROR('07_Resumen_Ejecutivo'!B3,0)</f>
        <v>0</v>
      </c>
      <c r="G199">
        <f t="shared" si="6"/>
        <v>0</v>
      </c>
    </row>
  </sheetData>
  <dataValidations count="1">
    <dataValidation type="list" allowBlank="1" sqref="E2:E200 A2:C200" xr:uid="{00000000-0002-0000-0500-000000000000}">
      <formula1>$L$2:$L$3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>
      <pane ySplit="2" topLeftCell="A3" activePane="bottomLeft" state="frozen"/>
      <selection pane="bottomLeft" activeCell="B3" sqref="B3"/>
    </sheetView>
  </sheetViews>
  <sheetFormatPr baseColWidth="10" defaultColWidth="8.7265625" defaultRowHeight="14.5" x14ac:dyDescent="0.35"/>
  <cols>
    <col min="1" max="1" width="33.54296875" bestFit="1" customWidth="1"/>
    <col min="2" max="2" width="16.81640625" customWidth="1"/>
  </cols>
  <sheetData>
    <row r="1" spans="1:4" ht="15.65" customHeight="1" x14ac:dyDescent="0.35">
      <c r="A1" s="140" t="s">
        <v>117</v>
      </c>
      <c r="B1" s="140"/>
      <c r="C1" s="140"/>
      <c r="D1" s="140"/>
    </row>
    <row r="2" spans="1:4" x14ac:dyDescent="0.35">
      <c r="A2" s="140"/>
      <c r="B2" s="140"/>
      <c r="C2" s="140"/>
      <c r="D2" s="140"/>
    </row>
    <row r="3" spans="1:4" x14ac:dyDescent="0.35">
      <c r="A3" s="3" t="s">
        <v>118</v>
      </c>
      <c r="B3" s="4" t="e">
        <f>SUM('02_Dotación_Contractual'!MM)</f>
        <v>#NAME?</v>
      </c>
    </row>
    <row r="4" spans="1:4" x14ac:dyDescent="0.35">
      <c r="A4" s="3" t="s">
        <v>119</v>
      </c>
      <c r="B4" s="4" t="e">
        <f>SUM('04_Ppto_FTE_Mensual'!BHBH)</f>
        <v>#NAME?</v>
      </c>
    </row>
    <row r="5" spans="1:4" x14ac:dyDescent="0.35">
      <c r="A5" s="3" t="s">
        <v>120</v>
      </c>
      <c r="B5" s="5">
        <f>IFERROR((B4-B3)/B3,0)</f>
        <v>0</v>
      </c>
    </row>
    <row r="6" spans="1:4" x14ac:dyDescent="0.35">
      <c r="A6" s="3" t="s">
        <v>121</v>
      </c>
      <c r="B6" s="4" t="e">
        <f>SUM('04_Ppto_FTE_Mensual'!BIBI)</f>
        <v>#NAME?</v>
      </c>
    </row>
    <row r="7" spans="1:4" x14ac:dyDescent="0.35">
      <c r="A7" s="3" t="s">
        <v>122</v>
      </c>
      <c r="B7" s="5">
        <f>IFERROR(1-(B6/B4),0)</f>
        <v>0</v>
      </c>
    </row>
  </sheetData>
  <mergeCells count="1">
    <mergeCell ref="A1:D2"/>
  </mergeCells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2"/>
  <sheetViews>
    <sheetView tabSelected="1" topLeftCell="F15" workbookViewId="0">
      <selection activeCell="A16" sqref="A16"/>
    </sheetView>
  </sheetViews>
  <sheetFormatPr baseColWidth="10" defaultColWidth="8.7265625" defaultRowHeight="14.5" x14ac:dyDescent="0.35"/>
  <cols>
    <col min="1" max="1" width="42.81640625" bestFit="1" customWidth="1"/>
  </cols>
  <sheetData>
    <row r="1" spans="1:1" ht="22" customHeight="1" x14ac:dyDescent="0.35">
      <c r="A1" s="1" t="s">
        <v>123</v>
      </c>
    </row>
    <row r="2" spans="1:1" x14ac:dyDescent="0.35">
      <c r="A2" t="s">
        <v>124</v>
      </c>
    </row>
    <row r="3" spans="1:1" x14ac:dyDescent="0.35">
      <c r="A3" t="s">
        <v>125</v>
      </c>
    </row>
    <row r="4" spans="1:1" x14ac:dyDescent="0.35">
      <c r="A4" t="s">
        <v>126</v>
      </c>
    </row>
    <row r="5" spans="1:1" x14ac:dyDescent="0.35">
      <c r="A5" t="s">
        <v>127</v>
      </c>
    </row>
    <row r="6" spans="1:1" x14ac:dyDescent="0.35">
      <c r="A6" t="s">
        <v>128</v>
      </c>
    </row>
    <row r="7" spans="1:1" x14ac:dyDescent="0.35">
      <c r="A7" t="s">
        <v>129</v>
      </c>
    </row>
    <row r="8" spans="1:1" x14ac:dyDescent="0.35">
      <c r="A8" t="s">
        <v>130</v>
      </c>
    </row>
    <row r="9" spans="1:1" x14ac:dyDescent="0.35">
      <c r="A9" t="s">
        <v>131</v>
      </c>
    </row>
    <row r="10" spans="1:1" x14ac:dyDescent="0.35">
      <c r="A10" t="s">
        <v>132</v>
      </c>
    </row>
    <row r="11" spans="1:1" x14ac:dyDescent="0.35">
      <c r="A11" t="s">
        <v>133</v>
      </c>
    </row>
    <row r="12" spans="1:1" x14ac:dyDescent="0.35">
      <c r="A12" t="s">
        <v>134</v>
      </c>
    </row>
  </sheetData>
  <pageMargins left="0.75" right="0.75" top="1" bottom="1" header="0.5" footer="0.5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baseColWidth="10" defaultColWidth="8.7265625" defaultRowHeight="14.5" x14ac:dyDescent="0.35"/>
  <cols>
    <col min="1" max="1" width="28" customWidth="1"/>
    <col min="2" max="2" width="20" customWidth="1"/>
  </cols>
  <sheetData>
    <row r="1" spans="1:2" ht="22" customHeight="1" x14ac:dyDescent="0.35">
      <c r="A1" s="1" t="s">
        <v>30</v>
      </c>
      <c r="B1" s="1" t="s">
        <v>31</v>
      </c>
    </row>
    <row r="2" spans="1:2" x14ac:dyDescent="0.35">
      <c r="A2">
        <v>28</v>
      </c>
      <c r="B2">
        <v>168</v>
      </c>
    </row>
    <row r="3" spans="1:2" x14ac:dyDescent="0.35">
      <c r="A3">
        <v>29</v>
      </c>
      <c r="B3">
        <v>174</v>
      </c>
    </row>
    <row r="4" spans="1:2" x14ac:dyDescent="0.35">
      <c r="A4">
        <v>30</v>
      </c>
      <c r="B4">
        <v>180</v>
      </c>
    </row>
    <row r="5" spans="1:2" x14ac:dyDescent="0.35">
      <c r="A5">
        <v>31</v>
      </c>
      <c r="B5">
        <v>186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1"/>
  <sheetViews>
    <sheetView workbookViewId="0"/>
  </sheetViews>
  <sheetFormatPr baseColWidth="10" defaultColWidth="8.7265625" defaultRowHeight="14.5" x14ac:dyDescent="0.35"/>
  <cols>
    <col min="1" max="1" width="14" customWidth="1"/>
    <col min="2" max="2" width="21" customWidth="1"/>
    <col min="3" max="3" width="18" customWidth="1"/>
  </cols>
  <sheetData>
    <row r="1" spans="1:3" ht="22" customHeight="1" x14ac:dyDescent="0.35">
      <c r="A1" s="1" t="s">
        <v>26</v>
      </c>
      <c r="B1" s="1" t="s">
        <v>135</v>
      </c>
      <c r="C1" s="1" t="s">
        <v>32</v>
      </c>
    </row>
    <row r="2" spans="1:3" x14ac:dyDescent="0.35">
      <c r="A2" t="s">
        <v>136</v>
      </c>
      <c r="B2">
        <v>4</v>
      </c>
      <c r="C2">
        <v>11.25</v>
      </c>
    </row>
    <row r="3" spans="1:3" x14ac:dyDescent="0.35">
      <c r="A3" t="s">
        <v>137</v>
      </c>
      <c r="B3">
        <v>4</v>
      </c>
      <c r="C3">
        <v>12</v>
      </c>
    </row>
    <row r="4" spans="1:3" x14ac:dyDescent="0.35">
      <c r="A4" t="s">
        <v>138</v>
      </c>
      <c r="B4">
        <v>5</v>
      </c>
      <c r="C4">
        <v>9</v>
      </c>
    </row>
    <row r="5" spans="1:3" x14ac:dyDescent="0.35">
      <c r="A5" t="s">
        <v>139</v>
      </c>
      <c r="B5">
        <v>6</v>
      </c>
      <c r="C5">
        <v>7.5</v>
      </c>
    </row>
    <row r="6" spans="1:3" x14ac:dyDescent="0.35">
      <c r="A6" t="s">
        <v>140</v>
      </c>
      <c r="B6">
        <v>7</v>
      </c>
      <c r="C6">
        <v>12</v>
      </c>
    </row>
    <row r="7" spans="1:3" x14ac:dyDescent="0.35">
      <c r="A7" t="s">
        <v>141</v>
      </c>
      <c r="B7">
        <v>8</v>
      </c>
      <c r="C7">
        <v>10</v>
      </c>
    </row>
    <row r="8" spans="1:3" x14ac:dyDescent="0.35">
      <c r="A8" t="s">
        <v>142</v>
      </c>
      <c r="B8">
        <v>9</v>
      </c>
      <c r="C8">
        <v>10</v>
      </c>
    </row>
    <row r="9" spans="1:3" x14ac:dyDescent="0.35">
      <c r="A9" t="s">
        <v>143</v>
      </c>
      <c r="B9">
        <v>10</v>
      </c>
      <c r="C9">
        <v>9</v>
      </c>
    </row>
    <row r="10" spans="1:3" x14ac:dyDescent="0.35">
      <c r="A10" t="s">
        <v>144</v>
      </c>
      <c r="B10">
        <v>10</v>
      </c>
      <c r="C10">
        <v>12</v>
      </c>
    </row>
    <row r="11" spans="1:3" x14ac:dyDescent="0.35">
      <c r="A11" t="s">
        <v>145</v>
      </c>
      <c r="B11">
        <v>14</v>
      </c>
      <c r="C11">
        <v>9.6</v>
      </c>
    </row>
    <row r="12" spans="1:3" x14ac:dyDescent="0.35">
      <c r="A12" t="s">
        <v>146</v>
      </c>
      <c r="B12">
        <v>14</v>
      </c>
      <c r="C12">
        <v>12</v>
      </c>
    </row>
    <row r="13" spans="1:3" x14ac:dyDescent="0.35">
      <c r="A13" t="s">
        <v>147</v>
      </c>
      <c r="B13">
        <v>15</v>
      </c>
      <c r="C13">
        <v>12</v>
      </c>
    </row>
    <row r="14" spans="1:3" x14ac:dyDescent="0.35">
      <c r="A14" t="s">
        <v>148</v>
      </c>
      <c r="B14">
        <v>20</v>
      </c>
      <c r="C14">
        <v>9.6</v>
      </c>
    </row>
    <row r="15" spans="1:3" x14ac:dyDescent="0.35">
      <c r="A15" t="s">
        <v>149</v>
      </c>
      <c r="B15">
        <v>4</v>
      </c>
      <c r="C15">
        <v>11.25</v>
      </c>
    </row>
    <row r="16" spans="1:3" x14ac:dyDescent="0.35">
      <c r="A16" t="s">
        <v>150</v>
      </c>
      <c r="B16">
        <v>5</v>
      </c>
      <c r="C16">
        <v>9</v>
      </c>
    </row>
    <row r="17" spans="1:3" x14ac:dyDescent="0.35">
      <c r="A17" t="s">
        <v>151</v>
      </c>
      <c r="B17">
        <v>0</v>
      </c>
      <c r="C17">
        <v>0</v>
      </c>
    </row>
    <row r="18" spans="1:3" x14ac:dyDescent="0.35">
      <c r="A18" t="s">
        <v>152</v>
      </c>
      <c r="B18">
        <v>0</v>
      </c>
      <c r="C18">
        <v>0</v>
      </c>
    </row>
    <row r="19" spans="1:3" x14ac:dyDescent="0.35">
      <c r="A19" t="s">
        <v>153</v>
      </c>
      <c r="B19">
        <v>5</v>
      </c>
      <c r="C19">
        <v>6</v>
      </c>
    </row>
    <row r="20" spans="1:3" x14ac:dyDescent="0.35">
      <c r="A20" t="s">
        <v>154</v>
      </c>
      <c r="B20">
        <v>20</v>
      </c>
      <c r="C20">
        <v>9.6</v>
      </c>
    </row>
    <row r="21" spans="1:3" x14ac:dyDescent="0.35">
      <c r="A21" t="s">
        <v>155</v>
      </c>
      <c r="B21">
        <v>5</v>
      </c>
      <c r="C21">
        <v>9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2"/>
  <sheetViews>
    <sheetView workbookViewId="0">
      <selection activeCell="B9" sqref="B9"/>
    </sheetView>
  </sheetViews>
  <sheetFormatPr baseColWidth="10" defaultColWidth="8.7265625" defaultRowHeight="14.5" x14ac:dyDescent="0.35"/>
  <cols>
    <col min="1" max="14" width="28" customWidth="1"/>
  </cols>
  <sheetData>
    <row r="1" spans="1:14" x14ac:dyDescent="0.35">
      <c r="A1" s="141" t="s">
        <v>156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</row>
    <row r="2" spans="1:14" x14ac:dyDescent="0.35">
      <c r="A2" s="2" t="s">
        <v>157</v>
      </c>
      <c r="B2" s="2" t="s">
        <v>158</v>
      </c>
      <c r="C2" s="2" t="s">
        <v>159</v>
      </c>
      <c r="D2" s="2" t="s">
        <v>160</v>
      </c>
      <c r="E2" s="2" t="s">
        <v>161</v>
      </c>
      <c r="F2" s="2" t="s">
        <v>162</v>
      </c>
      <c r="G2" s="2" t="s">
        <v>163</v>
      </c>
      <c r="H2" s="2" t="s">
        <v>164</v>
      </c>
      <c r="I2" s="2" t="s">
        <v>44</v>
      </c>
      <c r="J2" s="2" t="s">
        <v>165</v>
      </c>
      <c r="K2" s="2" t="s">
        <v>166</v>
      </c>
      <c r="L2" s="2" t="s">
        <v>167</v>
      </c>
      <c r="M2" s="2" t="s">
        <v>26</v>
      </c>
      <c r="N2" s="2" t="s">
        <v>27</v>
      </c>
    </row>
    <row r="3" spans="1:14" x14ac:dyDescent="0.35">
      <c r="A3" t="s">
        <v>168</v>
      </c>
      <c r="B3" t="s">
        <v>169</v>
      </c>
      <c r="C3" t="s">
        <v>170</v>
      </c>
      <c r="D3" t="s">
        <v>171</v>
      </c>
      <c r="E3" t="s">
        <v>172</v>
      </c>
      <c r="F3" t="s">
        <v>173</v>
      </c>
      <c r="G3" t="s">
        <v>174</v>
      </c>
      <c r="H3" t="s">
        <v>175</v>
      </c>
      <c r="I3" t="s">
        <v>176</v>
      </c>
      <c r="J3" t="s">
        <v>177</v>
      </c>
      <c r="K3" t="s">
        <v>178</v>
      </c>
      <c r="L3" t="s">
        <v>179</v>
      </c>
      <c r="M3" t="s">
        <v>136</v>
      </c>
      <c r="N3" t="s">
        <v>180</v>
      </c>
    </row>
    <row r="4" spans="1:14" x14ac:dyDescent="0.35">
      <c r="A4" t="s">
        <v>181</v>
      </c>
      <c r="B4" t="s">
        <v>182</v>
      </c>
      <c r="C4" t="s">
        <v>183</v>
      </c>
      <c r="D4" t="s">
        <v>184</v>
      </c>
      <c r="E4" t="s">
        <v>185</v>
      </c>
      <c r="F4" t="s">
        <v>186</v>
      </c>
      <c r="G4" t="s">
        <v>187</v>
      </c>
      <c r="H4" t="s">
        <v>188</v>
      </c>
      <c r="I4" t="s">
        <v>189</v>
      </c>
      <c r="J4" t="s">
        <v>155</v>
      </c>
      <c r="K4" t="s">
        <v>190</v>
      </c>
      <c r="L4" t="s">
        <v>191</v>
      </c>
      <c r="M4" t="s">
        <v>137</v>
      </c>
      <c r="N4" t="s">
        <v>192</v>
      </c>
    </row>
    <row r="5" spans="1:14" x14ac:dyDescent="0.35">
      <c r="A5" t="s">
        <v>193</v>
      </c>
      <c r="C5" t="s">
        <v>194</v>
      </c>
      <c r="D5" t="s">
        <v>195</v>
      </c>
      <c r="F5" t="s">
        <v>196</v>
      </c>
      <c r="G5" t="s">
        <v>197</v>
      </c>
      <c r="H5" t="s">
        <v>193</v>
      </c>
      <c r="I5" t="s">
        <v>198</v>
      </c>
      <c r="L5" t="s">
        <v>199</v>
      </c>
      <c r="M5" t="s">
        <v>138</v>
      </c>
      <c r="N5" t="s">
        <v>200</v>
      </c>
    </row>
    <row r="6" spans="1:14" x14ac:dyDescent="0.35">
      <c r="I6" t="s">
        <v>201</v>
      </c>
      <c r="L6" t="s">
        <v>202</v>
      </c>
      <c r="M6" t="s">
        <v>139</v>
      </c>
      <c r="N6" t="s">
        <v>203</v>
      </c>
    </row>
    <row r="7" spans="1:14" x14ac:dyDescent="0.35">
      <c r="I7" t="s">
        <v>204</v>
      </c>
      <c r="L7" t="s">
        <v>205</v>
      </c>
      <c r="M7" t="s">
        <v>140</v>
      </c>
    </row>
    <row r="8" spans="1:14" x14ac:dyDescent="0.35">
      <c r="M8" t="s">
        <v>141</v>
      </c>
    </row>
    <row r="9" spans="1:14" x14ac:dyDescent="0.35">
      <c r="M9" t="s">
        <v>142</v>
      </c>
    </row>
    <row r="10" spans="1:14" x14ac:dyDescent="0.35">
      <c r="M10" t="s">
        <v>143</v>
      </c>
    </row>
    <row r="11" spans="1:14" x14ac:dyDescent="0.35">
      <c r="M11" t="s">
        <v>144</v>
      </c>
    </row>
    <row r="12" spans="1:14" x14ac:dyDescent="0.35">
      <c r="M12" t="s">
        <v>145</v>
      </c>
    </row>
    <row r="13" spans="1:14" x14ac:dyDescent="0.35">
      <c r="M13" t="s">
        <v>146</v>
      </c>
    </row>
    <row r="14" spans="1:14" x14ac:dyDescent="0.35">
      <c r="M14" t="s">
        <v>147</v>
      </c>
    </row>
    <row r="15" spans="1:14" x14ac:dyDescent="0.35">
      <c r="M15" t="s">
        <v>148</v>
      </c>
    </row>
    <row r="16" spans="1:14" x14ac:dyDescent="0.35">
      <c r="M16" t="s">
        <v>149</v>
      </c>
    </row>
    <row r="17" spans="13:13" x14ac:dyDescent="0.35">
      <c r="M17" t="s">
        <v>150</v>
      </c>
    </row>
    <row r="18" spans="13:13" x14ac:dyDescent="0.35">
      <c r="M18" t="s">
        <v>151</v>
      </c>
    </row>
    <row r="19" spans="13:13" x14ac:dyDescent="0.35">
      <c r="M19" t="s">
        <v>152</v>
      </c>
    </row>
    <row r="20" spans="13:13" x14ac:dyDescent="0.35">
      <c r="M20" t="s">
        <v>153</v>
      </c>
    </row>
    <row r="21" spans="13:13" x14ac:dyDescent="0.35">
      <c r="M21" t="s">
        <v>154</v>
      </c>
    </row>
    <row r="22" spans="13:13" x14ac:dyDescent="0.35">
      <c r="M22" t="s">
        <v>155</v>
      </c>
    </row>
  </sheetData>
  <mergeCells count="1">
    <mergeCell ref="A1:N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743E91485A5E45879A9B731E1658E0" ma:contentTypeVersion="3" ma:contentTypeDescription="Crear nuevo documento." ma:contentTypeScope="" ma:versionID="12b715dbede7b8453a80372b87912c2e">
  <xsd:schema xmlns:xsd="http://www.w3.org/2001/XMLSchema" xmlns:xs="http://www.w3.org/2001/XMLSchema" xmlns:p="http://schemas.microsoft.com/office/2006/metadata/properties" xmlns:ns2="407ea779-b773-4460-a625-b2007399de77" targetNamespace="http://schemas.microsoft.com/office/2006/metadata/properties" ma:root="true" ma:fieldsID="9a1435c839457a0ecc5089839f5f8934" ns2:_="">
    <xsd:import namespace="407ea779-b773-4460-a625-b2007399de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ea779-b773-4460-a625-b2007399de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55C436-74DF-49BB-B40A-28708EB143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7ea779-b773-4460-a625-b2007399de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420DDA-F710-4885-B85B-A0EF17F058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01CE36-4D66-4FCF-A9BD-D3C1F67B1C26}">
  <ds:schemaRefs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07ea779-b773-4460-a625-b2007399de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00_Índice</vt:lpstr>
      <vt:lpstr>01_Identificación</vt:lpstr>
      <vt:lpstr>02_Dotación_Contractual</vt:lpstr>
      <vt:lpstr>03_Supuestos_Ratios</vt:lpstr>
      <vt:lpstr>04_Ppto_FTE_Mensual</vt:lpstr>
      <vt:lpstr>05_Benchmark</vt:lpstr>
      <vt:lpstr>06_Validación_GST</vt:lpstr>
      <vt:lpstr>07_Resumen_Ejecutivo</vt:lpstr>
      <vt:lpstr>96_Clasificacion_Dotacional</vt:lpstr>
      <vt:lpstr>97_Factor_Mes</vt:lpstr>
      <vt:lpstr>98_Turnos_SIGA</vt:lpstr>
      <vt:lpstr>99_Listas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Isidora Escobar</cp:lastModifiedBy>
  <dcterms:created xsi:type="dcterms:W3CDTF">2026-02-04T23:06:20Z</dcterms:created>
  <dcterms:modified xsi:type="dcterms:W3CDTF">2026-03-10T22:51:24Z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0x01010008743E91485A5E45879A9B731E1658E0</vt:lpwstr>
  </property>
  <property fmtid="{D5CDD505-2E9C-101B-9397-08002B2CF9AE}" pid="3" name="Order">
    <vt:r8>12100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